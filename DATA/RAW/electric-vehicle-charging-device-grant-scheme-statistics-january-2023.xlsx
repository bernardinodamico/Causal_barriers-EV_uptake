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erna\Desktop\"/>
    </mc:Choice>
  </mc:AlternateContent>
  <xr:revisionPtr revIDLastSave="0" documentId="13_ncr:1_{C1F120ED-21A8-4B22-BA24-50973659836F}" xr6:coauthVersionLast="47" xr6:coauthVersionMax="47" xr10:uidLastSave="{00000000-0000-0000-0000-000000000000}"/>
  <bookViews>
    <workbookView xWindow="-108" yWindow="-108" windowWidth="23256" windowHeight="12576" xr2:uid="{948148B6-59F3-41BB-9B1D-C6775DB07955}"/>
  </bookViews>
  <sheets>
    <sheet name="Cover" sheetId="1" r:id="rId1"/>
    <sheet name="Contents" sheetId="2" r:id="rId2"/>
    <sheet name="Notes" sheetId="3" r:id="rId3"/>
    <sheet name="1" sheetId="4" r:id="rId4"/>
    <sheet name="2" sheetId="5" r:id="rId5"/>
    <sheet name="3" sheetId="6" r:id="rId6"/>
    <sheet name="4" sheetId="7" r:id="rId7"/>
    <sheet name="5" sheetId="8" r:id="rId8"/>
    <sheet name="6" sheetId="9" r:id="rId9"/>
    <sheet name="7" sheetId="10" r:id="rId10"/>
    <sheet name="8" sheetId="11" r:id="rId11"/>
    <sheet name="9" sheetId="12" r:id="rId12"/>
    <sheet name="10" sheetId="13" r:id="rId13"/>
    <sheet name="11" sheetId="14" r:id="rId14"/>
    <sheet name="12" sheetId="15" r:id="rId15"/>
    <sheet name="13"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5" i="12" l="1"/>
  <c r="B105" i="12"/>
  <c r="F132" i="11"/>
  <c r="E132" i="11"/>
  <c r="D132" i="11"/>
  <c r="C132" i="11"/>
  <c r="B132" i="11"/>
  <c r="F132" i="10"/>
  <c r="E132" i="10"/>
  <c r="D132" i="10"/>
  <c r="C132" i="10"/>
  <c r="B132" i="10"/>
  <c r="H123" i="9"/>
  <c r="G123" i="9"/>
  <c r="F123" i="9"/>
  <c r="E123" i="9"/>
  <c r="D123" i="9"/>
  <c r="C123" i="9"/>
  <c r="B123" i="9"/>
  <c r="H123" i="8"/>
  <c r="G123" i="8"/>
  <c r="F123" i="8"/>
  <c r="E123" i="8"/>
  <c r="D123" i="8"/>
  <c r="C123" i="8"/>
  <c r="B123" i="8"/>
  <c r="D77" i="5"/>
  <c r="C77" i="5"/>
  <c r="B77" i="5"/>
</calcChain>
</file>

<file path=xl/sharedStrings.xml><?xml version="1.0" encoding="utf-8"?>
<sst xmlns="http://schemas.openxmlformats.org/spreadsheetml/2006/main" count="8361" uniqueCount="4299">
  <si>
    <t>Electric Vehicle Charging Device Grant Scheme Statistics: January 2023</t>
  </si>
  <si>
    <t>This spreadsheet contains a cover sheet, notes and a data table worksheet. The data table worksheet contains quarterly data on the number of grants awarded for the installation of electric vehicle charging devices in the United Kingdom
More details on methodology can be found at the bottom of our report.</t>
  </si>
  <si>
    <t>Publication dates</t>
  </si>
  <si>
    <t>Last updated: March 2023</t>
  </si>
  <si>
    <t>Next update: June 2023</t>
  </si>
  <si>
    <t xml:space="preserve">Units, notes and no data </t>
  </si>
  <si>
    <t xml:space="preserve">In the "Notes" sheet there is a list of notes referring to the table.
Some tables in this spreadsheet have cells with no data. When this is the case the cells are marked up with shorthand: "x" for not available, "z" for not applicable and "Zero value" for zero value cells. Postcode districts with counts of at least 1 but fewer than 10 have been suppressed (indicated as "low"). 
                                                                                                                                                                                 Some column headings give units, when this is the case the units are presented in round brackets to differentiate them from note markers.  </t>
  </si>
  <si>
    <t>Sources</t>
  </si>
  <si>
    <t>National Statistics Postcode Lookup (NSPL)</t>
  </si>
  <si>
    <t>Driver and Vehicle Licensing Agency (DVLA)</t>
  </si>
  <si>
    <t>Office for Zero Emission Vehicles (OZEV)</t>
  </si>
  <si>
    <t>Office for National Statistics (ONS)</t>
  </si>
  <si>
    <t>Contact Details</t>
  </si>
  <si>
    <r>
      <rPr>
        <sz val="12"/>
        <color rgb="FF000000"/>
        <rFont val="Arial"/>
        <family val="2"/>
      </rPr>
      <t>Email:</t>
    </r>
    <r>
      <rPr>
        <sz val="12"/>
        <color rgb="FF000000"/>
        <rFont val="Arial"/>
        <family val="2"/>
      </rPr>
      <t xml:space="preserve"> </t>
    </r>
    <r>
      <rPr>
        <u/>
        <sz val="12"/>
        <color rgb="FF0563C1"/>
        <rFont val="Arial"/>
        <family val="2"/>
      </rPr>
      <t>environment.stats@dft.gov.uk</t>
    </r>
  </si>
  <si>
    <t>Further Information</t>
  </si>
  <si>
    <r>
      <rPr>
        <sz val="12"/>
        <color rgb="FF000000"/>
        <rFont val="Arial"/>
        <family val="2"/>
      </rPr>
      <t xml:space="preserve">For commentary of this data, this can be seen in the publication which supplements these tables: </t>
    </r>
    <r>
      <rPr>
        <u/>
        <sz val="12"/>
        <color rgb="FF0000FF"/>
        <rFont val="Arial"/>
        <family val="2"/>
      </rPr>
      <t>explore publication</t>
    </r>
  </si>
  <si>
    <t xml:space="preserve">Table of contents </t>
  </si>
  <si>
    <t>This worksheet contains 1 table.</t>
  </si>
  <si>
    <t>Worksheet number</t>
  </si>
  <si>
    <t>Worksheet title</t>
  </si>
  <si>
    <t xml:space="preserve">Date this data was first published </t>
  </si>
  <si>
    <t>Next publication date</t>
  </si>
  <si>
    <t xml:space="preserve">Source </t>
  </si>
  <si>
    <t>Electric Vehicle Chargpoint Grant (EVCG): Charging sockets installed and grant value at the end of each month since the scheme started.</t>
  </si>
  <si>
    <t>March 2023</t>
  </si>
  <si>
    <t>June 2023</t>
  </si>
  <si>
    <t>DVLA; OZEV</t>
  </si>
  <si>
    <t>Workplace Charging Scheme (WCS): vouchers redeemed, sockets installed and grant value  since the scheme started</t>
  </si>
  <si>
    <t>OZEV</t>
  </si>
  <si>
    <t>Workplace Charging Scheme (WCS): sockets installed by upper and lower tier local authority</t>
  </si>
  <si>
    <t>OZEV; ONS</t>
  </si>
  <si>
    <t>Workplace Charging Scheme (WCS): Grant Value by upper and lower tier local authority</t>
  </si>
  <si>
    <t>On-Street Residential Scheme (ORCS): Completed charging device installations</t>
  </si>
  <si>
    <t>On-Street Residential Scheme (ORCS): Grant value of completed installations</t>
  </si>
  <si>
    <t>On-Street Residential Scheme (ORCS): Approved applications of proposed charging devices</t>
  </si>
  <si>
    <t>On-Street Residential Scheme (ORCS): Grant value of approved applications</t>
  </si>
  <si>
    <t>Electric Vehicle Homecharge Scheme (EVHS): Charging devices installed and grant value at the end of each month since the scheme started.</t>
  </si>
  <si>
    <t>DVLA</t>
  </si>
  <si>
    <t>Electric Vehicle Homecharge Scheme (EVHS): Charging devices installed each year by upper and lower tier local authority, United Kingdom from 2014</t>
  </si>
  <si>
    <t>DVLA;  ONS</t>
  </si>
  <si>
    <t>Electric Vehicle Homecharge Scheme (EVHS): Charging devices installed by postcode district, United Kingdom from 2014 Q4</t>
  </si>
  <si>
    <t>DVLA; NSPL</t>
  </si>
  <si>
    <t>Electric Vehicle Homecharge Scheme (EVHS): Grant value each year by upper and lower tier local authority, United Kingdom from 2014</t>
  </si>
  <si>
    <t>DVLA; ONS</t>
  </si>
  <si>
    <t>Domestic Recharge Scheme (DRS): charging devices installed by upper and lower tier local authority, United Kingdom from 2013</t>
  </si>
  <si>
    <t>Notes</t>
  </si>
  <si>
    <t xml:space="preserve">Note number </t>
  </si>
  <si>
    <t xml:space="preserve">Note text </t>
  </si>
  <si>
    <t>Data is taken from a database held by two databases at DVLA and OZEV which records grant applications for administrative purposes. Grants can take several months to process and the most recent quarters are most likely to be undercounted, especially the forth quarter of 2022. The grants can be broken down into three categories; residential car parks, flats and renters and landlords. The statistics should therefore be treated as provisional.</t>
  </si>
  <si>
    <t xml:space="preserve">The date refers to when the Electric Vehicle Chargepoint Grant (EVCG) charging device was installed, not when the grant was paid. </t>
  </si>
  <si>
    <t>Data is taken from a database held by the DVLA which records grant applications for administrative purposes. Grants can take several months to process and the most recent quarters are most likely to be undercounted, especially the forth quarter of 2022. The statistics should therefore be treated as provisional.</t>
  </si>
  <si>
    <t>The date refers to when the Workplace Charging Scheme (WCS) sockets were installed, not the date of payment</t>
  </si>
  <si>
    <t>There can be 1 voucher for up to 4 sockets installed in the same workplace carpark</t>
  </si>
  <si>
    <t xml:space="preserve">On-Street Residential Scheme (ORCS) grants are offered to successful applicants, but funds are only released upon final completion of installation. These figures only include charging devices that have been installed and claimed for. ORCS funds are paid upon completion of installation; this is why, to date, the amount paid out for the financial year ending (FYE) 2020 and FYE 2021 is lower than the total amount of funding available. </t>
  </si>
  <si>
    <t>Data is only collected in financial years</t>
  </si>
  <si>
    <t>ORCS grants are offered to successful applicants, but funds are only released upon final completion of installation. These figures only include charging devices that have been awarded funding but have not yet been installed or claimed for.</t>
  </si>
  <si>
    <t>As of the 1 April 2022 onwards, the scheme covers 60% of all capital costs of installing on-street residential charging devices compared to the previous amount of up to 75%</t>
  </si>
  <si>
    <t xml:space="preserve">The date refers to when the Electric Vehicle Homecharge Scheme (EVHS) charging device was installed, not when the grant was paid. </t>
  </si>
  <si>
    <t xml:space="preserve">As this data is recorded for administrative purposes, sometimes the installation date or location data is missing from the data entry. </t>
  </si>
  <si>
    <t>EVHS was introduced at the end of the 2014 calendar year and so has been grouped with 2015 to allow minimal suppression of counts.</t>
  </si>
  <si>
    <t>Domestic Recharge Scheme (DRS) was introduced in 2013 and ran until 2014 before it was succeeded by the EVHS.</t>
  </si>
  <si>
    <t>Electric Vehicle Chargepoint Grant (EVCG): Charging sockets installed and grant value at the end of each month since the scheme started [Note 1]</t>
  </si>
  <si>
    <t>This worksheet contains 1 table. Some cells refer to notes which can be found on the notes worksheet.</t>
  </si>
  <si>
    <t xml:space="preserve">Date [Note 2] </t>
  </si>
  <si>
    <t>Carpark; Charging Sockets Installed</t>
  </si>
  <si>
    <t xml:space="preserve">Carpark; Grant Value </t>
  </si>
  <si>
    <t>Flats and Renters; Charging Sockets Installed</t>
  </si>
  <si>
    <t xml:space="preserve">Flats and Renters; Grant Value </t>
  </si>
  <si>
    <t>Landlord; Charging Sockets Installed</t>
  </si>
  <si>
    <t xml:space="preserve">Landlord; Grant Value </t>
  </si>
  <si>
    <t>Total; Charging Sockets Installed</t>
  </si>
  <si>
    <t>Total; Grant Value</t>
  </si>
  <si>
    <t>Total</t>
  </si>
  <si>
    <t>Workplace Charging Scheme (WCS): vouchers redeemed, sockets installed and grant value since the scheme started [Note 3]</t>
  </si>
  <si>
    <t>Date [Note 4]</t>
  </si>
  <si>
    <t>Vouchers redeemed [Note 5]</t>
  </si>
  <si>
    <t>Sockets installed</t>
  </si>
  <si>
    <t xml:space="preserve">Grant Value </t>
  </si>
  <si>
    <t>June-17</t>
  </si>
  <si>
    <t>July-17</t>
  </si>
  <si>
    <t>June-18</t>
  </si>
  <si>
    <t>July-18</t>
  </si>
  <si>
    <t>June-19</t>
  </si>
  <si>
    <t>July-19</t>
  </si>
  <si>
    <t>June-20</t>
  </si>
  <si>
    <t>July-20</t>
  </si>
  <si>
    <t>June-21</t>
  </si>
  <si>
    <t>July-21</t>
  </si>
  <si>
    <t>June-22</t>
  </si>
  <si>
    <t>July-22</t>
  </si>
  <si>
    <t>Workplace Charging Scheme (WCS): sockets installed by upper and lower tier local authority [Note 3]</t>
  </si>
  <si>
    <t>ONS LA Code</t>
  </si>
  <si>
    <t>Region or Local Authority</t>
  </si>
  <si>
    <t>Sockets Installed</t>
  </si>
  <si>
    <t>K02000001</t>
  </si>
  <si>
    <t>UNITED KINGDOM</t>
  </si>
  <si>
    <t>K03000001</t>
  </si>
  <si>
    <t>GREAT BRITAIN</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</si>
  <si>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</si>
  <si>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</si>
  <si>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</si>
  <si>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</si>
  <si>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</si>
  <si>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</si>
  <si>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</si>
  <si>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</si>
  <si>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</si>
  <si>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</si>
  <si>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</si>
  <si>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</si>
  <si>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</si>
  <si>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</si>
  <si>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</si>
  <si>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</si>
  <si>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</si>
  <si>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</si>
  <si>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</si>
  <si>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</si>
  <si>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</si>
  <si>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</si>
  <si>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</si>
  <si>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</si>
  <si>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</si>
  <si>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</si>
  <si>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</si>
  <si>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</si>
  <si>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</si>
  <si>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</si>
  <si>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</si>
  <si>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</si>
  <si>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</si>
  <si>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</si>
  <si>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</si>
  <si>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</si>
  <si>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</si>
  <si>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</si>
  <si>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</si>
  <si>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</si>
  <si>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</si>
  <si>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</si>
  <si>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</si>
  <si>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</si>
  <si>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E10000006</t>
  </si>
  <si>
    <t>Cumbria</t>
  </si>
  <si>
    <t>E07000026</t>
  </si>
  <si>
    <t>Allerdale</t>
  </si>
  <si>
    <t>E07000027</t>
  </si>
  <si>
    <t>Barrow-in-Furness</t>
  </si>
  <si>
    <t>E07000028</t>
  </si>
  <si>
    <t>Carlisle</t>
  </si>
  <si>
    <t>E07000029</t>
  </si>
  <si>
    <t>Copeland</t>
  </si>
  <si>
    <t>E07000030</t>
  </si>
  <si>
    <t>Eden</t>
  </si>
  <si>
    <t>E07000031</t>
  </si>
  <si>
    <t>South Lakeland</t>
  </si>
  <si>
    <t>E11000001</t>
  </si>
  <si>
    <t>Greater Manchester</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</si>
  <si>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</si>
  <si>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</si>
  <si>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</si>
  <si>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</si>
  <si>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</si>
  <si>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</si>
  <si>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</si>
  <si>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</si>
  <si>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</si>
  <si>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</si>
  <si>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</si>
  <si>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</si>
  <si>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</si>
  <si>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</si>
  <si>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</si>
  <si>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</si>
  <si>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</si>
  <si>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</si>
  <si>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</si>
  <si>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</si>
  <si>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</si>
  <si>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</si>
  <si>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</si>
  <si>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</si>
  <si>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</si>
  <si>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</si>
  <si>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</si>
  <si>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</si>
  <si>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</si>
  <si>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</si>
  <si>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</si>
  <si>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</si>
  <si>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</si>
  <si>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</si>
  <si>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</si>
  <si>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</si>
  <si>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</si>
  <si>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</si>
  <si>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</si>
  <si>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</si>
  <si>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</si>
  <si>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</si>
  <si>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</si>
  <si>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</si>
  <si>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</si>
  <si>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</si>
  <si>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</si>
  <si>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</si>
  <si>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</si>
  <si>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</si>
  <si>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</si>
  <si>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</si>
  <si>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</si>
  <si>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</si>
  <si>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</si>
  <si>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</si>
  <si>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</si>
  <si>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</si>
  <si>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</si>
  <si>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</si>
  <si>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</si>
  <si>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</si>
  <si>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</si>
  <si>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</si>
  <si>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</si>
  <si>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</si>
  <si>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</si>
  <si>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</si>
  <si>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</si>
  <si>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</si>
  <si>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E10000023</t>
  </si>
  <si>
    <t>North Yorkshire</t>
  </si>
  <si>
    <t>E07000163</t>
  </si>
  <si>
    <t>Craven</t>
  </si>
  <si>
    <t>E07000164</t>
  </si>
  <si>
    <t>Hambleton</t>
  </si>
  <si>
    <t>E07000165</t>
  </si>
  <si>
    <t>Harrogate</t>
  </si>
  <si>
    <t>E07000166</t>
  </si>
  <si>
    <t>Richmondshire</t>
  </si>
  <si>
    <t>E07000167</t>
  </si>
  <si>
    <t>Ryedale</t>
  </si>
  <si>
    <t>E07000168</t>
  </si>
  <si>
    <t>Scarborough</t>
  </si>
  <si>
    <t>E07000169</t>
  </si>
  <si>
    <t>Selby</t>
  </si>
  <si>
    <t>E11000003</t>
  </si>
  <si>
    <t>South Yorkshire</t>
  </si>
  <si>
    <t>E08000016</t>
  </si>
  <si>
    <t>Barnsley</t>
  </si>
  <si>
    <t>E08000017</t>
  </si>
  <si>
    <t>Doncaster</t>
  </si>
  <si>
    <t>E08000018</t>
  </si>
  <si>
    <t>Rotherham</t>
  </si>
  <si>
    <t>E08000019</t>
  </si>
  <si>
    <t>Sheffield</t>
  </si>
  <si>
    <t>E11000006</t>
  </si>
  <si>
    <t>West Yorkshire</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</si>
  <si>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</si>
  <si>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</si>
  <si>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</si>
  <si>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</si>
  <si>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</si>
  <si>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</si>
  <si>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</si>
  <si>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</si>
  <si>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</si>
  <si>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</si>
  <si>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</si>
  <si>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</si>
  <si>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</si>
  <si>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</si>
  <si>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</si>
  <si>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</si>
  <si>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</si>
  <si>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t>
  </si>
  <si>
    <t>E06000018</t>
  </si>
  <si>
    <t>Nottingham</t>
  </si>
  <si>
    <t>E06000017</t>
  </si>
  <si>
    <t>Rutland</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</si>
  <si>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</si>
  <si>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</si>
  <si>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</si>
  <si>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</si>
  <si>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</si>
  <si>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</si>
  <si>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</si>
  <si>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</si>
  <si>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</si>
  <si>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</si>
  <si>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</si>
  <si>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</si>
  <si>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</si>
  <si>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</si>
  <si>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</si>
  <si>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</si>
  <si>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</si>
  <si>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</si>
  <si>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</si>
  <si>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</si>
  <si>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</si>
  <si>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</si>
  <si>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</si>
  <si>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</si>
  <si>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</si>
  <si>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</si>
  <si>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</si>
  <si>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</si>
  <si>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</si>
  <si>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</si>
  <si>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</si>
  <si>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</si>
  <si>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</si>
  <si>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</si>
  <si>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</si>
  <si>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</si>
  <si>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</si>
  <si>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</si>
  <si>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</si>
  <si>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</si>
  <si>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</si>
  <si>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</si>
  <si>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</si>
  <si>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</si>
  <si>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</si>
  <si>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</si>
  <si>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</si>
  <si>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</si>
  <si>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</si>
  <si>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</si>
  <si>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</si>
  <si>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</si>
  <si>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</si>
  <si>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</si>
  <si>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</si>
  <si>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</si>
  <si>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</si>
  <si>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</si>
  <si>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</si>
  <si>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</si>
  <si>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</si>
  <si>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</si>
  <si>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</si>
  <si>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</si>
  <si>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</si>
  <si>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</si>
  <si>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</si>
  <si>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</si>
  <si>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</si>
  <si>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</si>
  <si>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</si>
  <si>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</si>
  <si>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</si>
  <si>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</si>
  <si>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</si>
  <si>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</si>
  <si>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</si>
  <si>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</si>
  <si>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</si>
  <si>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</si>
  <si>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</si>
  <si>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</si>
  <si>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</si>
  <si>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</si>
  <si>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</si>
  <si>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</si>
  <si>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</si>
  <si>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</si>
  <si>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</si>
  <si>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</si>
  <si>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</si>
  <si>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</si>
  <si>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</si>
  <si>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</si>
  <si>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</si>
  <si>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</si>
  <si>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</si>
  <si>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</si>
  <si>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</si>
  <si>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</si>
  <si>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</si>
  <si>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</si>
  <si>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</si>
  <si>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</si>
  <si>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</si>
  <si>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</si>
  <si>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</si>
  <si>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</si>
  <si>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</si>
  <si>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</si>
  <si>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</si>
  <si>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</si>
  <si>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</si>
  <si>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</si>
  <si>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</si>
  <si>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</si>
  <si>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</si>
  <si>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</si>
  <si>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</si>
  <si>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</si>
  <si>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</si>
  <si>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</si>
  <si>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</si>
  <si>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</si>
  <si>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</si>
  <si>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</si>
  <si>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</si>
  <si>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</si>
  <si>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</si>
  <si>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</si>
  <si>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</si>
  <si>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</si>
  <si>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</si>
  <si>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</si>
  <si>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</si>
  <si>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</si>
  <si>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</si>
  <si>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</si>
  <si>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</si>
  <si>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 OF ENGLAND</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</si>
  <si>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</si>
  <si>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</si>
  <si>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</si>
  <si>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</si>
  <si>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</si>
  <si>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</si>
  <si>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</si>
  <si>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</si>
  <si>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</si>
  <si>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</si>
  <si>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</si>
  <si>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</si>
  <si>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</si>
  <si>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</si>
  <si>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</si>
  <si>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</si>
  <si>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</si>
  <si>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</si>
  <si>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</si>
  <si>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</si>
  <si>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</si>
  <si>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</si>
  <si>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</si>
  <si>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</si>
  <si>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</si>
  <si>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</si>
  <si>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</si>
  <si>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</si>
  <si>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</si>
  <si>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</si>
  <si>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</si>
  <si>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</si>
  <si>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</si>
  <si>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</si>
  <si>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</si>
  <si>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</si>
  <si>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</si>
  <si>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</si>
  <si>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</si>
  <si>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</si>
  <si>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</si>
  <si>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</si>
  <si>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</si>
  <si>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</si>
  <si>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</si>
  <si>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</si>
  <si>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</si>
  <si>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</si>
  <si>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</si>
  <si>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</si>
  <si>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</si>
  <si>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</si>
  <si>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</si>
  <si>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</si>
  <si>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</si>
  <si>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</si>
  <si>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</si>
  <si>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</si>
  <si>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</si>
  <si>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</si>
  <si>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</si>
  <si>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</si>
  <si>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</si>
  <si>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</si>
  <si>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</si>
  <si>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</si>
  <si>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</si>
  <si>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</si>
  <si>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</si>
  <si>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</si>
  <si>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</si>
  <si>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</si>
  <si>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</si>
  <si>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</si>
  <si>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</si>
  <si>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</si>
  <si>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</si>
  <si>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</si>
  <si>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</si>
  <si>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</si>
  <si>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</si>
  <si>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</si>
  <si>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</si>
  <si>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</si>
  <si>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</si>
  <si>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</si>
  <si>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</si>
  <si>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</si>
  <si>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</si>
  <si>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</si>
  <si>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</si>
  <si>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</si>
  <si>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</si>
  <si>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</si>
  <si>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</si>
  <si>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</si>
  <si>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</si>
  <si>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</si>
  <si>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</si>
  <si>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</si>
  <si>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</si>
  <si>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</si>
  <si>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</si>
  <si>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</si>
  <si>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</si>
  <si>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</si>
  <si>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</si>
  <si>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</si>
  <si>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</si>
  <si>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</si>
  <si>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</si>
  <si>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</si>
  <si>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</si>
  <si>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</si>
  <si>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</si>
  <si>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</si>
  <si>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</si>
  <si>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</si>
  <si>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</si>
  <si>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</si>
  <si>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</si>
  <si>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</si>
  <si>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</si>
  <si>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</si>
  <si>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</si>
  <si>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</si>
  <si>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</si>
  <si>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</si>
  <si>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</si>
  <si>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</si>
  <si>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</si>
  <si>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</si>
  <si>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</si>
  <si>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</si>
  <si>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</si>
  <si>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</si>
  <si>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</si>
  <si>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</si>
  <si>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</si>
  <si>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</si>
  <si>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</si>
  <si>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</si>
  <si>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</si>
  <si>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</si>
  <si>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</si>
  <si>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</si>
  <si>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</si>
  <si>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</si>
  <si>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</si>
  <si>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</si>
  <si>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</si>
  <si>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</si>
  <si>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</si>
  <si>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</si>
  <si>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</si>
  <si>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</si>
  <si>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</si>
  <si>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</si>
  <si>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</si>
  <si>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</si>
  <si>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</si>
  <si>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</si>
  <si>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</si>
  <si>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</si>
  <si>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</si>
  <si>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</si>
  <si>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</si>
  <si>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</si>
  <si>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</si>
  <si>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</si>
  <si>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</si>
  <si>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</si>
  <si>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</si>
  <si>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</si>
  <si>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</si>
  <si>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</si>
  <si>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</si>
  <si>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</si>
  <si>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E06000060</t>
  </si>
  <si>
    <t>Buckinghamshire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</si>
  <si>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</si>
  <si>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</si>
  <si>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</si>
  <si>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</si>
  <si>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</si>
  <si>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</si>
  <si>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</si>
  <si>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</si>
  <si>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</si>
  <si>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</si>
  <si>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</si>
  <si>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</si>
  <si>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</si>
  <si>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</si>
  <si>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</si>
  <si>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</si>
  <si>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</si>
  <si>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</si>
  <si>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</si>
  <si>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</si>
  <si>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</si>
  <si>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</si>
  <si>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</si>
  <si>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</si>
  <si>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</si>
  <si>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</si>
  <si>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</si>
  <si>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</si>
  <si>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</si>
  <si>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</si>
  <si>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</si>
  <si>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</si>
  <si>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</si>
  <si>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</si>
  <si>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</si>
  <si>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</si>
  <si>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</si>
  <si>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</si>
  <si>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</si>
  <si>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</si>
  <si>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</si>
  <si>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</si>
  <si>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</si>
  <si>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</si>
  <si>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</si>
  <si>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</si>
  <si>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</si>
  <si>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</si>
  <si>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</si>
  <si>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</si>
  <si>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</si>
  <si>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</si>
  <si>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</si>
  <si>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</si>
  <si>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</si>
  <si>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</si>
  <si>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</si>
  <si>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</si>
  <si>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</si>
  <si>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</si>
  <si>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</si>
  <si>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</si>
  <si>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</si>
  <si>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</si>
  <si>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</si>
  <si>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</si>
  <si>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</si>
  <si>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</si>
  <si>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</si>
  <si>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</si>
  <si>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</si>
  <si>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</si>
  <si>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</si>
  <si>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</si>
  <si>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</si>
  <si>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</si>
  <si>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</si>
  <si>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</si>
  <si>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</si>
  <si>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</si>
  <si>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</si>
  <si>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</si>
  <si>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</si>
  <si>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</si>
  <si>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</si>
  <si>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</si>
  <si>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</si>
  <si>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</si>
  <si>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</si>
  <si>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</si>
  <si>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</si>
  <si>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</si>
  <si>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</si>
  <si>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</si>
  <si>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</si>
  <si>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</si>
  <si>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</si>
  <si>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</si>
  <si>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</si>
  <si>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</si>
  <si>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</si>
  <si>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</si>
  <si>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</si>
  <si>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</si>
  <si>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</si>
  <si>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</si>
  <si>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</si>
  <si>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</si>
  <si>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</si>
  <si>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</si>
  <si>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</si>
  <si>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</si>
  <si>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</si>
  <si>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</si>
  <si>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</si>
  <si>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</si>
  <si>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</si>
  <si>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</si>
  <si>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</si>
  <si>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</si>
  <si>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</si>
  <si>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</si>
  <si>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</si>
  <si>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</si>
  <si>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</si>
  <si>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</si>
  <si>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</si>
  <si>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</si>
  <si>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</si>
  <si>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</si>
  <si>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</si>
  <si>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</si>
  <si>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</si>
  <si>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</si>
  <si>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</si>
  <si>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</si>
  <si>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</si>
  <si>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</si>
  <si>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</si>
  <si>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</si>
  <si>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</si>
  <si>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</si>
  <si>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</si>
  <si>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</si>
  <si>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</si>
  <si>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</si>
  <si>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</si>
  <si>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</si>
  <si>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</si>
  <si>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</si>
  <si>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</si>
  <si>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</si>
  <si>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</si>
  <si>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</si>
  <si>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</si>
  <si>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</si>
  <si>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</si>
  <si>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</si>
  <si>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</si>
  <si>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</si>
  <si>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</si>
  <si>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</si>
  <si>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</si>
  <si>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</si>
  <si>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</si>
  <si>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</si>
  <si>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</si>
  <si>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</si>
  <si>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</si>
  <si>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</si>
  <si>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</si>
  <si>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</si>
  <si>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</si>
  <si>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</si>
  <si>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</si>
  <si>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</si>
  <si>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</si>
  <si>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</si>
  <si>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</si>
  <si>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</si>
  <si>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</si>
  <si>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</si>
  <si>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</si>
  <si>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</si>
  <si>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</si>
  <si>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</si>
  <si>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</si>
  <si>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</si>
  <si>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</si>
  <si>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</si>
  <si>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</si>
  <si>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</si>
  <si>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E10000027</t>
  </si>
  <si>
    <t>Somerset</t>
  </si>
  <si>
    <t>E07000187</t>
  </si>
  <si>
    <t>Mendip</t>
  </si>
  <si>
    <t>E07000188</t>
  </si>
  <si>
    <t>Sedgemoor</t>
  </si>
  <si>
    <t>E07000246</t>
  </si>
  <si>
    <t>Somerset West and Taunton</t>
  </si>
  <si>
    <t>E07000189</t>
  </si>
  <si>
    <t>South Somerset</t>
  </si>
  <si>
    <t>S92000003</t>
  </si>
  <si>
    <t>SCOTLAND</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</si>
  <si>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</si>
  <si>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</si>
  <si>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</si>
  <si>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</si>
  <si>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</si>
  <si>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</si>
  <si>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</si>
  <si>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</si>
  <si>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</si>
  <si>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</si>
  <si>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</si>
  <si>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</si>
  <si>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</si>
  <si>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</si>
  <si>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</si>
  <si>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</si>
  <si>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</si>
  <si>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</si>
  <si>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</si>
  <si>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</si>
  <si>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</si>
  <si>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</si>
  <si>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</si>
  <si>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</si>
  <si>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</si>
  <si>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</si>
  <si>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</si>
  <si>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</si>
  <si>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</si>
  <si>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</si>
  <si>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</si>
  <si>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</si>
  <si>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</si>
  <si>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</si>
  <si>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</si>
  <si>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</si>
  <si>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</si>
  <si>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</si>
  <si>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</si>
  <si>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</si>
  <si>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</si>
  <si>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</si>
  <si>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</si>
  <si>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</si>
  <si>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</si>
  <si>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</si>
  <si>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</si>
  <si>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</si>
  <si>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</si>
  <si>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</si>
  <si>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</si>
  <si>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</si>
  <si>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</si>
  <si>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</si>
  <si>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</si>
  <si>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</si>
  <si>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</si>
  <si>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</si>
  <si>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</si>
  <si>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</si>
  <si>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</si>
  <si>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</si>
  <si>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</si>
  <si>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</si>
  <si>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W92000004</t>
  </si>
  <si>
    <t>WALES</t>
  </si>
  <si>
    <t>W06000019</t>
  </si>
  <si>
    <t>Blaenau Gwent</t>
  </si>
  <si>
    <t>W06000013</t>
  </si>
  <si>
    <t>Bridgend</t>
  </si>
  <si>
    <t>W06000018</t>
  </si>
  <si>
    <t>Caerphilly</t>
  </si>
  <si>
    <t>W06000015</t>
  </si>
  <si>
    <t>Cardiff</t>
  </si>
  <si>
    <t>W06000010</t>
  </si>
  <si>
    <t>Carmarthenshire</t>
  </si>
  <si>
    <t>W06000008</t>
  </si>
  <si>
    <t>Ceredigion</t>
  </si>
  <si>
    <t>W06000003</t>
  </si>
  <si>
    <t>Conwy</t>
  </si>
  <si>
    <t>W06000004</t>
  </si>
  <si>
    <t>Denbighshire</t>
  </si>
  <si>
    <t>W06000005</t>
  </si>
  <si>
    <t>Flintshire</t>
  </si>
  <si>
    <t>W06000002</t>
  </si>
  <si>
    <t>Gwynedd</t>
  </si>
  <si>
    <t>W06000001</t>
  </si>
  <si>
    <t>Isle of Anglesey</t>
  </si>
  <si>
    <t>W06000024</t>
  </si>
  <si>
    <t>Merthyr Tydfil</t>
  </si>
  <si>
    <t>W06000021</t>
  </si>
  <si>
    <t>Monmouthshire</t>
  </si>
  <si>
    <t>W06000012</t>
  </si>
  <si>
    <t>Neath Port Talbot</t>
  </si>
  <si>
    <t>W06000022</t>
  </si>
  <si>
    <t>Newport</t>
  </si>
  <si>
    <t>W06000009</t>
  </si>
  <si>
    <t>Pembrokeshire</t>
  </si>
  <si>
    <t>W06000023</t>
  </si>
  <si>
    <t>Powys</t>
  </si>
  <si>
    <t>W06000016</t>
  </si>
  <si>
    <t>Rhondda Cynon Taf</t>
  </si>
  <si>
    <t>W06000011</t>
  </si>
  <si>
    <t>Swansea</t>
  </si>
  <si>
    <t>W06000020</t>
  </si>
  <si>
    <t>Torfaen</t>
  </si>
  <si>
    <t>W06000014</t>
  </si>
  <si>
    <t>Vale of Glamorgan</t>
  </si>
  <si>
    <t>W06000006</t>
  </si>
  <si>
    <t>Wrexham</t>
  </si>
  <si>
    <t>N92000002</t>
  </si>
  <si>
    <t>NORTHERN IRELAND</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</si>
  <si>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</si>
  <si>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</si>
  <si>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</si>
  <si>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</si>
  <si>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</si>
  <si>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</si>
  <si>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</si>
  <si>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</si>
  <si>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</si>
  <si>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</si>
  <si>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</si>
  <si>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</si>
  <si>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</si>
  <si>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</si>
  <si>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</si>
  <si>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</si>
  <si>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</si>
  <si>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</si>
  <si>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</si>
  <si>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</si>
  <si>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</si>
  <si>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</si>
  <si>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 xml:space="preserve"> Grant Value </t>
  </si>
  <si>
    <t>On-Street Residential Scheme (ORCS): Completed charging device installations [Note 6]</t>
  </si>
  <si>
    <t>Region, Local Authority or Council</t>
  </si>
  <si>
    <t>Financial Year Ending (FYE) 2018 [Note 7]</t>
  </si>
  <si>
    <t>FYE 2019</t>
  </si>
  <si>
    <t>FYE 2020</t>
  </si>
  <si>
    <t>FYE 2021</t>
  </si>
  <si>
    <t>FYE 2022</t>
  </si>
  <si>
    <t>FYE 2023</t>
  </si>
  <si>
    <t>Grand Total</t>
  </si>
  <si>
    <t>North East</t>
  </si>
  <si>
    <t>Durham County Council</t>
  </si>
  <si>
    <t>South Tyneside Council</t>
  </si>
  <si>
    <t>North West</t>
  </si>
  <si>
    <t>Bollington Town Council</t>
  </si>
  <si>
    <t>Cheshire West and Chester Borough Council</t>
  </si>
  <si>
    <t>Dent with Cowgill Parish Council</t>
  </si>
  <si>
    <t>Disley Parish Council</t>
  </si>
  <si>
    <t>Halton Borough Council</t>
  </si>
  <si>
    <t>Lancaster City Council</t>
  </si>
  <si>
    <t>Liverpool City Council</t>
  </si>
  <si>
    <t>West Lancashire Borough Council</t>
  </si>
  <si>
    <t>Wirral Council</t>
  </si>
  <si>
    <t>Yorkshire and the Humber</t>
  </si>
  <si>
    <t>Barnsley Council</t>
  </si>
  <si>
    <t>Calderdale Council</t>
  </si>
  <si>
    <t>Craven District Council</t>
  </si>
  <si>
    <t>Hovingham Parish Council</t>
  </si>
  <si>
    <t>Lincoln City Council</t>
  </si>
  <si>
    <t>Ryedale District Council</t>
  </si>
  <si>
    <t>East Midlands</t>
  </si>
  <si>
    <t>Amber Valley Borough Council</t>
  </si>
  <si>
    <t>Blaby Council</t>
  </si>
  <si>
    <t>Bolsover District Council</t>
  </si>
  <si>
    <t>Boston Borough Council</t>
  </si>
  <si>
    <t>Chesterfield Borough Council</t>
  </si>
  <si>
    <t>Daventry District Council</t>
  </si>
  <si>
    <t>Derbyshire County Council</t>
  </si>
  <si>
    <t>East Lindsey District Council</t>
  </si>
  <si>
    <t>Gedling Borough Council</t>
  </si>
  <si>
    <t>Harborough District Council</t>
  </si>
  <si>
    <t>Hinckley and Bosworth Borough Council</t>
  </si>
  <si>
    <t>Kettering Borough Council</t>
  </si>
  <si>
    <t>North West Leicestershire District Council</t>
  </si>
  <si>
    <t>Nottingham City Council</t>
  </si>
  <si>
    <t>Oadby and Wigston Borough Council</t>
  </si>
  <si>
    <t>Rushcliffe Borough Council</t>
  </si>
  <si>
    <t>South Derbyshire District Council</t>
  </si>
  <si>
    <t>South Kesteven District Council</t>
  </si>
  <si>
    <t>South Northamptonshire Council</t>
  </si>
  <si>
    <t>West Lindsey District Council</t>
  </si>
  <si>
    <t>Coventry City Council</t>
  </si>
  <si>
    <t>Kinver Parish Council</t>
  </si>
  <si>
    <t>Malvern Hills District Council</t>
  </si>
  <si>
    <t>Solihull Council</t>
  </si>
  <si>
    <t>Warwickshire County Council</t>
  </si>
  <si>
    <t>Wychavon District Council</t>
  </si>
  <si>
    <t>East of England</t>
  </si>
  <si>
    <t>Bedford Borough Council</t>
  </si>
  <si>
    <t>Braintree District Council</t>
  </si>
  <si>
    <t>Breckland and South Holland Council</t>
  </si>
  <si>
    <t>Broxbourne Borough Council</t>
  </si>
  <si>
    <t>Essex County Council</t>
  </si>
  <si>
    <t>Great Yarmouth Borough Council</t>
  </si>
  <si>
    <t>Luton Borough Council</t>
  </si>
  <si>
    <t>South Norfolk Council</t>
  </si>
  <si>
    <t>St Albans Council</t>
  </si>
  <si>
    <t>Uttlesford District Council</t>
  </si>
  <si>
    <t>Watford Borough Council</t>
  </si>
  <si>
    <t>Welwyn Hatfield Borough Council</t>
  </si>
  <si>
    <t>Welwyn Parish Council</t>
  </si>
  <si>
    <t>West Suffolk Councils</t>
  </si>
  <si>
    <t>London</t>
  </si>
  <si>
    <t>Lambeth Council</t>
  </si>
  <si>
    <t>London Borough of Brent</t>
  </si>
  <si>
    <t>London Borough of Camden</t>
  </si>
  <si>
    <t>London borough of Enfield</t>
  </si>
  <si>
    <t>London Borough of Hammersmith and Fulham</t>
  </si>
  <si>
    <t>London Borough of Harrow</t>
  </si>
  <si>
    <t>London Borough of Hounslow</t>
  </si>
  <si>
    <t>London Borough of Islington</t>
  </si>
  <si>
    <t>London Borough of Richmond upon Thames</t>
  </si>
  <si>
    <t>London Borough of Southwark</t>
  </si>
  <si>
    <t>London borough of Waltham Forest</t>
  </si>
  <si>
    <t>London Borough of Wandsworth</t>
  </si>
  <si>
    <t>London Borough of Westminster</t>
  </si>
  <si>
    <t>Royal Borough of Kensington and Chelsea</t>
  </si>
  <si>
    <t>South East</t>
  </si>
  <si>
    <t>Basingstoke and Deane Borough Council</t>
  </si>
  <si>
    <t>Bracknell Forest Council</t>
  </si>
  <si>
    <t>Brighton and Hove Council</t>
  </si>
  <si>
    <t>Buckinghamshire County Council</t>
  </si>
  <si>
    <t>Canterbury City Council</t>
  </si>
  <si>
    <t>Chichester District Council</t>
  </si>
  <si>
    <t>Cranbrook and Sissinghurst Parish Council</t>
  </si>
  <si>
    <t>Dover District Council</t>
  </si>
  <si>
    <t>Gravesham Borough Council</t>
  </si>
  <si>
    <t>Hampshire County Council</t>
  </si>
  <si>
    <t>Medway Council</t>
  </si>
  <si>
    <t>Oxfordshire County Council</t>
  </si>
  <si>
    <t>Portsmouth City Council</t>
  </si>
  <si>
    <t>Reading Borough Council</t>
  </si>
  <si>
    <t>Tadley Town Council</t>
  </si>
  <si>
    <t>Test Valley Borough Council</t>
  </si>
  <si>
    <t>West Berkshire Council</t>
  </si>
  <si>
    <t>South West</t>
  </si>
  <si>
    <t>Broadhembury Parish Council</t>
  </si>
  <si>
    <t>Camelford Town Council</t>
  </si>
  <si>
    <t>Lyme Regis Town Council</t>
  </si>
  <si>
    <t>Somerset West and Taunton Council</t>
  </si>
  <si>
    <t>Swindon Borough Council</t>
  </si>
  <si>
    <t>Wales</t>
  </si>
  <si>
    <t>Cardiff City Council</t>
  </si>
  <si>
    <t>Carmarthenshire County Council</t>
  </si>
  <si>
    <t>Denbighshire County Council</t>
  </si>
  <si>
    <t>Gwent County Borough Council</t>
  </si>
  <si>
    <t>Powys County Council</t>
  </si>
  <si>
    <t>Swansea Council</t>
  </si>
  <si>
    <t>Scotland</t>
  </si>
  <si>
    <t>Dumfries &amp; Galloway Council</t>
  </si>
  <si>
    <t>Dundee City Council</t>
  </si>
  <si>
    <t>East Lothian Council</t>
  </si>
  <si>
    <t>Renfrewshire Council</t>
  </si>
  <si>
    <t>Stirling Council</t>
  </si>
  <si>
    <t>On-Street Residential Scheme (ORCS): Grant value of completed installations [Note 6]</t>
  </si>
  <si>
    <t>On-Street Residential Scheme (ORCS): Approved applications of proposed charging devices [Note 8]</t>
  </si>
  <si>
    <t>Financial Year Ending (FYE) 2020</t>
  </si>
  <si>
    <t>FYE 2023 [Note 9]</t>
  </si>
  <si>
    <t>Northumberland Council</t>
  </si>
  <si>
    <t>Sunderland City Council</t>
  </si>
  <si>
    <t>Teeside Valley Combined Authority</t>
  </si>
  <si>
    <t>Burnley Council</t>
  </si>
  <si>
    <t>Cheshire East Council</t>
  </si>
  <si>
    <t>South Ribble Borough Council</t>
  </si>
  <si>
    <t>Warrington Borough Council</t>
  </si>
  <si>
    <t>Wyre Council</t>
  </si>
  <si>
    <t>Bradford Council</t>
  </si>
  <si>
    <t>Leeds City Council</t>
  </si>
  <si>
    <t>Scarborough Borough Council</t>
  </si>
  <si>
    <t>Belper Town Council</t>
  </si>
  <si>
    <t>Charnwood Borough Council</t>
  </si>
  <si>
    <t>King's Sutton Parish Council</t>
  </si>
  <si>
    <t>Leicester City Council</t>
  </si>
  <si>
    <t>Newark and Sherwood District Council</t>
  </si>
  <si>
    <t>North Lincolnshire Council</t>
  </si>
  <si>
    <t>South Holland District Council</t>
  </si>
  <si>
    <t>Dudley Council</t>
  </si>
  <si>
    <t>Sandwell Council</t>
  </si>
  <si>
    <t>Shropshire Council</t>
  </si>
  <si>
    <t>Stafford Borough Council</t>
  </si>
  <si>
    <t>Walsall Metropolitan Borough Council</t>
  </si>
  <si>
    <t>Worcestershire County Council</t>
  </si>
  <si>
    <t>Babergh and Mid Suffolk District Council</t>
  </si>
  <si>
    <t>Cambridgeshire County Council</t>
  </si>
  <si>
    <t>Central Bedfordshire Council</t>
  </si>
  <si>
    <t>Harlow Council</t>
  </si>
  <si>
    <t>Ipswich Borough Council</t>
  </si>
  <si>
    <t>Steeple Morden Parish Council</t>
  </si>
  <si>
    <t>Watlington Parish Council</t>
  </si>
  <si>
    <t>London Borough of Barnet</t>
  </si>
  <si>
    <t>London Borough of Bexley</t>
  </si>
  <si>
    <t>London Borough of Croydon</t>
  </si>
  <si>
    <t>London Borough of Ealing</t>
  </si>
  <si>
    <t>London Borough of Havering</t>
  </si>
  <si>
    <t>London Borough of Lewisham</t>
  </si>
  <si>
    <t>London Borough of Merton</t>
  </si>
  <si>
    <t>London Borough of Redbridge</t>
  </si>
  <si>
    <t>London Borough of Tower Hamlets</t>
  </si>
  <si>
    <t>Royal Borough of Kingston Upon Thames</t>
  </si>
  <si>
    <t>Ashford Borough Council</t>
  </si>
  <si>
    <t>East Cambridgeshire District Council</t>
  </si>
  <si>
    <t>Folkestone &amp; Hythe District Council</t>
  </si>
  <si>
    <t>Harrogate Borough Council</t>
  </si>
  <si>
    <t>Horsham District Council</t>
  </si>
  <si>
    <t>Ivers Parish Council</t>
  </si>
  <si>
    <t>Kent County Council</t>
  </si>
  <si>
    <t>Lewes and Eastbourne Council</t>
  </si>
  <si>
    <t>Mid Sussex DC</t>
  </si>
  <si>
    <t>Milton Keynes Council</t>
  </si>
  <si>
    <t>Surrey County Council</t>
  </si>
  <si>
    <t>Swale Borough Council</t>
  </si>
  <si>
    <t>Tendring District Council</t>
  </si>
  <si>
    <t>Tonbridge and Malling Borough Council</t>
  </si>
  <si>
    <t>Tunbridge Wells Borough Council</t>
  </si>
  <si>
    <t>Wealden District Council</t>
  </si>
  <si>
    <t>West Sussex County Council</t>
  </si>
  <si>
    <t>Woking Borough Council</t>
  </si>
  <si>
    <t>Wokingham Borough Council</t>
  </si>
  <si>
    <t>Bristol City Council</t>
  </si>
  <si>
    <t>Cricklade Town Council</t>
  </si>
  <si>
    <t>Devon County Council</t>
  </si>
  <si>
    <t>Dorset Council</t>
  </si>
  <si>
    <t>Mendip District Council</t>
  </si>
  <si>
    <t>Millbrook Parish Council</t>
  </si>
  <si>
    <t>Plymouth City Council</t>
  </si>
  <si>
    <t>Cardiff Capital Region Regional Transport Authority</t>
  </si>
  <si>
    <t>Ceredigion County Council</t>
  </si>
  <si>
    <t>Flintshire County Council</t>
  </si>
  <si>
    <t>Edinburgh City Council</t>
  </si>
  <si>
    <t>Glasgow City Council</t>
  </si>
  <si>
    <t>Perth and Kinross Council</t>
  </si>
  <si>
    <t>South Lanarkshire Council</t>
  </si>
  <si>
    <t>Northern Ireland</t>
  </si>
  <si>
    <t>Derry City &amp; Strabane District Council</t>
  </si>
  <si>
    <t>Newry, Mourne and Down District Council</t>
  </si>
  <si>
    <t>Table 1: Electric Vehicle Homecharge Scheme (EVHS): Charging devices installed and grant value at the end of each month since the scheme started. [Note 3]</t>
  </si>
  <si>
    <t xml:space="preserve">Date [Note 10] </t>
  </si>
  <si>
    <t>Charging Devices Installed</t>
  </si>
  <si>
    <t>June-15</t>
  </si>
  <si>
    <t>July-15</t>
  </si>
  <si>
    <t>June-16</t>
  </si>
  <si>
    <t>July-16</t>
  </si>
  <si>
    <t>Unknown Date [Note 11]</t>
  </si>
  <si>
    <t>Electric Vehicle Homecharge Scheme (EVHS): Charging devices installed each year by upper and lower tier local authority, United Kingdom from 2014 [Note 3]</t>
  </si>
  <si>
    <t>2014 and 2015 [Note 12]</t>
  </si>
  <si>
    <t>2016</t>
  </si>
  <si>
    <t>2017</t>
  </si>
  <si>
    <t>2018</t>
  </si>
  <si>
    <t>2019</t>
  </si>
  <si>
    <t>2020</t>
  </si>
  <si>
    <t>2021</t>
  </si>
  <si>
    <t>2022</t>
  </si>
  <si>
    <t>UNKNOWN</t>
  </si>
  <si>
    <t>Electric Vehicle Homecharge Scheme (EVHS): Charging devices installed by postcode district, United Kingdom [Note 3]</t>
  </si>
  <si>
    <t>Postcode District</t>
  </si>
  <si>
    <t>Charging Devices</t>
  </si>
  <si>
    <t>AB1</t>
  </si>
  <si>
    <t>low</t>
  </si>
  <si>
    <t>AB10</t>
  </si>
  <si>
    <t>AB11</t>
  </si>
  <si>
    <t>AB12</t>
  </si>
  <si>
    <t>AB13</t>
  </si>
  <si>
    <t>AB14</t>
  </si>
  <si>
    <t>AB15</t>
  </si>
  <si>
    <t>AB16</t>
  </si>
  <si>
    <t>AB2</t>
  </si>
  <si>
    <t>AB21</t>
  </si>
  <si>
    <t>AB22</t>
  </si>
  <si>
    <t>AB23</t>
  </si>
  <si>
    <t>AB24</t>
  </si>
  <si>
    <t>AB25</t>
  </si>
  <si>
    <t>AB3</t>
  </si>
  <si>
    <t>AB30</t>
  </si>
  <si>
    <t>AB31</t>
  </si>
  <si>
    <t>AB32</t>
  </si>
  <si>
    <t>AB33</t>
  </si>
  <si>
    <t>AB34</t>
  </si>
  <si>
    <t>AB35</t>
  </si>
  <si>
    <t>AB36</t>
  </si>
  <si>
    <t>AB37</t>
  </si>
  <si>
    <t>AB38</t>
  </si>
  <si>
    <t>AB39</t>
  </si>
  <si>
    <t>AB4</t>
  </si>
  <si>
    <t>AB41</t>
  </si>
  <si>
    <t>AB42</t>
  </si>
  <si>
    <t>AB43</t>
  </si>
  <si>
    <t>AB44</t>
  </si>
  <si>
    <t>AB45</t>
  </si>
  <si>
    <t>AB5</t>
  </si>
  <si>
    <t>AB51</t>
  </si>
  <si>
    <t>AB52</t>
  </si>
  <si>
    <t>AB53</t>
  </si>
  <si>
    <t>AB54</t>
  </si>
  <si>
    <t>AB55</t>
  </si>
  <si>
    <t>AB56</t>
  </si>
  <si>
    <t>AB9</t>
  </si>
  <si>
    <t>AB99</t>
  </si>
  <si>
    <t>AL1</t>
  </si>
  <si>
    <t>AL10</t>
  </si>
  <si>
    <t>AL2</t>
  </si>
  <si>
    <t>AL3</t>
  </si>
  <si>
    <t>AL4</t>
  </si>
  <si>
    <t>AL5</t>
  </si>
  <si>
    <t>AL6</t>
  </si>
  <si>
    <t>AL7</t>
  </si>
  <si>
    <t>AL8</t>
  </si>
  <si>
    <t>AL9</t>
  </si>
  <si>
    <t>B1</t>
  </si>
  <si>
    <t>B10</t>
  </si>
  <si>
    <t>B11</t>
  </si>
  <si>
    <t>B12</t>
  </si>
  <si>
    <t>B13</t>
  </si>
  <si>
    <t>B14</t>
  </si>
  <si>
    <t>B15</t>
  </si>
  <si>
    <t>B16</t>
  </si>
  <si>
    <t>B17</t>
  </si>
  <si>
    <t>B18</t>
  </si>
  <si>
    <t>B19</t>
  </si>
  <si>
    <t>B2</t>
  </si>
  <si>
    <t>B20</t>
  </si>
  <si>
    <t>B21</t>
  </si>
  <si>
    <t>B22</t>
  </si>
  <si>
    <t>B23</t>
  </si>
  <si>
    <t>B24</t>
  </si>
  <si>
    <t>B25</t>
  </si>
  <si>
    <t>B26</t>
  </si>
  <si>
    <t>B27</t>
  </si>
  <si>
    <t>B28</t>
  </si>
  <si>
    <t>B29</t>
  </si>
  <si>
    <t>B3</t>
  </si>
  <si>
    <t>B30</t>
  </si>
  <si>
    <t>B31</t>
  </si>
  <si>
    <t>B32</t>
  </si>
  <si>
    <t>B33</t>
  </si>
  <si>
    <t>B34</t>
  </si>
  <si>
    <t>B35</t>
  </si>
  <si>
    <t>B36</t>
  </si>
  <si>
    <t>B37</t>
  </si>
  <si>
    <t>B38</t>
  </si>
  <si>
    <t>B4</t>
  </si>
  <si>
    <t>B40</t>
  </si>
  <si>
    <t>B42</t>
  </si>
  <si>
    <t>B43</t>
  </si>
  <si>
    <t>B44</t>
  </si>
  <si>
    <t>B45</t>
  </si>
  <si>
    <t>B46</t>
  </si>
  <si>
    <t>B47</t>
  </si>
  <si>
    <t>B48</t>
  </si>
  <si>
    <t>B49</t>
  </si>
  <si>
    <t>B5</t>
  </si>
  <si>
    <t>B50</t>
  </si>
  <si>
    <t>B6</t>
  </si>
  <si>
    <t>B60</t>
  </si>
  <si>
    <t>B61</t>
  </si>
  <si>
    <t>B62</t>
  </si>
  <si>
    <t>B63</t>
  </si>
  <si>
    <t>B64</t>
  </si>
  <si>
    <t>B65</t>
  </si>
  <si>
    <t>B66</t>
  </si>
  <si>
    <t>B67</t>
  </si>
  <si>
    <t>B68</t>
  </si>
  <si>
    <t>B69</t>
  </si>
  <si>
    <t>B7</t>
  </si>
  <si>
    <t>B70</t>
  </si>
  <si>
    <t>B71</t>
  </si>
  <si>
    <t>B72</t>
  </si>
  <si>
    <t>B73</t>
  </si>
  <si>
    <t>B74</t>
  </si>
  <si>
    <t>B75</t>
  </si>
  <si>
    <t>B76</t>
  </si>
  <si>
    <t>B77</t>
  </si>
  <si>
    <t>B78</t>
  </si>
  <si>
    <t>B79</t>
  </si>
  <si>
    <t>B8</t>
  </si>
  <si>
    <t>B80</t>
  </si>
  <si>
    <t>B9</t>
  </si>
  <si>
    <t>B90</t>
  </si>
  <si>
    <t>B91</t>
  </si>
  <si>
    <t>B92</t>
  </si>
  <si>
    <t>B93</t>
  </si>
  <si>
    <t>B94</t>
  </si>
  <si>
    <t>B95</t>
  </si>
  <si>
    <t>B96</t>
  </si>
  <si>
    <t>B97</t>
  </si>
  <si>
    <t>B98</t>
  </si>
  <si>
    <t>B99</t>
  </si>
  <si>
    <t>BA1</t>
  </si>
  <si>
    <t>BA10</t>
  </si>
  <si>
    <t>BA11</t>
  </si>
  <si>
    <t>BA12</t>
  </si>
  <si>
    <t>BA13</t>
  </si>
  <si>
    <t>BA14</t>
  </si>
  <si>
    <t>BA15</t>
  </si>
  <si>
    <t>BA16</t>
  </si>
  <si>
    <t>BA2</t>
  </si>
  <si>
    <t>BA20</t>
  </si>
  <si>
    <t>BA21</t>
  </si>
  <si>
    <t>BA22</t>
  </si>
  <si>
    <t>BA3</t>
  </si>
  <si>
    <t>BA4</t>
  </si>
  <si>
    <t>BA5</t>
  </si>
  <si>
    <t>BA6</t>
  </si>
  <si>
    <t>BA7</t>
  </si>
  <si>
    <t>BA8</t>
  </si>
  <si>
    <t>BA9</t>
  </si>
  <si>
    <t>BB0</t>
  </si>
  <si>
    <t>BB1</t>
  </si>
  <si>
    <t>BB10</t>
  </si>
  <si>
    <t>BB11</t>
  </si>
  <si>
    <t>BB12</t>
  </si>
  <si>
    <t>BB18</t>
  </si>
  <si>
    <t>BB2</t>
  </si>
  <si>
    <t>BB3</t>
  </si>
  <si>
    <t>BB4</t>
  </si>
  <si>
    <t>BB5</t>
  </si>
  <si>
    <t>BB6</t>
  </si>
  <si>
    <t>BB7</t>
  </si>
  <si>
    <t>BB8</t>
  </si>
  <si>
    <t>BB9</t>
  </si>
  <si>
    <t>BB94</t>
  </si>
  <si>
    <t>BD1</t>
  </si>
  <si>
    <t>BD10</t>
  </si>
  <si>
    <t>BD11</t>
  </si>
  <si>
    <t>BD12</t>
  </si>
  <si>
    <t>BD13</t>
  </si>
  <si>
    <t>BD14</t>
  </si>
  <si>
    <t>BD15</t>
  </si>
  <si>
    <t>BD16</t>
  </si>
  <si>
    <t>BD17</t>
  </si>
  <si>
    <t>BD18</t>
  </si>
  <si>
    <t>BD19</t>
  </si>
  <si>
    <t>BD2</t>
  </si>
  <si>
    <t>BD20</t>
  </si>
  <si>
    <t>BD21</t>
  </si>
  <si>
    <t>BD22</t>
  </si>
  <si>
    <t>BD23</t>
  </si>
  <si>
    <t>BD24</t>
  </si>
  <si>
    <t>BD3</t>
  </si>
  <si>
    <t>BD4</t>
  </si>
  <si>
    <t>BD5</t>
  </si>
  <si>
    <t>BD6</t>
  </si>
  <si>
    <t>BD7</t>
  </si>
  <si>
    <t>BD8</t>
  </si>
  <si>
    <t>BD9</t>
  </si>
  <si>
    <t>BD97</t>
  </si>
  <si>
    <t>BD98</t>
  </si>
  <si>
    <t>BD99</t>
  </si>
  <si>
    <t>BH1</t>
  </si>
  <si>
    <t>BH10</t>
  </si>
  <si>
    <t>BH11</t>
  </si>
  <si>
    <t>BH12</t>
  </si>
  <si>
    <t>BH13</t>
  </si>
  <si>
    <t>BH14</t>
  </si>
  <si>
    <t>BH15</t>
  </si>
  <si>
    <t>BH16</t>
  </si>
  <si>
    <t>BH17</t>
  </si>
  <si>
    <t>BH18</t>
  </si>
  <si>
    <t>BH19</t>
  </si>
  <si>
    <t>BH2</t>
  </si>
  <si>
    <t>BH20</t>
  </si>
  <si>
    <t>BH21</t>
  </si>
  <si>
    <t>BH22</t>
  </si>
  <si>
    <t>BH23</t>
  </si>
  <si>
    <t>BH24</t>
  </si>
  <si>
    <t>BH25</t>
  </si>
  <si>
    <t>BH3</t>
  </si>
  <si>
    <t>BH31</t>
  </si>
  <si>
    <t>BH4</t>
  </si>
  <si>
    <t>BH5</t>
  </si>
  <si>
    <t>BH6</t>
  </si>
  <si>
    <t>BH7</t>
  </si>
  <si>
    <t>BH8</t>
  </si>
  <si>
    <t>BH9</t>
  </si>
  <si>
    <t>BL0</t>
  </si>
  <si>
    <t>BL1</t>
  </si>
  <si>
    <t>BL11</t>
  </si>
  <si>
    <t>BL2</t>
  </si>
  <si>
    <t>BL3</t>
  </si>
  <si>
    <t>BL4</t>
  </si>
  <si>
    <t>BL5</t>
  </si>
  <si>
    <t>BL6</t>
  </si>
  <si>
    <t>BL7</t>
  </si>
  <si>
    <t>BL78</t>
  </si>
  <si>
    <t>BL8</t>
  </si>
  <si>
    <t>BL9</t>
  </si>
  <si>
    <t>BN1</t>
  </si>
  <si>
    <t>BN10</t>
  </si>
  <si>
    <t>BN11</t>
  </si>
  <si>
    <t>BN12</t>
  </si>
  <si>
    <t>BN13</t>
  </si>
  <si>
    <t>BN14</t>
  </si>
  <si>
    <t>BN15</t>
  </si>
  <si>
    <t>BN16</t>
  </si>
  <si>
    <t>BN17</t>
  </si>
  <si>
    <t>BN18</t>
  </si>
  <si>
    <t>BN2</t>
  </si>
  <si>
    <t>BN20</t>
  </si>
  <si>
    <t>BN21</t>
  </si>
  <si>
    <t>BN22</t>
  </si>
  <si>
    <t>BN23</t>
  </si>
  <si>
    <t>BN24</t>
  </si>
  <si>
    <t>BN25</t>
  </si>
  <si>
    <t>BN26</t>
  </si>
  <si>
    <t>BN27</t>
  </si>
  <si>
    <t>BN3</t>
  </si>
  <si>
    <t>BN4</t>
  </si>
  <si>
    <t>BN41</t>
  </si>
  <si>
    <t>BN42</t>
  </si>
  <si>
    <t>BN43</t>
  </si>
  <si>
    <t>BN44</t>
  </si>
  <si>
    <t>BN45</t>
  </si>
  <si>
    <t>BN5</t>
  </si>
  <si>
    <t>BN50</t>
  </si>
  <si>
    <t>BN51</t>
  </si>
  <si>
    <t>BN52</t>
  </si>
  <si>
    <t>BN6</t>
  </si>
  <si>
    <t>BN7</t>
  </si>
  <si>
    <t>BN8</t>
  </si>
  <si>
    <t>BN88</t>
  </si>
  <si>
    <t>BN9</t>
  </si>
  <si>
    <t>BN91</t>
  </si>
  <si>
    <t>BN95</t>
  </si>
  <si>
    <t>BN99</t>
  </si>
  <si>
    <t>BR1</t>
  </si>
  <si>
    <t>BR2</t>
  </si>
  <si>
    <t>BR3</t>
  </si>
  <si>
    <t>BR4</t>
  </si>
  <si>
    <t>BR5</t>
  </si>
  <si>
    <t>BR6</t>
  </si>
  <si>
    <t>BR7</t>
  </si>
  <si>
    <t>BR8</t>
  </si>
  <si>
    <t>BR98</t>
  </si>
  <si>
    <t>BS0</t>
  </si>
  <si>
    <t>BS1</t>
  </si>
  <si>
    <t>BS10</t>
  </si>
  <si>
    <t>BS11</t>
  </si>
  <si>
    <t>BS12</t>
  </si>
  <si>
    <t>BS13</t>
  </si>
  <si>
    <t>BS14</t>
  </si>
  <si>
    <t>BS15</t>
  </si>
  <si>
    <t>BS16</t>
  </si>
  <si>
    <t>BS17</t>
  </si>
  <si>
    <t>BS18</t>
  </si>
  <si>
    <t>BS19</t>
  </si>
  <si>
    <t>BS2</t>
  </si>
  <si>
    <t>BS20</t>
  </si>
  <si>
    <t>BS21</t>
  </si>
  <si>
    <t>BS22</t>
  </si>
  <si>
    <t>BS23</t>
  </si>
  <si>
    <t>BS24</t>
  </si>
  <si>
    <t>BS25</t>
  </si>
  <si>
    <t>BS26</t>
  </si>
  <si>
    <t>BS27</t>
  </si>
  <si>
    <t>BS28</t>
  </si>
  <si>
    <t>BS29</t>
  </si>
  <si>
    <t>BS3</t>
  </si>
  <si>
    <t>BS30</t>
  </si>
  <si>
    <t>BS31</t>
  </si>
  <si>
    <t>BS32</t>
  </si>
  <si>
    <t>BS34</t>
  </si>
  <si>
    <t>BS35</t>
  </si>
  <si>
    <t>BS36</t>
  </si>
  <si>
    <t>BS37</t>
  </si>
  <si>
    <t>BS38</t>
  </si>
  <si>
    <t>BS39</t>
  </si>
  <si>
    <t>BS4</t>
  </si>
  <si>
    <t>BS40</t>
  </si>
  <si>
    <t>BS41</t>
  </si>
  <si>
    <t>BS48</t>
  </si>
  <si>
    <t>BS49</t>
  </si>
  <si>
    <t>BS5</t>
  </si>
  <si>
    <t>BS6</t>
  </si>
  <si>
    <t>BS7</t>
  </si>
  <si>
    <t>BS77</t>
  </si>
  <si>
    <t>BS8</t>
  </si>
  <si>
    <t>BS80</t>
  </si>
  <si>
    <t>BS9</t>
  </si>
  <si>
    <t>BS98</t>
  </si>
  <si>
    <t>BS99</t>
  </si>
  <si>
    <t>BT1</t>
  </si>
  <si>
    <t>BT10</t>
  </si>
  <si>
    <t>BT11</t>
  </si>
  <si>
    <t>BT12</t>
  </si>
  <si>
    <t>BT13</t>
  </si>
  <si>
    <t>BT14</t>
  </si>
  <si>
    <t>BT15</t>
  </si>
  <si>
    <t>BT16</t>
  </si>
  <si>
    <t>BT17</t>
  </si>
  <si>
    <t>BT18</t>
  </si>
  <si>
    <t>BT19</t>
  </si>
  <si>
    <t>BT2</t>
  </si>
  <si>
    <t>BT20</t>
  </si>
  <si>
    <t>BT21</t>
  </si>
  <si>
    <t>BT22</t>
  </si>
  <si>
    <t>BT23</t>
  </si>
  <si>
    <t>BT24</t>
  </si>
  <si>
    <t>BT25</t>
  </si>
  <si>
    <t>BT26</t>
  </si>
  <si>
    <t>BT27</t>
  </si>
  <si>
    <t>BT28</t>
  </si>
  <si>
    <t>BT29</t>
  </si>
  <si>
    <t>BT3</t>
  </si>
  <si>
    <t>BT30</t>
  </si>
  <si>
    <t>BT31</t>
  </si>
  <si>
    <t>BT32</t>
  </si>
  <si>
    <t>BT33</t>
  </si>
  <si>
    <t>BT34</t>
  </si>
  <si>
    <t>BT35</t>
  </si>
  <si>
    <t>BT36</t>
  </si>
  <si>
    <t>BT37</t>
  </si>
  <si>
    <t>BT38</t>
  </si>
  <si>
    <t>BT39</t>
  </si>
  <si>
    <t>BT4</t>
  </si>
  <si>
    <t>BT40</t>
  </si>
  <si>
    <t>BT41</t>
  </si>
  <si>
    <t>BT42</t>
  </si>
  <si>
    <t>BT43</t>
  </si>
  <si>
    <t>BT44</t>
  </si>
  <si>
    <t>BT45</t>
  </si>
  <si>
    <t>BT46</t>
  </si>
  <si>
    <t>BT47</t>
  </si>
  <si>
    <t>BT48</t>
  </si>
  <si>
    <t>BT49</t>
  </si>
  <si>
    <t>BT5</t>
  </si>
  <si>
    <t>BT51</t>
  </si>
  <si>
    <t>BT52</t>
  </si>
  <si>
    <t>BT53</t>
  </si>
  <si>
    <t>BT54</t>
  </si>
  <si>
    <t>BT55</t>
  </si>
  <si>
    <t>BT56</t>
  </si>
  <si>
    <t>BT57</t>
  </si>
  <si>
    <t>BT58</t>
  </si>
  <si>
    <t>BT6</t>
  </si>
  <si>
    <t>BT60</t>
  </si>
  <si>
    <t>BT61</t>
  </si>
  <si>
    <t>BT62</t>
  </si>
  <si>
    <t>BT63</t>
  </si>
  <si>
    <t>BT64</t>
  </si>
  <si>
    <t>BT65</t>
  </si>
  <si>
    <t>BT66</t>
  </si>
  <si>
    <t>BT67</t>
  </si>
  <si>
    <t>BT68</t>
  </si>
  <si>
    <t>BT69</t>
  </si>
  <si>
    <t>BT7</t>
  </si>
  <si>
    <t>BT70</t>
  </si>
  <si>
    <t>BT71</t>
  </si>
  <si>
    <t>BT74</t>
  </si>
  <si>
    <t>BT75</t>
  </si>
  <si>
    <t>BT76</t>
  </si>
  <si>
    <t>BT77</t>
  </si>
  <si>
    <t>BT78</t>
  </si>
  <si>
    <t>BT79</t>
  </si>
  <si>
    <t>BT8</t>
  </si>
  <si>
    <t>BT80</t>
  </si>
  <si>
    <t>BT81</t>
  </si>
  <si>
    <t>BT82</t>
  </si>
  <si>
    <t>BT9</t>
  </si>
  <si>
    <t>BT92</t>
  </si>
  <si>
    <t>BT93</t>
  </si>
  <si>
    <t>BT94</t>
  </si>
  <si>
    <t>BT99</t>
  </si>
  <si>
    <t>CA1</t>
  </si>
  <si>
    <t>CA10</t>
  </si>
  <si>
    <t>CA11</t>
  </si>
  <si>
    <t>CA12</t>
  </si>
  <si>
    <t>CA13</t>
  </si>
  <si>
    <t>CA14</t>
  </si>
  <si>
    <t>CA15</t>
  </si>
  <si>
    <t>CA16</t>
  </si>
  <si>
    <t>CA17</t>
  </si>
  <si>
    <t>CA18</t>
  </si>
  <si>
    <t>CA19</t>
  </si>
  <si>
    <t>CA2</t>
  </si>
  <si>
    <t>CA20</t>
  </si>
  <si>
    <t>CA21</t>
  </si>
  <si>
    <t>CA22</t>
  </si>
  <si>
    <t>CA23</t>
  </si>
  <si>
    <t>CA24</t>
  </si>
  <si>
    <t>CA25</t>
  </si>
  <si>
    <t>CA26</t>
  </si>
  <si>
    <t>CA27</t>
  </si>
  <si>
    <t>CA28</t>
  </si>
  <si>
    <t>CA3</t>
  </si>
  <si>
    <t>CA4</t>
  </si>
  <si>
    <t>CA5</t>
  </si>
  <si>
    <t>CA6</t>
  </si>
  <si>
    <t>CA7</t>
  </si>
  <si>
    <t>CA8</t>
  </si>
  <si>
    <t>CA9</t>
  </si>
  <si>
    <t>CA95</t>
  </si>
  <si>
    <t>CA99</t>
  </si>
  <si>
    <t>CB1</t>
  </si>
  <si>
    <t>CB10</t>
  </si>
  <si>
    <t>CB11</t>
  </si>
  <si>
    <t>CB2</t>
  </si>
  <si>
    <t>CB21</t>
  </si>
  <si>
    <t>CB22</t>
  </si>
  <si>
    <t>CB23</t>
  </si>
  <si>
    <t>CB24</t>
  </si>
  <si>
    <t>CB25</t>
  </si>
  <si>
    <t>CB3</t>
  </si>
  <si>
    <t>CB4</t>
  </si>
  <si>
    <t>CB5</t>
  </si>
  <si>
    <t>CB6</t>
  </si>
  <si>
    <t>CB7</t>
  </si>
  <si>
    <t>CB8</t>
  </si>
  <si>
    <t>CB9</t>
  </si>
  <si>
    <t>CF1</t>
  </si>
  <si>
    <t>CF10</t>
  </si>
  <si>
    <t>CF11</t>
  </si>
  <si>
    <t>CF14</t>
  </si>
  <si>
    <t>CF15</t>
  </si>
  <si>
    <t>CF2</t>
  </si>
  <si>
    <t>CF21</t>
  </si>
  <si>
    <t>CF23</t>
  </si>
  <si>
    <t>CF24</t>
  </si>
  <si>
    <t>CF3</t>
  </si>
  <si>
    <t>CF30</t>
  </si>
  <si>
    <t>CF31</t>
  </si>
  <si>
    <t>CF32</t>
  </si>
  <si>
    <t>CF33</t>
  </si>
  <si>
    <t>CF34</t>
  </si>
  <si>
    <t>CF35</t>
  </si>
  <si>
    <t>CF36</t>
  </si>
  <si>
    <t>CF37</t>
  </si>
  <si>
    <t>CF38</t>
  </si>
  <si>
    <t>CF39</t>
  </si>
  <si>
    <t>CF4</t>
  </si>
  <si>
    <t>CF40</t>
  </si>
  <si>
    <t>CF41</t>
  </si>
  <si>
    <t>CF42</t>
  </si>
  <si>
    <t>CF43</t>
  </si>
  <si>
    <t>CF44</t>
  </si>
  <si>
    <t>CF45</t>
  </si>
  <si>
    <t>CF46</t>
  </si>
  <si>
    <t>CF47</t>
  </si>
  <si>
    <t>CF48</t>
  </si>
  <si>
    <t>CF5</t>
  </si>
  <si>
    <t>CF6</t>
  </si>
  <si>
    <t>CF61</t>
  </si>
  <si>
    <t>CF62</t>
  </si>
  <si>
    <t>CF63</t>
  </si>
  <si>
    <t>CF64</t>
  </si>
  <si>
    <t>CF7</t>
  </si>
  <si>
    <t>CF71</t>
  </si>
  <si>
    <t>CF72</t>
  </si>
  <si>
    <t>CF8</t>
  </si>
  <si>
    <t>CF81</t>
  </si>
  <si>
    <t>CF82</t>
  </si>
  <si>
    <t>CF83</t>
  </si>
  <si>
    <t>CF91</t>
  </si>
  <si>
    <t>CF95</t>
  </si>
  <si>
    <t>CF99</t>
  </si>
  <si>
    <t>CH1</t>
  </si>
  <si>
    <t>CH2</t>
  </si>
  <si>
    <t>CH25</t>
  </si>
  <si>
    <t>CH26</t>
  </si>
  <si>
    <t>CH27</t>
  </si>
  <si>
    <t>CH28</t>
  </si>
  <si>
    <t>CH29</t>
  </si>
  <si>
    <t>CH3</t>
  </si>
  <si>
    <t>CH30</t>
  </si>
  <si>
    <t>CH31</t>
  </si>
  <si>
    <t>CH32</t>
  </si>
  <si>
    <t>CH33</t>
  </si>
  <si>
    <t>CH34</t>
  </si>
  <si>
    <t>CH4</t>
  </si>
  <si>
    <t>CH41</t>
  </si>
  <si>
    <t>CH42</t>
  </si>
  <si>
    <t>CH43</t>
  </si>
  <si>
    <t>CH44</t>
  </si>
  <si>
    <t>CH45</t>
  </si>
  <si>
    <t>CH46</t>
  </si>
  <si>
    <t>CH47</t>
  </si>
  <si>
    <t>CH48</t>
  </si>
  <si>
    <t>CH49</t>
  </si>
  <si>
    <t>CH5</t>
  </si>
  <si>
    <t>CH6</t>
  </si>
  <si>
    <t>CH60</t>
  </si>
  <si>
    <t>CH61</t>
  </si>
  <si>
    <t>CH62</t>
  </si>
  <si>
    <t>CH63</t>
  </si>
  <si>
    <t>CH64</t>
  </si>
  <si>
    <t>CH65</t>
  </si>
  <si>
    <t>CH66</t>
  </si>
  <si>
    <t>CH7</t>
  </si>
  <si>
    <t>CH70</t>
  </si>
  <si>
    <t>CH8</t>
  </si>
  <si>
    <t>CH88</t>
  </si>
  <si>
    <t>CH99</t>
  </si>
  <si>
    <t>CM0</t>
  </si>
  <si>
    <t>CM1</t>
  </si>
  <si>
    <t>CM11</t>
  </si>
  <si>
    <t>CM12</t>
  </si>
  <si>
    <t>CM13</t>
  </si>
  <si>
    <t>CM14</t>
  </si>
  <si>
    <t>CM15</t>
  </si>
  <si>
    <t>CM16</t>
  </si>
  <si>
    <t>CM17</t>
  </si>
  <si>
    <t>CM18</t>
  </si>
  <si>
    <t>CM19</t>
  </si>
  <si>
    <t>CM2</t>
  </si>
  <si>
    <t>CM20</t>
  </si>
  <si>
    <t>CM21</t>
  </si>
  <si>
    <t>CM22</t>
  </si>
  <si>
    <t>CM23</t>
  </si>
  <si>
    <t>CM24</t>
  </si>
  <si>
    <t>CM3</t>
  </si>
  <si>
    <t>CM4</t>
  </si>
  <si>
    <t>CM5</t>
  </si>
  <si>
    <t>CM6</t>
  </si>
  <si>
    <t>CM7</t>
  </si>
  <si>
    <t>CM77</t>
  </si>
  <si>
    <t>CM8</t>
  </si>
  <si>
    <t>CM9</t>
  </si>
  <si>
    <t>CM92</t>
  </si>
  <si>
    <t>CM98</t>
  </si>
  <si>
    <t>CM99</t>
  </si>
  <si>
    <t>CO1</t>
  </si>
  <si>
    <t>CO10</t>
  </si>
  <si>
    <t>CO11</t>
  </si>
  <si>
    <t>CO12</t>
  </si>
  <si>
    <t>CO13</t>
  </si>
  <si>
    <t>CO14</t>
  </si>
  <si>
    <t>CO15</t>
  </si>
  <si>
    <t>CO16</t>
  </si>
  <si>
    <t>CO2</t>
  </si>
  <si>
    <t>CO3</t>
  </si>
  <si>
    <t>CO4</t>
  </si>
  <si>
    <t>CO5</t>
  </si>
  <si>
    <t>CO6</t>
  </si>
  <si>
    <t>CO7</t>
  </si>
  <si>
    <t>CO8</t>
  </si>
  <si>
    <t>CO9</t>
  </si>
  <si>
    <t>CR0</t>
  </si>
  <si>
    <t>CR2</t>
  </si>
  <si>
    <t>CR3</t>
  </si>
  <si>
    <t>CR4</t>
  </si>
  <si>
    <t>CR44</t>
  </si>
  <si>
    <t>CR5</t>
  </si>
  <si>
    <t>CR6</t>
  </si>
  <si>
    <t>CR7</t>
  </si>
  <si>
    <t>CR8</t>
  </si>
  <si>
    <t>CR9</t>
  </si>
  <si>
    <t>CR90</t>
  </si>
  <si>
    <t>CT1</t>
  </si>
  <si>
    <t>CT10</t>
  </si>
  <si>
    <t>CT11</t>
  </si>
  <si>
    <t>CT12</t>
  </si>
  <si>
    <t>CT13</t>
  </si>
  <si>
    <t>CT14</t>
  </si>
  <si>
    <t>CT15</t>
  </si>
  <si>
    <t>CT16</t>
  </si>
  <si>
    <t>CT17</t>
  </si>
  <si>
    <t>CT18</t>
  </si>
  <si>
    <t>CT19</t>
  </si>
  <si>
    <t>CT2</t>
  </si>
  <si>
    <t>CT20</t>
  </si>
  <si>
    <t>CT21</t>
  </si>
  <si>
    <t>CT3</t>
  </si>
  <si>
    <t>CT4</t>
  </si>
  <si>
    <t>CT5</t>
  </si>
  <si>
    <t>CT50</t>
  </si>
  <si>
    <t>CT6</t>
  </si>
  <si>
    <t>CT7</t>
  </si>
  <si>
    <t>CT8</t>
  </si>
  <si>
    <t>CT9</t>
  </si>
  <si>
    <t>CV1</t>
  </si>
  <si>
    <t>CV10</t>
  </si>
  <si>
    <t>CV11</t>
  </si>
  <si>
    <t>CV12</t>
  </si>
  <si>
    <t>CV13</t>
  </si>
  <si>
    <t>CV2</t>
  </si>
  <si>
    <t>CV21</t>
  </si>
  <si>
    <t>CV22</t>
  </si>
  <si>
    <t>CV23</t>
  </si>
  <si>
    <t>CV3</t>
  </si>
  <si>
    <t>CV31</t>
  </si>
  <si>
    <t>CV32</t>
  </si>
  <si>
    <t>CV33</t>
  </si>
  <si>
    <t>CV34</t>
  </si>
  <si>
    <t>CV35</t>
  </si>
  <si>
    <t>CV36</t>
  </si>
  <si>
    <t>CV37</t>
  </si>
  <si>
    <t>CV4</t>
  </si>
  <si>
    <t>CV47</t>
  </si>
  <si>
    <t>CV5</t>
  </si>
  <si>
    <t>CV6</t>
  </si>
  <si>
    <t>CV7</t>
  </si>
  <si>
    <t>CV8</t>
  </si>
  <si>
    <t>CV9</t>
  </si>
  <si>
    <t>CW1</t>
  </si>
  <si>
    <t>CW10</t>
  </si>
  <si>
    <t>CW11</t>
  </si>
  <si>
    <t>CW12</t>
  </si>
  <si>
    <t>CW2</t>
  </si>
  <si>
    <t>CW3</t>
  </si>
  <si>
    <t>CW4</t>
  </si>
  <si>
    <t>CW5</t>
  </si>
  <si>
    <t>CW6</t>
  </si>
  <si>
    <t>CW7</t>
  </si>
  <si>
    <t>CW8</t>
  </si>
  <si>
    <t>CW9</t>
  </si>
  <si>
    <t>CW98</t>
  </si>
  <si>
    <t>DA1</t>
  </si>
  <si>
    <t>DA10</t>
  </si>
  <si>
    <t>DA11</t>
  </si>
  <si>
    <t>DA12</t>
  </si>
  <si>
    <t>DA13</t>
  </si>
  <si>
    <t>DA14</t>
  </si>
  <si>
    <t>DA15</t>
  </si>
  <si>
    <t>DA16</t>
  </si>
  <si>
    <t>DA17</t>
  </si>
  <si>
    <t>DA18</t>
  </si>
  <si>
    <t>DA2</t>
  </si>
  <si>
    <t>DA3</t>
  </si>
  <si>
    <t>DA4</t>
  </si>
  <si>
    <t>DA5</t>
  </si>
  <si>
    <t>DA6</t>
  </si>
  <si>
    <t>DA7</t>
  </si>
  <si>
    <t>DA8</t>
  </si>
  <si>
    <t>DA9</t>
  </si>
  <si>
    <t>DD1</t>
  </si>
  <si>
    <t>DD10</t>
  </si>
  <si>
    <t>DD11</t>
  </si>
  <si>
    <t>DD2</t>
  </si>
  <si>
    <t>DD3</t>
  </si>
  <si>
    <t>DD4</t>
  </si>
  <si>
    <t>DD5</t>
  </si>
  <si>
    <t>DD6</t>
  </si>
  <si>
    <t>DD7</t>
  </si>
  <si>
    <t>DD8</t>
  </si>
  <si>
    <t>DD9</t>
  </si>
  <si>
    <t>DE1</t>
  </si>
  <si>
    <t>DE11</t>
  </si>
  <si>
    <t>DE12</t>
  </si>
  <si>
    <t>DE13</t>
  </si>
  <si>
    <t>DE14</t>
  </si>
  <si>
    <t>DE15</t>
  </si>
  <si>
    <t>DE2</t>
  </si>
  <si>
    <t>DE21</t>
  </si>
  <si>
    <t>DE22</t>
  </si>
  <si>
    <t>DE23</t>
  </si>
  <si>
    <t>DE24</t>
  </si>
  <si>
    <t>DE3</t>
  </si>
  <si>
    <t>DE4</t>
  </si>
  <si>
    <t>DE45</t>
  </si>
  <si>
    <t>DE5</t>
  </si>
  <si>
    <t>DE55</t>
  </si>
  <si>
    <t>DE56</t>
  </si>
  <si>
    <t>DE6</t>
  </si>
  <si>
    <t>DE65</t>
  </si>
  <si>
    <t>DE7</t>
  </si>
  <si>
    <t>DE72</t>
  </si>
  <si>
    <t>DE73</t>
  </si>
  <si>
    <t>DE74</t>
  </si>
  <si>
    <t>DE75</t>
  </si>
  <si>
    <t>DE99</t>
  </si>
  <si>
    <t>DG1</t>
  </si>
  <si>
    <t>DG10</t>
  </si>
  <si>
    <t>DG11</t>
  </si>
  <si>
    <t>DG12</t>
  </si>
  <si>
    <t>DG13</t>
  </si>
  <si>
    <t>DG14</t>
  </si>
  <si>
    <t>DG16</t>
  </si>
  <si>
    <t>DG2</t>
  </si>
  <si>
    <t>DG3</t>
  </si>
  <si>
    <t>DG4</t>
  </si>
  <si>
    <t>DG5</t>
  </si>
  <si>
    <t>DG6</t>
  </si>
  <si>
    <t>DG7</t>
  </si>
  <si>
    <t>DG8</t>
  </si>
  <si>
    <t>DG9</t>
  </si>
  <si>
    <t>DH1</t>
  </si>
  <si>
    <t>DH2</t>
  </si>
  <si>
    <t>DH3</t>
  </si>
  <si>
    <t>DH4</t>
  </si>
  <si>
    <t>DH5</t>
  </si>
  <si>
    <t>DH6</t>
  </si>
  <si>
    <t>DH7</t>
  </si>
  <si>
    <t>DH8</t>
  </si>
  <si>
    <t>DH9</t>
  </si>
  <si>
    <t>DH97</t>
  </si>
  <si>
    <t>DH98</t>
  </si>
  <si>
    <t>DH99</t>
  </si>
  <si>
    <t>DL1</t>
  </si>
  <si>
    <t>DL10</t>
  </si>
  <si>
    <t>DL11</t>
  </si>
  <si>
    <t>DL12</t>
  </si>
  <si>
    <t>DL13</t>
  </si>
  <si>
    <t>DL14</t>
  </si>
  <si>
    <t>DL15</t>
  </si>
  <si>
    <t>DL16</t>
  </si>
  <si>
    <t>DL17</t>
  </si>
  <si>
    <t>DL2</t>
  </si>
  <si>
    <t>DL3</t>
  </si>
  <si>
    <t>DL4</t>
  </si>
  <si>
    <t>DL5</t>
  </si>
  <si>
    <t>DL6</t>
  </si>
  <si>
    <t>DL7</t>
  </si>
  <si>
    <t>DL8</t>
  </si>
  <si>
    <t>DL9</t>
  </si>
  <si>
    <t>DL98</t>
  </si>
  <si>
    <t>DN1</t>
  </si>
  <si>
    <t>DN10</t>
  </si>
  <si>
    <t>DN11</t>
  </si>
  <si>
    <t>DN12</t>
  </si>
  <si>
    <t>DN14</t>
  </si>
  <si>
    <t>DN15</t>
  </si>
  <si>
    <t>DN16</t>
  </si>
  <si>
    <t>DN17</t>
  </si>
  <si>
    <t>DN18</t>
  </si>
  <si>
    <t>DN19</t>
  </si>
  <si>
    <t>DN2</t>
  </si>
  <si>
    <t>DN20</t>
  </si>
  <si>
    <t>DN21</t>
  </si>
  <si>
    <t>DN22</t>
  </si>
  <si>
    <t>DN3</t>
  </si>
  <si>
    <t>DN31</t>
  </si>
  <si>
    <t>DN32</t>
  </si>
  <si>
    <t>DN33</t>
  </si>
  <si>
    <t>DN34</t>
  </si>
  <si>
    <t>DN35</t>
  </si>
  <si>
    <t>DN36</t>
  </si>
  <si>
    <t>DN37</t>
  </si>
  <si>
    <t>DN38</t>
  </si>
  <si>
    <t>DN39</t>
  </si>
  <si>
    <t>DN4</t>
  </si>
  <si>
    <t>DN40</t>
  </si>
  <si>
    <t>DN41</t>
  </si>
  <si>
    <t>DN5</t>
  </si>
  <si>
    <t>DN55</t>
  </si>
  <si>
    <t>DN6</t>
  </si>
  <si>
    <t>DN7</t>
  </si>
  <si>
    <t>DN8</t>
  </si>
  <si>
    <t>DN9</t>
  </si>
  <si>
    <t>DT1</t>
  </si>
  <si>
    <t>DT10</t>
  </si>
  <si>
    <t>DT11</t>
  </si>
  <si>
    <t>DT2</t>
  </si>
  <si>
    <t>DT3</t>
  </si>
  <si>
    <t>DT4</t>
  </si>
  <si>
    <t>DT5</t>
  </si>
  <si>
    <t>DT6</t>
  </si>
  <si>
    <t>DT7</t>
  </si>
  <si>
    <t>DT8</t>
  </si>
  <si>
    <t>DT9</t>
  </si>
  <si>
    <t>DY1</t>
  </si>
  <si>
    <t>DY10</t>
  </si>
  <si>
    <t>DY11</t>
  </si>
  <si>
    <t>DY12</t>
  </si>
  <si>
    <t>DY13</t>
  </si>
  <si>
    <t>DY14</t>
  </si>
  <si>
    <t>DY2</t>
  </si>
  <si>
    <t>DY3</t>
  </si>
  <si>
    <t>DY4</t>
  </si>
  <si>
    <t>DY5</t>
  </si>
  <si>
    <t>DY6</t>
  </si>
  <si>
    <t>DY7</t>
  </si>
  <si>
    <t>DY8</t>
  </si>
  <si>
    <t>DY9</t>
  </si>
  <si>
    <t>E1</t>
  </si>
  <si>
    <t>E10</t>
  </si>
  <si>
    <t>E11</t>
  </si>
  <si>
    <t>E12</t>
  </si>
  <si>
    <t>E13</t>
  </si>
  <si>
    <t>E14</t>
  </si>
  <si>
    <t>E15</t>
  </si>
  <si>
    <t>E16</t>
  </si>
  <si>
    <t>E17</t>
  </si>
  <si>
    <t>E18</t>
  </si>
  <si>
    <t>E1W</t>
  </si>
  <si>
    <t>E2</t>
  </si>
  <si>
    <t>E20</t>
  </si>
  <si>
    <t>E3</t>
  </si>
  <si>
    <t>E4</t>
  </si>
  <si>
    <t>E5</t>
  </si>
  <si>
    <t>E6</t>
  </si>
  <si>
    <t>E7</t>
  </si>
  <si>
    <t>E77</t>
  </si>
  <si>
    <t>E8</t>
  </si>
  <si>
    <t>E9</t>
  </si>
  <si>
    <t>E98</t>
  </si>
  <si>
    <t>EC1A</t>
  </si>
  <si>
    <t>EC1M</t>
  </si>
  <si>
    <t>EC1N</t>
  </si>
  <si>
    <t>EC1P</t>
  </si>
  <si>
    <t>EC1R</t>
  </si>
  <si>
    <t>EC1V</t>
  </si>
  <si>
    <t>EC1Y</t>
  </si>
  <si>
    <t>EC2A</t>
  </si>
  <si>
    <t>EC2M</t>
  </si>
  <si>
    <t>EC2N</t>
  </si>
  <si>
    <t>EC2P</t>
  </si>
  <si>
    <t>EC2R</t>
  </si>
  <si>
    <t>EC2V</t>
  </si>
  <si>
    <t>EC2Y</t>
  </si>
  <si>
    <t>EC3A</t>
  </si>
  <si>
    <t>EC3B</t>
  </si>
  <si>
    <t>EC3M</t>
  </si>
  <si>
    <t>EC3N</t>
  </si>
  <si>
    <t>EC3P</t>
  </si>
  <si>
    <t>EC3R</t>
  </si>
  <si>
    <t>EC3V</t>
  </si>
  <si>
    <t>EC4A</t>
  </si>
  <si>
    <t>EC4M</t>
  </si>
  <si>
    <t>EC4N</t>
  </si>
  <si>
    <t>EC4P</t>
  </si>
  <si>
    <t>EC4R</t>
  </si>
  <si>
    <t>EC4V</t>
  </si>
  <si>
    <t>EC4Y</t>
  </si>
  <si>
    <t>EC50</t>
  </si>
  <si>
    <t>EC88</t>
  </si>
  <si>
    <t>EH1</t>
  </si>
  <si>
    <t>EH10</t>
  </si>
  <si>
    <t>EH11</t>
  </si>
  <si>
    <t>EH12</t>
  </si>
  <si>
    <t>EH13</t>
  </si>
  <si>
    <t>EH14</t>
  </si>
  <si>
    <t>EH15</t>
  </si>
  <si>
    <t>EH16</t>
  </si>
  <si>
    <t>EH17</t>
  </si>
  <si>
    <t>EH18</t>
  </si>
  <si>
    <t>EH19</t>
  </si>
  <si>
    <t>EH2</t>
  </si>
  <si>
    <t>EH20</t>
  </si>
  <si>
    <t>EH21</t>
  </si>
  <si>
    <t>EH22</t>
  </si>
  <si>
    <t>EH23</t>
  </si>
  <si>
    <t>EH24</t>
  </si>
  <si>
    <t>EH25</t>
  </si>
  <si>
    <t>EH26</t>
  </si>
  <si>
    <t>EH27</t>
  </si>
  <si>
    <t>EH28</t>
  </si>
  <si>
    <t>EH29</t>
  </si>
  <si>
    <t>EH3</t>
  </si>
  <si>
    <t>EH30</t>
  </si>
  <si>
    <t>EH31</t>
  </si>
  <si>
    <t>EH32</t>
  </si>
  <si>
    <t>EH33</t>
  </si>
  <si>
    <t>EH34</t>
  </si>
  <si>
    <t>EH35</t>
  </si>
  <si>
    <t>EH36</t>
  </si>
  <si>
    <t>EH37</t>
  </si>
  <si>
    <t>EH38</t>
  </si>
  <si>
    <t>EH39</t>
  </si>
  <si>
    <t>EH4</t>
  </si>
  <si>
    <t>EH40</t>
  </si>
  <si>
    <t>EH41</t>
  </si>
  <si>
    <t>EH42</t>
  </si>
  <si>
    <t>EH43</t>
  </si>
  <si>
    <t>EH44</t>
  </si>
  <si>
    <t>EH45</t>
  </si>
  <si>
    <t>EH46</t>
  </si>
  <si>
    <t>EH47</t>
  </si>
  <si>
    <t>EH48</t>
  </si>
  <si>
    <t>EH49</t>
  </si>
  <si>
    <t>EH5</t>
  </si>
  <si>
    <t>EH51</t>
  </si>
  <si>
    <t>EH52</t>
  </si>
  <si>
    <t>EH53</t>
  </si>
  <si>
    <t>EH54</t>
  </si>
  <si>
    <t>EH55</t>
  </si>
  <si>
    <t>EH6</t>
  </si>
  <si>
    <t>EH7</t>
  </si>
  <si>
    <t>EH77</t>
  </si>
  <si>
    <t>EH8</t>
  </si>
  <si>
    <t>EH9</t>
  </si>
  <si>
    <t>EH91</t>
  </si>
  <si>
    <t>EH95</t>
  </si>
  <si>
    <t>EH99</t>
  </si>
  <si>
    <t>EN1</t>
  </si>
  <si>
    <t>EN10</t>
  </si>
  <si>
    <t>EN11</t>
  </si>
  <si>
    <t>EN2</t>
  </si>
  <si>
    <t>EN3</t>
  </si>
  <si>
    <t>EN4</t>
  </si>
  <si>
    <t>EN5</t>
  </si>
  <si>
    <t>EN6</t>
  </si>
  <si>
    <t>EN7</t>
  </si>
  <si>
    <t>EN77</t>
  </si>
  <si>
    <t>EN8</t>
  </si>
  <si>
    <t>EN9</t>
  </si>
  <si>
    <t>EX1</t>
  </si>
  <si>
    <t>EX10</t>
  </si>
  <si>
    <t>EX11</t>
  </si>
  <si>
    <t>EX12</t>
  </si>
  <si>
    <t>EX13</t>
  </si>
  <si>
    <t>EX14</t>
  </si>
  <si>
    <t>EX15</t>
  </si>
  <si>
    <t>EX16</t>
  </si>
  <si>
    <t>EX17</t>
  </si>
  <si>
    <t>EX18</t>
  </si>
  <si>
    <t>EX19</t>
  </si>
  <si>
    <t>EX2</t>
  </si>
  <si>
    <t>EX20</t>
  </si>
  <si>
    <t>EX21</t>
  </si>
  <si>
    <t>EX22</t>
  </si>
  <si>
    <t>EX23</t>
  </si>
  <si>
    <t>EX24</t>
  </si>
  <si>
    <t>EX3</t>
  </si>
  <si>
    <t>EX31</t>
  </si>
  <si>
    <t>EX32</t>
  </si>
  <si>
    <t>EX33</t>
  </si>
  <si>
    <t>EX34</t>
  </si>
  <si>
    <t>EX35</t>
  </si>
  <si>
    <t>EX36</t>
  </si>
  <si>
    <t>EX37</t>
  </si>
  <si>
    <t>EX38</t>
  </si>
  <si>
    <t>EX39</t>
  </si>
  <si>
    <t>EX4</t>
  </si>
  <si>
    <t>EX5</t>
  </si>
  <si>
    <t>EX6</t>
  </si>
  <si>
    <t>EX7</t>
  </si>
  <si>
    <t>EX8</t>
  </si>
  <si>
    <t>EX9</t>
  </si>
  <si>
    <t>FK1</t>
  </si>
  <si>
    <t>FK10</t>
  </si>
  <si>
    <t>FK11</t>
  </si>
  <si>
    <t>FK12</t>
  </si>
  <si>
    <t>FK13</t>
  </si>
  <si>
    <t>FK14</t>
  </si>
  <si>
    <t>FK15</t>
  </si>
  <si>
    <t>FK16</t>
  </si>
  <si>
    <t>FK17</t>
  </si>
  <si>
    <t>FK18</t>
  </si>
  <si>
    <t>FK19</t>
  </si>
  <si>
    <t>FK2</t>
  </si>
  <si>
    <t>FK20</t>
  </si>
  <si>
    <t>FK21</t>
  </si>
  <si>
    <t>FK3</t>
  </si>
  <si>
    <t>FK4</t>
  </si>
  <si>
    <t>FK5</t>
  </si>
  <si>
    <t>FK6</t>
  </si>
  <si>
    <t>FK7</t>
  </si>
  <si>
    <t>FK8</t>
  </si>
  <si>
    <t>FK9</t>
  </si>
  <si>
    <t>FY0</t>
  </si>
  <si>
    <t>FY1</t>
  </si>
  <si>
    <t>FY2</t>
  </si>
  <si>
    <t>FY3</t>
  </si>
  <si>
    <t>FY4</t>
  </si>
  <si>
    <t>FY5</t>
  </si>
  <si>
    <t>FY6</t>
  </si>
  <si>
    <t>FY7</t>
  </si>
  <si>
    <t>FY8</t>
  </si>
  <si>
    <t>G1</t>
  </si>
  <si>
    <t>G11</t>
  </si>
  <si>
    <t>G12</t>
  </si>
  <si>
    <t>G13</t>
  </si>
  <si>
    <t>G14</t>
  </si>
  <si>
    <t>G15</t>
  </si>
  <si>
    <t>G2</t>
  </si>
  <si>
    <t>G20</t>
  </si>
  <si>
    <t>G21</t>
  </si>
  <si>
    <t>G22</t>
  </si>
  <si>
    <t>G23</t>
  </si>
  <si>
    <t>G3</t>
  </si>
  <si>
    <t>G31</t>
  </si>
  <si>
    <t>G32</t>
  </si>
  <si>
    <t>G33</t>
  </si>
  <si>
    <t>G34</t>
  </si>
  <si>
    <t>G4</t>
  </si>
  <si>
    <t>G40</t>
  </si>
  <si>
    <t>G41</t>
  </si>
  <si>
    <t>G42</t>
  </si>
  <si>
    <t>G43</t>
  </si>
  <si>
    <t>G44</t>
  </si>
  <si>
    <t>G45</t>
  </si>
  <si>
    <t>G46</t>
  </si>
  <si>
    <t>G5</t>
  </si>
  <si>
    <t>G51</t>
  </si>
  <si>
    <t>G52</t>
  </si>
  <si>
    <t>G53</t>
  </si>
  <si>
    <t>G58</t>
  </si>
  <si>
    <t>G59</t>
  </si>
  <si>
    <t>G60</t>
  </si>
  <si>
    <t>G61</t>
  </si>
  <si>
    <t>G62</t>
  </si>
  <si>
    <t>G63</t>
  </si>
  <si>
    <t>G64</t>
  </si>
  <si>
    <t>G65</t>
  </si>
  <si>
    <t>G66</t>
  </si>
  <si>
    <t>G67</t>
  </si>
  <si>
    <t>G68</t>
  </si>
  <si>
    <t>G69</t>
  </si>
  <si>
    <t>G70</t>
  </si>
  <si>
    <t>G71</t>
  </si>
  <si>
    <t>G72</t>
  </si>
  <si>
    <t>G73</t>
  </si>
  <si>
    <t>G74</t>
  </si>
  <si>
    <t>G75</t>
  </si>
  <si>
    <t>G76</t>
  </si>
  <si>
    <t>G77</t>
  </si>
  <si>
    <t>G78</t>
  </si>
  <si>
    <t>G79</t>
  </si>
  <si>
    <t>G80</t>
  </si>
  <si>
    <t>G81</t>
  </si>
  <si>
    <t>G82</t>
  </si>
  <si>
    <t>G83</t>
  </si>
  <si>
    <t>G84</t>
  </si>
  <si>
    <t>G9</t>
  </si>
  <si>
    <t>G90</t>
  </si>
  <si>
    <t>GIR</t>
  </si>
  <si>
    <t>GL1</t>
  </si>
  <si>
    <t>GL10</t>
  </si>
  <si>
    <t>GL11</t>
  </si>
  <si>
    <t>GL12</t>
  </si>
  <si>
    <t>GL13</t>
  </si>
  <si>
    <t>GL14</t>
  </si>
  <si>
    <t>GL15</t>
  </si>
  <si>
    <t>GL16</t>
  </si>
  <si>
    <t>GL17</t>
  </si>
  <si>
    <t>GL18</t>
  </si>
  <si>
    <t>GL19</t>
  </si>
  <si>
    <t>GL2</t>
  </si>
  <si>
    <t>GL20</t>
  </si>
  <si>
    <t>GL3</t>
  </si>
  <si>
    <t>GL4</t>
  </si>
  <si>
    <t>GL5</t>
  </si>
  <si>
    <t>GL50</t>
  </si>
  <si>
    <t>GL51</t>
  </si>
  <si>
    <t>GL52</t>
  </si>
  <si>
    <t>GL53</t>
  </si>
  <si>
    <t>GL54</t>
  </si>
  <si>
    <t>GL55</t>
  </si>
  <si>
    <t>GL56</t>
  </si>
  <si>
    <t>GL6</t>
  </si>
  <si>
    <t>GL7</t>
  </si>
  <si>
    <t>GL8</t>
  </si>
  <si>
    <t>GL9</t>
  </si>
  <si>
    <t>GU1</t>
  </si>
  <si>
    <t>GU10</t>
  </si>
  <si>
    <t>GU11</t>
  </si>
  <si>
    <t>GU12</t>
  </si>
  <si>
    <t>GU13</t>
  </si>
  <si>
    <t>GU14</t>
  </si>
  <si>
    <t>GU15</t>
  </si>
  <si>
    <t>GU16</t>
  </si>
  <si>
    <t>GU17</t>
  </si>
  <si>
    <t>GU18</t>
  </si>
  <si>
    <t>GU19</t>
  </si>
  <si>
    <t>GU2</t>
  </si>
  <si>
    <t>GU20</t>
  </si>
  <si>
    <t>GU21</t>
  </si>
  <si>
    <t>GU22</t>
  </si>
  <si>
    <t>GU23</t>
  </si>
  <si>
    <t>GU24</t>
  </si>
  <si>
    <t>GU25</t>
  </si>
  <si>
    <t>GU26</t>
  </si>
  <si>
    <t>GU27</t>
  </si>
  <si>
    <t>GU28</t>
  </si>
  <si>
    <t>GU29</t>
  </si>
  <si>
    <t>GU3</t>
  </si>
  <si>
    <t>GU30</t>
  </si>
  <si>
    <t>GU31</t>
  </si>
  <si>
    <t>GU32</t>
  </si>
  <si>
    <t>GU33</t>
  </si>
  <si>
    <t>GU34</t>
  </si>
  <si>
    <t>GU35</t>
  </si>
  <si>
    <t>GU4</t>
  </si>
  <si>
    <t>GU46</t>
  </si>
  <si>
    <t>GU47</t>
  </si>
  <si>
    <t>GU5</t>
  </si>
  <si>
    <t>GU51</t>
  </si>
  <si>
    <t>GU52</t>
  </si>
  <si>
    <t>GU6</t>
  </si>
  <si>
    <t>GU7</t>
  </si>
  <si>
    <t>GU8</t>
  </si>
  <si>
    <t>GU9</t>
  </si>
  <si>
    <t>GU95</t>
  </si>
  <si>
    <t>GY1</t>
  </si>
  <si>
    <t>GY10</t>
  </si>
  <si>
    <t>GY2</t>
  </si>
  <si>
    <t>GY3</t>
  </si>
  <si>
    <t>GY4</t>
  </si>
  <si>
    <t>GY5</t>
  </si>
  <si>
    <t>GY6</t>
  </si>
  <si>
    <t>GY7</t>
  </si>
  <si>
    <t>GY8</t>
  </si>
  <si>
    <t>GY9</t>
  </si>
  <si>
    <t>HA0</t>
  </si>
  <si>
    <t>HA1</t>
  </si>
  <si>
    <t>HA2</t>
  </si>
  <si>
    <t>HA3</t>
  </si>
  <si>
    <t>HA4</t>
  </si>
  <si>
    <t>HA5</t>
  </si>
  <si>
    <t>HA6</t>
  </si>
  <si>
    <t>HA7</t>
  </si>
  <si>
    <t>HA8</t>
  </si>
  <si>
    <t>HA9</t>
  </si>
  <si>
    <t>HD1</t>
  </si>
  <si>
    <t>HD2</t>
  </si>
  <si>
    <t>HD3</t>
  </si>
  <si>
    <t>HD4</t>
  </si>
  <si>
    <t>HD5</t>
  </si>
  <si>
    <t>HD6</t>
  </si>
  <si>
    <t>HD7</t>
  </si>
  <si>
    <t>HD8</t>
  </si>
  <si>
    <t>HD9</t>
  </si>
  <si>
    <t>HG1</t>
  </si>
  <si>
    <t>HG2</t>
  </si>
  <si>
    <t>HG3</t>
  </si>
  <si>
    <t>HG4</t>
  </si>
  <si>
    <t>HG5</t>
  </si>
  <si>
    <t>HP1</t>
  </si>
  <si>
    <t>HP10</t>
  </si>
  <si>
    <t>HP11</t>
  </si>
  <si>
    <t>HP12</t>
  </si>
  <si>
    <t>HP13</t>
  </si>
  <si>
    <t>HP14</t>
  </si>
  <si>
    <t>HP15</t>
  </si>
  <si>
    <t>HP16</t>
  </si>
  <si>
    <t>HP17</t>
  </si>
  <si>
    <t>HP18</t>
  </si>
  <si>
    <t>HP19</t>
  </si>
  <si>
    <t>HP2</t>
  </si>
  <si>
    <t>HP20</t>
  </si>
  <si>
    <t>HP21</t>
  </si>
  <si>
    <t>HP22</t>
  </si>
  <si>
    <t>HP23</t>
  </si>
  <si>
    <t>HP27</t>
  </si>
  <si>
    <t>HP3</t>
  </si>
  <si>
    <t>HP4</t>
  </si>
  <si>
    <t>HP5</t>
  </si>
  <si>
    <t>HP6</t>
  </si>
  <si>
    <t>HP7</t>
  </si>
  <si>
    <t>HP8</t>
  </si>
  <si>
    <t>HP9</t>
  </si>
  <si>
    <t>HR1</t>
  </si>
  <si>
    <t>HR2</t>
  </si>
  <si>
    <t>HR3</t>
  </si>
  <si>
    <t>HR4</t>
  </si>
  <si>
    <t>HR5</t>
  </si>
  <si>
    <t>HR6</t>
  </si>
  <si>
    <t>HR7</t>
  </si>
  <si>
    <t>HR8</t>
  </si>
  <si>
    <t>HR9</t>
  </si>
  <si>
    <t>HS1</t>
  </si>
  <si>
    <t>HS2</t>
  </si>
  <si>
    <t>HS3</t>
  </si>
  <si>
    <t>HS4</t>
  </si>
  <si>
    <t>HS5</t>
  </si>
  <si>
    <t>HS6</t>
  </si>
  <si>
    <t>HS7</t>
  </si>
  <si>
    <t>HS8</t>
  </si>
  <si>
    <t>HS9</t>
  </si>
  <si>
    <t>HU1</t>
  </si>
  <si>
    <t>HU10</t>
  </si>
  <si>
    <t>HU11</t>
  </si>
  <si>
    <t>HU12</t>
  </si>
  <si>
    <t>HU13</t>
  </si>
  <si>
    <t>HU14</t>
  </si>
  <si>
    <t>HU15</t>
  </si>
  <si>
    <t>HU16</t>
  </si>
  <si>
    <t>HU17</t>
  </si>
  <si>
    <t>HU18</t>
  </si>
  <si>
    <t>HU19</t>
  </si>
  <si>
    <t>HU2</t>
  </si>
  <si>
    <t>HU20</t>
  </si>
  <si>
    <t>HU3</t>
  </si>
  <si>
    <t>HU4</t>
  </si>
  <si>
    <t>HU5</t>
  </si>
  <si>
    <t>HU55</t>
  </si>
  <si>
    <t>HU6</t>
  </si>
  <si>
    <t>HU7</t>
  </si>
  <si>
    <t>HU8</t>
  </si>
  <si>
    <t>HU9</t>
  </si>
  <si>
    <t>HX1</t>
  </si>
  <si>
    <t>HX2</t>
  </si>
  <si>
    <t>HX3</t>
  </si>
  <si>
    <t>HX4</t>
  </si>
  <si>
    <t>HX5</t>
  </si>
  <si>
    <t>HX6</t>
  </si>
  <si>
    <t>HX7</t>
  </si>
  <si>
    <t>IG1</t>
  </si>
  <si>
    <t>IG10</t>
  </si>
  <si>
    <t>IG11</t>
  </si>
  <si>
    <t>IG2</t>
  </si>
  <si>
    <t>IG3</t>
  </si>
  <si>
    <t>IG4</t>
  </si>
  <si>
    <t>IG5</t>
  </si>
  <si>
    <t>IG6</t>
  </si>
  <si>
    <t>IG7</t>
  </si>
  <si>
    <t>IG8</t>
  </si>
  <si>
    <t>IG9</t>
  </si>
  <si>
    <t>IM1</t>
  </si>
  <si>
    <t>IM2</t>
  </si>
  <si>
    <t>IM3</t>
  </si>
  <si>
    <t>IM4</t>
  </si>
  <si>
    <t>IM5</t>
  </si>
  <si>
    <t>IM6</t>
  </si>
  <si>
    <t>IM7</t>
  </si>
  <si>
    <t>IM8</t>
  </si>
  <si>
    <t>IM86</t>
  </si>
  <si>
    <t>IM9</t>
  </si>
  <si>
    <t>IM99</t>
  </si>
  <si>
    <t>IP1</t>
  </si>
  <si>
    <t>IP10</t>
  </si>
  <si>
    <t>IP11</t>
  </si>
  <si>
    <t>IP12</t>
  </si>
  <si>
    <t>IP13</t>
  </si>
  <si>
    <t>IP14</t>
  </si>
  <si>
    <t>IP15</t>
  </si>
  <si>
    <t>IP16</t>
  </si>
  <si>
    <t>IP17</t>
  </si>
  <si>
    <t>IP18</t>
  </si>
  <si>
    <t>IP19</t>
  </si>
  <si>
    <t>IP2</t>
  </si>
  <si>
    <t>IP20</t>
  </si>
  <si>
    <t>IP21</t>
  </si>
  <si>
    <t>IP22</t>
  </si>
  <si>
    <t>IP23</t>
  </si>
  <si>
    <t>IP24</t>
  </si>
  <si>
    <t>IP25</t>
  </si>
  <si>
    <t>IP26</t>
  </si>
  <si>
    <t>IP27</t>
  </si>
  <si>
    <t>IP28</t>
  </si>
  <si>
    <t>IP29</t>
  </si>
  <si>
    <t>IP3</t>
  </si>
  <si>
    <t>IP30</t>
  </si>
  <si>
    <t>IP31</t>
  </si>
  <si>
    <t>IP32</t>
  </si>
  <si>
    <t>IP33</t>
  </si>
  <si>
    <t>IP4</t>
  </si>
  <si>
    <t>IP5</t>
  </si>
  <si>
    <t>IP6</t>
  </si>
  <si>
    <t>IP7</t>
  </si>
  <si>
    <t>IP8</t>
  </si>
  <si>
    <t>IP9</t>
  </si>
  <si>
    <t>IP98</t>
  </si>
  <si>
    <t>IV1</t>
  </si>
  <si>
    <t>IV10</t>
  </si>
  <si>
    <t>IV11</t>
  </si>
  <si>
    <t>IV12</t>
  </si>
  <si>
    <t>IV13</t>
  </si>
  <si>
    <t>IV14</t>
  </si>
  <si>
    <t>IV15</t>
  </si>
  <si>
    <t>IV16</t>
  </si>
  <si>
    <t>IV17</t>
  </si>
  <si>
    <t>IV18</t>
  </si>
  <si>
    <t>IV19</t>
  </si>
  <si>
    <t>IV2</t>
  </si>
  <si>
    <t>IV20</t>
  </si>
  <si>
    <t>IV21</t>
  </si>
  <si>
    <t>IV22</t>
  </si>
  <si>
    <t>IV23</t>
  </si>
  <si>
    <t>IV24</t>
  </si>
  <si>
    <t>IV25</t>
  </si>
  <si>
    <t>IV26</t>
  </si>
  <si>
    <t>IV27</t>
  </si>
  <si>
    <t>IV28</t>
  </si>
  <si>
    <t>IV3</t>
  </si>
  <si>
    <t>IV30</t>
  </si>
  <si>
    <t>IV31</t>
  </si>
  <si>
    <t>IV32</t>
  </si>
  <si>
    <t>IV33</t>
  </si>
  <si>
    <t>IV34</t>
  </si>
  <si>
    <t>IV35</t>
  </si>
  <si>
    <t>IV36</t>
  </si>
  <si>
    <t>IV4</t>
  </si>
  <si>
    <t>IV40</t>
  </si>
  <si>
    <t>IV41</t>
  </si>
  <si>
    <t>IV42</t>
  </si>
  <si>
    <t>IV43</t>
  </si>
  <si>
    <t>IV44</t>
  </si>
  <si>
    <t>IV45</t>
  </si>
  <si>
    <t>IV46</t>
  </si>
  <si>
    <t>IV47</t>
  </si>
  <si>
    <t>IV48</t>
  </si>
  <si>
    <t>IV49</t>
  </si>
  <si>
    <t>IV5</t>
  </si>
  <si>
    <t>IV51</t>
  </si>
  <si>
    <t>IV52</t>
  </si>
  <si>
    <t>IV53</t>
  </si>
  <si>
    <t>IV54</t>
  </si>
  <si>
    <t>IV55</t>
  </si>
  <si>
    <t>IV56</t>
  </si>
  <si>
    <t>IV6</t>
  </si>
  <si>
    <t>IV63</t>
  </si>
  <si>
    <t>IV7</t>
  </si>
  <si>
    <t>IV8</t>
  </si>
  <si>
    <t>IV9</t>
  </si>
  <si>
    <t>IV99</t>
  </si>
  <si>
    <t>JE1</t>
  </si>
  <si>
    <t>JE2</t>
  </si>
  <si>
    <t>JE3</t>
  </si>
  <si>
    <t>JE4</t>
  </si>
  <si>
    <t>JE5</t>
  </si>
  <si>
    <t>KA1</t>
  </si>
  <si>
    <t>KA10</t>
  </si>
  <si>
    <t>KA11</t>
  </si>
  <si>
    <t>KA12</t>
  </si>
  <si>
    <t>KA13</t>
  </si>
  <si>
    <t>KA14</t>
  </si>
  <si>
    <t>KA15</t>
  </si>
  <si>
    <t>KA16</t>
  </si>
  <si>
    <t>KA17</t>
  </si>
  <si>
    <t>KA18</t>
  </si>
  <si>
    <t>KA19</t>
  </si>
  <si>
    <t>KA2</t>
  </si>
  <si>
    <t>KA20</t>
  </si>
  <si>
    <t>KA21</t>
  </si>
  <si>
    <t>KA22</t>
  </si>
  <si>
    <t>KA23</t>
  </si>
  <si>
    <t>KA24</t>
  </si>
  <si>
    <t>KA25</t>
  </si>
  <si>
    <t>KA26</t>
  </si>
  <si>
    <t>KA27</t>
  </si>
  <si>
    <t>KA28</t>
  </si>
  <si>
    <t>KA29</t>
  </si>
  <si>
    <t>KA3</t>
  </si>
  <si>
    <t>KA30</t>
  </si>
  <si>
    <t>KA4</t>
  </si>
  <si>
    <t>KA5</t>
  </si>
  <si>
    <t>KA6</t>
  </si>
  <si>
    <t>KA7</t>
  </si>
  <si>
    <t>KA8</t>
  </si>
  <si>
    <t>KA9</t>
  </si>
  <si>
    <t>KT1</t>
  </si>
  <si>
    <t>KT10</t>
  </si>
  <si>
    <t>KT11</t>
  </si>
  <si>
    <t>KT12</t>
  </si>
  <si>
    <t>KT13</t>
  </si>
  <si>
    <t>KT14</t>
  </si>
  <si>
    <t>KT15</t>
  </si>
  <si>
    <t>KT16</t>
  </si>
  <si>
    <t>KT17</t>
  </si>
  <si>
    <t>KT18</t>
  </si>
  <si>
    <t>KT19</t>
  </si>
  <si>
    <t>KT2</t>
  </si>
  <si>
    <t>KT20</t>
  </si>
  <si>
    <t>KT21</t>
  </si>
  <si>
    <t>KT22</t>
  </si>
  <si>
    <t>KT23</t>
  </si>
  <si>
    <t>KT24</t>
  </si>
  <si>
    <t>KT3</t>
  </si>
  <si>
    <t>KT4</t>
  </si>
  <si>
    <t>KT5</t>
  </si>
  <si>
    <t>KT6</t>
  </si>
  <si>
    <t>KT7</t>
  </si>
  <si>
    <t>KT8</t>
  </si>
  <si>
    <t>KT9</t>
  </si>
  <si>
    <t>KW1</t>
  </si>
  <si>
    <t>KW10</t>
  </si>
  <si>
    <t>KW11</t>
  </si>
  <si>
    <t>KW12</t>
  </si>
  <si>
    <t>KW13</t>
  </si>
  <si>
    <t>KW14</t>
  </si>
  <si>
    <t>KW15</t>
  </si>
  <si>
    <t>KW16</t>
  </si>
  <si>
    <t>KW17</t>
  </si>
  <si>
    <t>KW2</t>
  </si>
  <si>
    <t>KW3</t>
  </si>
  <si>
    <t>KW5</t>
  </si>
  <si>
    <t>KW6</t>
  </si>
  <si>
    <t>KW7</t>
  </si>
  <si>
    <t>KW8</t>
  </si>
  <si>
    <t>KW9</t>
  </si>
  <si>
    <t>KY1</t>
  </si>
  <si>
    <t>KY10</t>
  </si>
  <si>
    <t>KY11</t>
  </si>
  <si>
    <t>KY12</t>
  </si>
  <si>
    <t>KY13</t>
  </si>
  <si>
    <t>KY14</t>
  </si>
  <si>
    <t>KY15</t>
  </si>
  <si>
    <t>KY16</t>
  </si>
  <si>
    <t>KY2</t>
  </si>
  <si>
    <t>KY3</t>
  </si>
  <si>
    <t>KY4</t>
  </si>
  <si>
    <t>KY5</t>
  </si>
  <si>
    <t>KY6</t>
  </si>
  <si>
    <t>KY7</t>
  </si>
  <si>
    <t>KY8</t>
  </si>
  <si>
    <t>KY9</t>
  </si>
  <si>
    <t>KY99</t>
  </si>
  <si>
    <t>L1</t>
  </si>
  <si>
    <t>L10</t>
  </si>
  <si>
    <t>L11</t>
  </si>
  <si>
    <t>L12</t>
  </si>
  <si>
    <t>L13</t>
  </si>
  <si>
    <t>L14</t>
  </si>
  <si>
    <t>L15</t>
  </si>
  <si>
    <t>L16</t>
  </si>
  <si>
    <t>L17</t>
  </si>
  <si>
    <t>L18</t>
  </si>
  <si>
    <t>L19</t>
  </si>
  <si>
    <t>L2</t>
  </si>
  <si>
    <t>L20</t>
  </si>
  <si>
    <t>L21</t>
  </si>
  <si>
    <t>L22</t>
  </si>
  <si>
    <t>L23</t>
  </si>
  <si>
    <t>L24</t>
  </si>
  <si>
    <t>L25</t>
  </si>
  <si>
    <t>L26</t>
  </si>
  <si>
    <t>L27</t>
  </si>
  <si>
    <t>L28</t>
  </si>
  <si>
    <t>L29</t>
  </si>
  <si>
    <t>L3</t>
  </si>
  <si>
    <t>L30</t>
  </si>
  <si>
    <t>L31</t>
  </si>
  <si>
    <t>L32</t>
  </si>
  <si>
    <t>L33</t>
  </si>
  <si>
    <t>L34</t>
  </si>
  <si>
    <t>L35</t>
  </si>
  <si>
    <t>L36</t>
  </si>
  <si>
    <t>L37</t>
  </si>
  <si>
    <t>L38</t>
  </si>
  <si>
    <t>L39</t>
  </si>
  <si>
    <t>L4</t>
  </si>
  <si>
    <t>L40</t>
  </si>
  <si>
    <t>L41</t>
  </si>
  <si>
    <t>L42</t>
  </si>
  <si>
    <t>L43</t>
  </si>
  <si>
    <t>L44</t>
  </si>
  <si>
    <t>L45</t>
  </si>
  <si>
    <t>L46</t>
  </si>
  <si>
    <t>L47</t>
  </si>
  <si>
    <t>L48</t>
  </si>
  <si>
    <t>L49</t>
  </si>
  <si>
    <t>L5</t>
  </si>
  <si>
    <t>L6</t>
  </si>
  <si>
    <t>L60</t>
  </si>
  <si>
    <t>L61</t>
  </si>
  <si>
    <t>L62</t>
  </si>
  <si>
    <t>L63</t>
  </si>
  <si>
    <t>L64</t>
  </si>
  <si>
    <t>L65</t>
  </si>
  <si>
    <t>L66</t>
  </si>
  <si>
    <t>L67</t>
  </si>
  <si>
    <t>L68</t>
  </si>
  <si>
    <t>L69</t>
  </si>
  <si>
    <t>L7</t>
  </si>
  <si>
    <t>L70</t>
  </si>
  <si>
    <t>L71</t>
  </si>
  <si>
    <t>L72</t>
  </si>
  <si>
    <t>L73</t>
  </si>
  <si>
    <t>L74</t>
  </si>
  <si>
    <t>L75</t>
  </si>
  <si>
    <t>L8</t>
  </si>
  <si>
    <t>L80</t>
  </si>
  <si>
    <t>L9</t>
  </si>
  <si>
    <t>LA1</t>
  </si>
  <si>
    <t>LA10</t>
  </si>
  <si>
    <t>LA11</t>
  </si>
  <si>
    <t>LA12</t>
  </si>
  <si>
    <t>LA13</t>
  </si>
  <si>
    <t>LA14</t>
  </si>
  <si>
    <t>LA15</t>
  </si>
  <si>
    <t>LA16</t>
  </si>
  <si>
    <t>LA17</t>
  </si>
  <si>
    <t>LA18</t>
  </si>
  <si>
    <t>LA19</t>
  </si>
  <si>
    <t>LA2</t>
  </si>
  <si>
    <t>LA20</t>
  </si>
  <si>
    <t>LA21</t>
  </si>
  <si>
    <t>LA22</t>
  </si>
  <si>
    <t>LA23</t>
  </si>
  <si>
    <t>LA3</t>
  </si>
  <si>
    <t>LA4</t>
  </si>
  <si>
    <t>LA5</t>
  </si>
  <si>
    <t>LA6</t>
  </si>
  <si>
    <t>LA7</t>
  </si>
  <si>
    <t>LA8</t>
  </si>
  <si>
    <t>LA9</t>
  </si>
  <si>
    <t>LD1</t>
  </si>
  <si>
    <t>LD2</t>
  </si>
  <si>
    <t>LD3</t>
  </si>
  <si>
    <t>LD4</t>
  </si>
  <si>
    <t>LD5</t>
  </si>
  <si>
    <t>LD6</t>
  </si>
  <si>
    <t>LD7</t>
  </si>
  <si>
    <t>LD8</t>
  </si>
  <si>
    <t>LE1</t>
  </si>
  <si>
    <t>LE10</t>
  </si>
  <si>
    <t>LE11</t>
  </si>
  <si>
    <t>LE12</t>
  </si>
  <si>
    <t>LE13</t>
  </si>
  <si>
    <t>LE14</t>
  </si>
  <si>
    <t>LE15</t>
  </si>
  <si>
    <t>LE16</t>
  </si>
  <si>
    <t>LE17</t>
  </si>
  <si>
    <t>LE18</t>
  </si>
  <si>
    <t>LE19</t>
  </si>
  <si>
    <t>LE2</t>
  </si>
  <si>
    <t>LE21</t>
  </si>
  <si>
    <t>LE3</t>
  </si>
  <si>
    <t>LE4</t>
  </si>
  <si>
    <t>LE41</t>
  </si>
  <si>
    <t>LE5</t>
  </si>
  <si>
    <t>LE55</t>
  </si>
  <si>
    <t>LE6</t>
  </si>
  <si>
    <t>LE65</t>
  </si>
  <si>
    <t>LE67</t>
  </si>
  <si>
    <t>LE7</t>
  </si>
  <si>
    <t>LE8</t>
  </si>
  <si>
    <t>LE87</t>
  </si>
  <si>
    <t>LE9</t>
  </si>
  <si>
    <t>LE94</t>
  </si>
  <si>
    <t>LE95</t>
  </si>
  <si>
    <t>LE99</t>
  </si>
  <si>
    <t>LL11</t>
  </si>
  <si>
    <t>LL12</t>
  </si>
  <si>
    <t>LL13</t>
  </si>
  <si>
    <t>LL14</t>
  </si>
  <si>
    <t>LL15</t>
  </si>
  <si>
    <t>LL16</t>
  </si>
  <si>
    <t>LL17</t>
  </si>
  <si>
    <t>LL18</t>
  </si>
  <si>
    <t>LL19</t>
  </si>
  <si>
    <t>LL20</t>
  </si>
  <si>
    <t>LL21</t>
  </si>
  <si>
    <t>LL22</t>
  </si>
  <si>
    <t>LL23</t>
  </si>
  <si>
    <t>LL24</t>
  </si>
  <si>
    <t>LL25</t>
  </si>
  <si>
    <t>LL26</t>
  </si>
  <si>
    <t>LL27</t>
  </si>
  <si>
    <t>LL28</t>
  </si>
  <si>
    <t>LL29</t>
  </si>
  <si>
    <t>LL30</t>
  </si>
  <si>
    <t>LL31</t>
  </si>
  <si>
    <t>LL32</t>
  </si>
  <si>
    <t>LL33</t>
  </si>
  <si>
    <t>LL34</t>
  </si>
  <si>
    <t>LL35</t>
  </si>
  <si>
    <t>LL36</t>
  </si>
  <si>
    <t>LL37</t>
  </si>
  <si>
    <t>LL38</t>
  </si>
  <si>
    <t>LL39</t>
  </si>
  <si>
    <t>LL40</t>
  </si>
  <si>
    <t>LL41</t>
  </si>
  <si>
    <t>LL42</t>
  </si>
  <si>
    <t>LL43</t>
  </si>
  <si>
    <t>LL44</t>
  </si>
  <si>
    <t>LL45</t>
  </si>
  <si>
    <t>LL46</t>
  </si>
  <si>
    <t>LL47</t>
  </si>
  <si>
    <t>LL48</t>
  </si>
  <si>
    <t>LL49</t>
  </si>
  <si>
    <t>LL51</t>
  </si>
  <si>
    <t>LL52</t>
  </si>
  <si>
    <t>LL53</t>
  </si>
  <si>
    <t>LL54</t>
  </si>
  <si>
    <t>LL55</t>
  </si>
  <si>
    <t>LL56</t>
  </si>
  <si>
    <t>LL57</t>
  </si>
  <si>
    <t>LL58</t>
  </si>
  <si>
    <t>LL59</t>
  </si>
  <si>
    <t>LL60</t>
  </si>
  <si>
    <t>LL61</t>
  </si>
  <si>
    <t>LL62</t>
  </si>
  <si>
    <t>LL63</t>
  </si>
  <si>
    <t>LL64</t>
  </si>
  <si>
    <t>LL65</t>
  </si>
  <si>
    <t>LL66</t>
  </si>
  <si>
    <t>LL67</t>
  </si>
  <si>
    <t>LL68</t>
  </si>
  <si>
    <t>LL69</t>
  </si>
  <si>
    <t>LL70</t>
  </si>
  <si>
    <t>LL71</t>
  </si>
  <si>
    <t>LL72</t>
  </si>
  <si>
    <t>LL73</t>
  </si>
  <si>
    <t>LL74</t>
  </si>
  <si>
    <t>LL75</t>
  </si>
  <si>
    <t>LL76</t>
  </si>
  <si>
    <t>LL77</t>
  </si>
  <si>
    <t>LL78</t>
  </si>
  <si>
    <t>LN1</t>
  </si>
  <si>
    <t>LN10</t>
  </si>
  <si>
    <t>LN11</t>
  </si>
  <si>
    <t>LN12</t>
  </si>
  <si>
    <t>LN13</t>
  </si>
  <si>
    <t>LN2</t>
  </si>
  <si>
    <t>LN3</t>
  </si>
  <si>
    <t>LN4</t>
  </si>
  <si>
    <t>LN5</t>
  </si>
  <si>
    <t>LN6</t>
  </si>
  <si>
    <t>LN7</t>
  </si>
  <si>
    <t>LN8</t>
  </si>
  <si>
    <t>LN9</t>
  </si>
  <si>
    <t>LS1</t>
  </si>
  <si>
    <t>LS10</t>
  </si>
  <si>
    <t>LS11</t>
  </si>
  <si>
    <t>LS12</t>
  </si>
  <si>
    <t>LS13</t>
  </si>
  <si>
    <t>LS14</t>
  </si>
  <si>
    <t>LS15</t>
  </si>
  <si>
    <t>LS16</t>
  </si>
  <si>
    <t>LS17</t>
  </si>
  <si>
    <t>LS18</t>
  </si>
  <si>
    <t>LS19</t>
  </si>
  <si>
    <t>LS2</t>
  </si>
  <si>
    <t>LS20</t>
  </si>
  <si>
    <t>LS21</t>
  </si>
  <si>
    <t>LS22</t>
  </si>
  <si>
    <t>LS23</t>
  </si>
  <si>
    <t>LS24</t>
  </si>
  <si>
    <t>LS25</t>
  </si>
  <si>
    <t>LS26</t>
  </si>
  <si>
    <t>LS27</t>
  </si>
  <si>
    <t>LS28</t>
  </si>
  <si>
    <t>LS29</t>
  </si>
  <si>
    <t>LS3</t>
  </si>
  <si>
    <t>LS4</t>
  </si>
  <si>
    <t>LS5</t>
  </si>
  <si>
    <t>LS6</t>
  </si>
  <si>
    <t>LS7</t>
  </si>
  <si>
    <t>LS8</t>
  </si>
  <si>
    <t>LS88</t>
  </si>
  <si>
    <t>LS9</t>
  </si>
  <si>
    <t>LS98</t>
  </si>
  <si>
    <t>LS99</t>
  </si>
  <si>
    <t>LU1</t>
  </si>
  <si>
    <t>LU2</t>
  </si>
  <si>
    <t>LU3</t>
  </si>
  <si>
    <t>LU4</t>
  </si>
  <si>
    <t>LU5</t>
  </si>
  <si>
    <t>LU6</t>
  </si>
  <si>
    <t>LU7</t>
  </si>
  <si>
    <t>LU95</t>
  </si>
  <si>
    <t>M1</t>
  </si>
  <si>
    <t>M10</t>
  </si>
  <si>
    <t>M11</t>
  </si>
  <si>
    <t>M12</t>
  </si>
  <si>
    <t>M13</t>
  </si>
  <si>
    <t>M14</t>
  </si>
  <si>
    <t>M15</t>
  </si>
  <si>
    <t>M16</t>
  </si>
  <si>
    <t>M17</t>
  </si>
  <si>
    <t>M18</t>
  </si>
  <si>
    <t>M19</t>
  </si>
  <si>
    <t>M2</t>
  </si>
  <si>
    <t>M20</t>
  </si>
  <si>
    <t>M21</t>
  </si>
  <si>
    <t>M22</t>
  </si>
  <si>
    <t>M23</t>
  </si>
  <si>
    <t>M24</t>
  </si>
  <si>
    <t>M25</t>
  </si>
  <si>
    <t>M26</t>
  </si>
  <si>
    <t>M27</t>
  </si>
  <si>
    <t>M28</t>
  </si>
  <si>
    <t>M29</t>
  </si>
  <si>
    <t>M3</t>
  </si>
  <si>
    <t>M30</t>
  </si>
  <si>
    <t>M31</t>
  </si>
  <si>
    <t>M32</t>
  </si>
  <si>
    <t>M33</t>
  </si>
  <si>
    <t>M34</t>
  </si>
  <si>
    <t>M35</t>
  </si>
  <si>
    <t>M38</t>
  </si>
  <si>
    <t>M4</t>
  </si>
  <si>
    <t>M40</t>
  </si>
  <si>
    <t>M41</t>
  </si>
  <si>
    <t>M43</t>
  </si>
  <si>
    <t>M44</t>
  </si>
  <si>
    <t>M45</t>
  </si>
  <si>
    <t>M46</t>
  </si>
  <si>
    <t>M5</t>
  </si>
  <si>
    <t>M50</t>
  </si>
  <si>
    <t>M52</t>
  </si>
  <si>
    <t>M6</t>
  </si>
  <si>
    <t>M60</t>
  </si>
  <si>
    <t>M61</t>
  </si>
  <si>
    <t>M7</t>
  </si>
  <si>
    <t>M8</t>
  </si>
  <si>
    <t>M9</t>
  </si>
  <si>
    <t>M90</t>
  </si>
  <si>
    <t>M99</t>
  </si>
  <si>
    <t>ME1</t>
  </si>
  <si>
    <t>ME10</t>
  </si>
  <si>
    <t>ME11</t>
  </si>
  <si>
    <t>ME12</t>
  </si>
  <si>
    <t>ME13</t>
  </si>
  <si>
    <t>ME14</t>
  </si>
  <si>
    <t>ME15</t>
  </si>
  <si>
    <t>ME16</t>
  </si>
  <si>
    <t>ME17</t>
  </si>
  <si>
    <t>ME18</t>
  </si>
  <si>
    <t>ME19</t>
  </si>
  <si>
    <t>ME2</t>
  </si>
  <si>
    <t>ME20</t>
  </si>
  <si>
    <t>ME3</t>
  </si>
  <si>
    <t>ME4</t>
  </si>
  <si>
    <t>ME5</t>
  </si>
  <si>
    <t>ME6</t>
  </si>
  <si>
    <t>ME7</t>
  </si>
  <si>
    <t>ME8</t>
  </si>
  <si>
    <t>ME9</t>
  </si>
  <si>
    <t>ME99</t>
  </si>
  <si>
    <t>MK1</t>
  </si>
  <si>
    <t>MK10</t>
  </si>
  <si>
    <t>MK11</t>
  </si>
  <si>
    <t>MK12</t>
  </si>
  <si>
    <t>MK13</t>
  </si>
  <si>
    <t>MK14</t>
  </si>
  <si>
    <t>MK15</t>
  </si>
  <si>
    <t>MK16</t>
  </si>
  <si>
    <t>MK17</t>
  </si>
  <si>
    <t>MK18</t>
  </si>
  <si>
    <t>MK19</t>
  </si>
  <si>
    <t>MK2</t>
  </si>
  <si>
    <t>MK3</t>
  </si>
  <si>
    <t>MK4</t>
  </si>
  <si>
    <t>MK40</t>
  </si>
  <si>
    <t>MK41</t>
  </si>
  <si>
    <t>MK42</t>
  </si>
  <si>
    <t>MK43</t>
  </si>
  <si>
    <t>MK44</t>
  </si>
  <si>
    <t>MK45</t>
  </si>
  <si>
    <t>MK46</t>
  </si>
  <si>
    <t>MK5</t>
  </si>
  <si>
    <t>MK6</t>
  </si>
  <si>
    <t>MK7</t>
  </si>
  <si>
    <t>MK77</t>
  </si>
  <si>
    <t>MK8</t>
  </si>
  <si>
    <t>MK9</t>
  </si>
  <si>
    <t>MK98</t>
  </si>
  <si>
    <t>ML1</t>
  </si>
  <si>
    <t>ML10</t>
  </si>
  <si>
    <t>ML11</t>
  </si>
  <si>
    <t>ML12</t>
  </si>
  <si>
    <t>ML2</t>
  </si>
  <si>
    <t>ML3</t>
  </si>
  <si>
    <t>ML4</t>
  </si>
  <si>
    <t>ML5</t>
  </si>
  <si>
    <t>ML6</t>
  </si>
  <si>
    <t>ML7</t>
  </si>
  <si>
    <t>ML8</t>
  </si>
  <si>
    <t>ML9</t>
  </si>
  <si>
    <t>N1</t>
  </si>
  <si>
    <t>N10</t>
  </si>
  <si>
    <t>N11</t>
  </si>
  <si>
    <t>N12</t>
  </si>
  <si>
    <t>N13</t>
  </si>
  <si>
    <t>N14</t>
  </si>
  <si>
    <t>N15</t>
  </si>
  <si>
    <t>N16</t>
  </si>
  <si>
    <t>N17</t>
  </si>
  <si>
    <t>N18</t>
  </si>
  <si>
    <t>N19</t>
  </si>
  <si>
    <t>N1C</t>
  </si>
  <si>
    <t>N1P</t>
  </si>
  <si>
    <t>N2</t>
  </si>
  <si>
    <t>N20</t>
  </si>
  <si>
    <t>N21</t>
  </si>
  <si>
    <t>N22</t>
  </si>
  <si>
    <t>N3</t>
  </si>
  <si>
    <t>N4</t>
  </si>
  <si>
    <t>N5</t>
  </si>
  <si>
    <t>N6</t>
  </si>
  <si>
    <t>N7</t>
  </si>
  <si>
    <t>N8</t>
  </si>
  <si>
    <t>N81</t>
  </si>
  <si>
    <t>N9</t>
  </si>
  <si>
    <t>NE1</t>
  </si>
  <si>
    <t>NE10</t>
  </si>
  <si>
    <t>NE11</t>
  </si>
  <si>
    <t>NE12</t>
  </si>
  <si>
    <t>NE13</t>
  </si>
  <si>
    <t>NE15</t>
  </si>
  <si>
    <t>NE16</t>
  </si>
  <si>
    <t>NE17</t>
  </si>
  <si>
    <t>NE18</t>
  </si>
  <si>
    <t>NE19</t>
  </si>
  <si>
    <t>NE2</t>
  </si>
  <si>
    <t>NE20</t>
  </si>
  <si>
    <t>NE21</t>
  </si>
  <si>
    <t>NE22</t>
  </si>
  <si>
    <t>NE23</t>
  </si>
  <si>
    <t>NE24</t>
  </si>
  <si>
    <t>NE25</t>
  </si>
  <si>
    <t>NE26</t>
  </si>
  <si>
    <t>NE27</t>
  </si>
  <si>
    <t>NE28</t>
  </si>
  <si>
    <t>NE29</t>
  </si>
  <si>
    <t>NE3</t>
  </si>
  <si>
    <t>NE30</t>
  </si>
  <si>
    <t>NE31</t>
  </si>
  <si>
    <t>NE32</t>
  </si>
  <si>
    <t>NE33</t>
  </si>
  <si>
    <t>NE34</t>
  </si>
  <si>
    <t>NE35</t>
  </si>
  <si>
    <t>NE36</t>
  </si>
  <si>
    <t>NE37</t>
  </si>
  <si>
    <t>NE38</t>
  </si>
  <si>
    <t>NE39</t>
  </si>
  <si>
    <t>NE4</t>
  </si>
  <si>
    <t>NE40</t>
  </si>
  <si>
    <t>NE41</t>
  </si>
  <si>
    <t>NE42</t>
  </si>
  <si>
    <t>NE43</t>
  </si>
  <si>
    <t>NE44</t>
  </si>
  <si>
    <t>NE45</t>
  </si>
  <si>
    <t>NE46</t>
  </si>
  <si>
    <t>NE47</t>
  </si>
  <si>
    <t>NE48</t>
  </si>
  <si>
    <t>NE49</t>
  </si>
  <si>
    <t>NE5</t>
  </si>
  <si>
    <t>NE6</t>
  </si>
  <si>
    <t>NE61</t>
  </si>
  <si>
    <t>NE62</t>
  </si>
  <si>
    <t>NE63</t>
  </si>
  <si>
    <t>NE64</t>
  </si>
  <si>
    <t>NE65</t>
  </si>
  <si>
    <t>NE66</t>
  </si>
  <si>
    <t>NE67</t>
  </si>
  <si>
    <t>NE68</t>
  </si>
  <si>
    <t>NE69</t>
  </si>
  <si>
    <t>NE7</t>
  </si>
  <si>
    <t>NE70</t>
  </si>
  <si>
    <t>NE71</t>
  </si>
  <si>
    <t>NE8</t>
  </si>
  <si>
    <t>NE82</t>
  </si>
  <si>
    <t>NE83</t>
  </si>
  <si>
    <t>NE85</t>
  </si>
  <si>
    <t>NE88</t>
  </si>
  <si>
    <t>NE89</t>
  </si>
  <si>
    <t>NE9</t>
  </si>
  <si>
    <t>NE92</t>
  </si>
  <si>
    <t>NE98</t>
  </si>
  <si>
    <t>NE99</t>
  </si>
  <si>
    <t>NG1</t>
  </si>
  <si>
    <t>NG10</t>
  </si>
  <si>
    <t>NG11</t>
  </si>
  <si>
    <t>NG12</t>
  </si>
  <si>
    <t>NG13</t>
  </si>
  <si>
    <t>NG14</t>
  </si>
  <si>
    <t>NG15</t>
  </si>
  <si>
    <t>NG16</t>
  </si>
  <si>
    <t>NG17</t>
  </si>
  <si>
    <t>NG18</t>
  </si>
  <si>
    <t>NG19</t>
  </si>
  <si>
    <t>NG2</t>
  </si>
  <si>
    <t>NG20</t>
  </si>
  <si>
    <t>NG21</t>
  </si>
  <si>
    <t>NG22</t>
  </si>
  <si>
    <t>NG23</t>
  </si>
  <si>
    <t>NG24</t>
  </si>
  <si>
    <t>NG25</t>
  </si>
  <si>
    <t>NG3</t>
  </si>
  <si>
    <t>NG31</t>
  </si>
  <si>
    <t>NG32</t>
  </si>
  <si>
    <t>NG33</t>
  </si>
  <si>
    <t>NG34</t>
  </si>
  <si>
    <t>NG4</t>
  </si>
  <si>
    <t>NG5</t>
  </si>
  <si>
    <t>NG6</t>
  </si>
  <si>
    <t>NG7</t>
  </si>
  <si>
    <t>NG70</t>
  </si>
  <si>
    <t>NG8</t>
  </si>
  <si>
    <t>NG80</t>
  </si>
  <si>
    <t>NG9</t>
  </si>
  <si>
    <t>NG90</t>
  </si>
  <si>
    <t>NN1</t>
  </si>
  <si>
    <t>NN10</t>
  </si>
  <si>
    <t>NN11</t>
  </si>
  <si>
    <t>NN12</t>
  </si>
  <si>
    <t>NN13</t>
  </si>
  <si>
    <t>NN14</t>
  </si>
  <si>
    <t>NN15</t>
  </si>
  <si>
    <t>NN16</t>
  </si>
  <si>
    <t>NN17</t>
  </si>
  <si>
    <t>NN18</t>
  </si>
  <si>
    <t>NN2</t>
  </si>
  <si>
    <t>NN29</t>
  </si>
  <si>
    <t>NN3</t>
  </si>
  <si>
    <t>NN4</t>
  </si>
  <si>
    <t>NN5</t>
  </si>
  <si>
    <t>NN6</t>
  </si>
  <si>
    <t>NN7</t>
  </si>
  <si>
    <t>NN8</t>
  </si>
  <si>
    <t>NN9</t>
  </si>
  <si>
    <t>NN99</t>
  </si>
  <si>
    <t>NP1</t>
  </si>
  <si>
    <t>NP10</t>
  </si>
  <si>
    <t>NP11</t>
  </si>
  <si>
    <t>NP12</t>
  </si>
  <si>
    <t>NP13</t>
  </si>
  <si>
    <t>NP15</t>
  </si>
  <si>
    <t>NP16</t>
  </si>
  <si>
    <t>NP18</t>
  </si>
  <si>
    <t>NP19</t>
  </si>
  <si>
    <t>NP2</t>
  </si>
  <si>
    <t>NP20</t>
  </si>
  <si>
    <t>NP22</t>
  </si>
  <si>
    <t>NP23</t>
  </si>
  <si>
    <t>NP24</t>
  </si>
  <si>
    <t>NP25</t>
  </si>
  <si>
    <t>NP26</t>
  </si>
  <si>
    <t>NP3</t>
  </si>
  <si>
    <t>NP4</t>
  </si>
  <si>
    <t>NP44</t>
  </si>
  <si>
    <t>NP5</t>
  </si>
  <si>
    <t>NP6</t>
  </si>
  <si>
    <t>NP7</t>
  </si>
  <si>
    <t>NP8</t>
  </si>
  <si>
    <t>NP9</t>
  </si>
  <si>
    <t>NPT</t>
  </si>
  <si>
    <t>NR1</t>
  </si>
  <si>
    <t>NR10</t>
  </si>
  <si>
    <t>NR11</t>
  </si>
  <si>
    <t>NR12</t>
  </si>
  <si>
    <t>NR13</t>
  </si>
  <si>
    <t>NR14</t>
  </si>
  <si>
    <t>NR15</t>
  </si>
  <si>
    <t>NR16</t>
  </si>
  <si>
    <t>NR17</t>
  </si>
  <si>
    <t>NR18</t>
  </si>
  <si>
    <t>NR19</t>
  </si>
  <si>
    <t>NR2</t>
  </si>
  <si>
    <t>NR20</t>
  </si>
  <si>
    <t>NR21</t>
  </si>
  <si>
    <t>NR22</t>
  </si>
  <si>
    <t>NR23</t>
  </si>
  <si>
    <t>NR24</t>
  </si>
  <si>
    <t>NR25</t>
  </si>
  <si>
    <t>NR26</t>
  </si>
  <si>
    <t>NR27</t>
  </si>
  <si>
    <t>NR28</t>
  </si>
  <si>
    <t>NR29</t>
  </si>
  <si>
    <t>NR3</t>
  </si>
  <si>
    <t>NR30</t>
  </si>
  <si>
    <t>NR31</t>
  </si>
  <si>
    <t>NR32</t>
  </si>
  <si>
    <t>NR33</t>
  </si>
  <si>
    <t>NR34</t>
  </si>
  <si>
    <t>NR35</t>
  </si>
  <si>
    <t>NR4</t>
  </si>
  <si>
    <t>NR5</t>
  </si>
  <si>
    <t>NR6</t>
  </si>
  <si>
    <t>NR7</t>
  </si>
  <si>
    <t>NR8</t>
  </si>
  <si>
    <t>NR9</t>
  </si>
  <si>
    <t>NR99</t>
  </si>
  <si>
    <t>NW1</t>
  </si>
  <si>
    <t>NW10</t>
  </si>
  <si>
    <t>NW11</t>
  </si>
  <si>
    <t>NW1W</t>
  </si>
  <si>
    <t>NW2</t>
  </si>
  <si>
    <t>NW26</t>
  </si>
  <si>
    <t>NW3</t>
  </si>
  <si>
    <t>NW4</t>
  </si>
  <si>
    <t>NW5</t>
  </si>
  <si>
    <t>NW6</t>
  </si>
  <si>
    <t>NW7</t>
  </si>
  <si>
    <t>NW8</t>
  </si>
  <si>
    <t>NW9</t>
  </si>
  <si>
    <t>OL1</t>
  </si>
  <si>
    <t>OL10</t>
  </si>
  <si>
    <t>OL11</t>
  </si>
  <si>
    <t>OL12</t>
  </si>
  <si>
    <t>OL13</t>
  </si>
  <si>
    <t>OL14</t>
  </si>
  <si>
    <t>OL15</t>
  </si>
  <si>
    <t>OL16</t>
  </si>
  <si>
    <t>OL2</t>
  </si>
  <si>
    <t>OL3</t>
  </si>
  <si>
    <t>OL4</t>
  </si>
  <si>
    <t>OL5</t>
  </si>
  <si>
    <t>OL6</t>
  </si>
  <si>
    <t>OL7</t>
  </si>
  <si>
    <t>OL8</t>
  </si>
  <si>
    <t>OL9</t>
  </si>
  <si>
    <t>OL95</t>
  </si>
  <si>
    <t>OX1</t>
  </si>
  <si>
    <t>OX10</t>
  </si>
  <si>
    <t>OX11</t>
  </si>
  <si>
    <t>OX12</t>
  </si>
  <si>
    <t>OX13</t>
  </si>
  <si>
    <t>OX14</t>
  </si>
  <si>
    <t>OX15</t>
  </si>
  <si>
    <t>OX16</t>
  </si>
  <si>
    <t>OX17</t>
  </si>
  <si>
    <t>OX18</t>
  </si>
  <si>
    <t>OX2</t>
  </si>
  <si>
    <t>OX20</t>
  </si>
  <si>
    <t>OX25</t>
  </si>
  <si>
    <t>OX26</t>
  </si>
  <si>
    <t>OX27</t>
  </si>
  <si>
    <t>OX28</t>
  </si>
  <si>
    <t>OX29</t>
  </si>
  <si>
    <t>OX3</t>
  </si>
  <si>
    <t>OX33</t>
  </si>
  <si>
    <t>OX39</t>
  </si>
  <si>
    <t>OX4</t>
  </si>
  <si>
    <t>OX44</t>
  </si>
  <si>
    <t>OX49</t>
  </si>
  <si>
    <t>OX5</t>
  </si>
  <si>
    <t>OX6</t>
  </si>
  <si>
    <t>OX7</t>
  </si>
  <si>
    <t>OX8</t>
  </si>
  <si>
    <t>OX9</t>
  </si>
  <si>
    <t>PA1</t>
  </si>
  <si>
    <t>PA10</t>
  </si>
  <si>
    <t>PA11</t>
  </si>
  <si>
    <t>PA12</t>
  </si>
  <si>
    <t>PA13</t>
  </si>
  <si>
    <t>PA14</t>
  </si>
  <si>
    <t>PA15</t>
  </si>
  <si>
    <t>PA16</t>
  </si>
  <si>
    <t>PA17</t>
  </si>
  <si>
    <t>PA18</t>
  </si>
  <si>
    <t>PA19</t>
  </si>
  <si>
    <t>PA2</t>
  </si>
  <si>
    <t>PA20</t>
  </si>
  <si>
    <t>PA21</t>
  </si>
  <si>
    <t>PA22</t>
  </si>
  <si>
    <t>PA23</t>
  </si>
  <si>
    <t>PA24</t>
  </si>
  <si>
    <t>PA25</t>
  </si>
  <si>
    <t>PA26</t>
  </si>
  <si>
    <t>PA27</t>
  </si>
  <si>
    <t>PA28</t>
  </si>
  <si>
    <t>PA29</t>
  </si>
  <si>
    <t>PA3</t>
  </si>
  <si>
    <t>PA30</t>
  </si>
  <si>
    <t>PA31</t>
  </si>
  <si>
    <t>PA32</t>
  </si>
  <si>
    <t>PA33</t>
  </si>
  <si>
    <t>PA34</t>
  </si>
  <si>
    <t>PA35</t>
  </si>
  <si>
    <t>PA36</t>
  </si>
  <si>
    <t>PA37</t>
  </si>
  <si>
    <t>PA38</t>
  </si>
  <si>
    <t>PA39</t>
  </si>
  <si>
    <t>PA4</t>
  </si>
  <si>
    <t>PA40</t>
  </si>
  <si>
    <t>PA41</t>
  </si>
  <si>
    <t>PA42</t>
  </si>
  <si>
    <t>PA43</t>
  </si>
  <si>
    <t>PA44</t>
  </si>
  <si>
    <t>PA45</t>
  </si>
  <si>
    <t>PA46</t>
  </si>
  <si>
    <t>PA47</t>
  </si>
  <si>
    <t>PA48</t>
  </si>
  <si>
    <t>PA49</t>
  </si>
  <si>
    <t>PA5</t>
  </si>
  <si>
    <t>PA6</t>
  </si>
  <si>
    <t>PA60</t>
  </si>
  <si>
    <t>PA61</t>
  </si>
  <si>
    <t>PA62</t>
  </si>
  <si>
    <t>PA63</t>
  </si>
  <si>
    <t>PA64</t>
  </si>
  <si>
    <t>PA65</t>
  </si>
  <si>
    <t>PA66</t>
  </si>
  <si>
    <t>PA67</t>
  </si>
  <si>
    <t>PA68</t>
  </si>
  <si>
    <t>PA69</t>
  </si>
  <si>
    <t>PA7</t>
  </si>
  <si>
    <t>PA70</t>
  </si>
  <si>
    <t>PA71</t>
  </si>
  <si>
    <t>PA72</t>
  </si>
  <si>
    <t>PA73</t>
  </si>
  <si>
    <t>PA74</t>
  </si>
  <si>
    <t>PA75</t>
  </si>
  <si>
    <t>PA76</t>
  </si>
  <si>
    <t>PA77</t>
  </si>
  <si>
    <t>PA78</t>
  </si>
  <si>
    <t>PA8</t>
  </si>
  <si>
    <t>PA80</t>
  </si>
  <si>
    <t>PA81</t>
  </si>
  <si>
    <t>PA82</t>
  </si>
  <si>
    <t>PA83</t>
  </si>
  <si>
    <t>PA84</t>
  </si>
  <si>
    <t>PA85</t>
  </si>
  <si>
    <t>PA86</t>
  </si>
  <si>
    <t>PA87</t>
  </si>
  <si>
    <t>PA88</t>
  </si>
  <si>
    <t>PA9</t>
  </si>
  <si>
    <t>PA98</t>
  </si>
  <si>
    <t>PE1</t>
  </si>
  <si>
    <t>PE10</t>
  </si>
  <si>
    <t>PE11</t>
  </si>
  <si>
    <t>PE12</t>
  </si>
  <si>
    <t>PE13</t>
  </si>
  <si>
    <t>PE14</t>
  </si>
  <si>
    <t>PE15</t>
  </si>
  <si>
    <t>PE16</t>
  </si>
  <si>
    <t>PE17</t>
  </si>
  <si>
    <t>PE18</t>
  </si>
  <si>
    <t>PE19</t>
  </si>
  <si>
    <t>PE2</t>
  </si>
  <si>
    <t>PE20</t>
  </si>
  <si>
    <t>PE21</t>
  </si>
  <si>
    <t>PE22</t>
  </si>
  <si>
    <t>PE23</t>
  </si>
  <si>
    <t>PE24</t>
  </si>
  <si>
    <t>PE25</t>
  </si>
  <si>
    <t>PE26</t>
  </si>
  <si>
    <t>PE27</t>
  </si>
  <si>
    <t>PE28</t>
  </si>
  <si>
    <t>PE29</t>
  </si>
  <si>
    <t>PE3</t>
  </si>
  <si>
    <t>PE30</t>
  </si>
  <si>
    <t>PE31</t>
  </si>
  <si>
    <t>PE32</t>
  </si>
  <si>
    <t>PE33</t>
  </si>
  <si>
    <t>PE34</t>
  </si>
  <si>
    <t>PE35</t>
  </si>
  <si>
    <t>PE36</t>
  </si>
  <si>
    <t>PE37</t>
  </si>
  <si>
    <t>PE38</t>
  </si>
  <si>
    <t>PE4</t>
  </si>
  <si>
    <t>PE5</t>
  </si>
  <si>
    <t>PE6</t>
  </si>
  <si>
    <t>PE7</t>
  </si>
  <si>
    <t>PE8</t>
  </si>
  <si>
    <t>PE9</t>
  </si>
  <si>
    <t>PE99</t>
  </si>
  <si>
    <t>PH1</t>
  </si>
  <si>
    <t>PH10</t>
  </si>
  <si>
    <t>PH11</t>
  </si>
  <si>
    <t>PH12</t>
  </si>
  <si>
    <t>PH13</t>
  </si>
  <si>
    <t>PH14</t>
  </si>
  <si>
    <t>PH15</t>
  </si>
  <si>
    <t>PH16</t>
  </si>
  <si>
    <t>PH17</t>
  </si>
  <si>
    <t>PH18</t>
  </si>
  <si>
    <t>PH19</t>
  </si>
  <si>
    <t>PH2</t>
  </si>
  <si>
    <t>PH20</t>
  </si>
  <si>
    <t>PH21</t>
  </si>
  <si>
    <t>PH22</t>
  </si>
  <si>
    <t>PH23</t>
  </si>
  <si>
    <t>PH24</t>
  </si>
  <si>
    <t>PH25</t>
  </si>
  <si>
    <t>PH26</t>
  </si>
  <si>
    <t>PH3</t>
  </si>
  <si>
    <t>PH30</t>
  </si>
  <si>
    <t>PH31</t>
  </si>
  <si>
    <t>PH32</t>
  </si>
  <si>
    <t>PH33</t>
  </si>
  <si>
    <t>PH34</t>
  </si>
  <si>
    <t>PH35</t>
  </si>
  <si>
    <t>PH36</t>
  </si>
  <si>
    <t>PH37</t>
  </si>
  <si>
    <t>PH38</t>
  </si>
  <si>
    <t>PH39</t>
  </si>
  <si>
    <t>PH4</t>
  </si>
  <si>
    <t>PH40</t>
  </si>
  <si>
    <t>PH41</t>
  </si>
  <si>
    <t>PH42</t>
  </si>
  <si>
    <t>PH43</t>
  </si>
  <si>
    <t>PH44</t>
  </si>
  <si>
    <t>PH49</t>
  </si>
  <si>
    <t>PH5</t>
  </si>
  <si>
    <t>PH50</t>
  </si>
  <si>
    <t>PH6</t>
  </si>
  <si>
    <t>PH7</t>
  </si>
  <si>
    <t>PH8</t>
  </si>
  <si>
    <t>PH9</t>
  </si>
  <si>
    <t>PL1</t>
  </si>
  <si>
    <t>PL10</t>
  </si>
  <si>
    <t>PL11</t>
  </si>
  <si>
    <t>PL12</t>
  </si>
  <si>
    <t>PL13</t>
  </si>
  <si>
    <t>PL14</t>
  </si>
  <si>
    <t>PL15</t>
  </si>
  <si>
    <t>PL16</t>
  </si>
  <si>
    <t>PL17</t>
  </si>
  <si>
    <t>PL18</t>
  </si>
  <si>
    <t>PL19</t>
  </si>
  <si>
    <t>PL2</t>
  </si>
  <si>
    <t>PL20</t>
  </si>
  <si>
    <t>PL21</t>
  </si>
  <si>
    <t>PL22</t>
  </si>
  <si>
    <t>PL23</t>
  </si>
  <si>
    <t>PL24</t>
  </si>
  <si>
    <t>PL25</t>
  </si>
  <si>
    <t>PL26</t>
  </si>
  <si>
    <t>PL27</t>
  </si>
  <si>
    <t>PL28</t>
  </si>
  <si>
    <t>PL29</t>
  </si>
  <si>
    <t>PL3</t>
  </si>
  <si>
    <t>PL30</t>
  </si>
  <si>
    <t>PL31</t>
  </si>
  <si>
    <t>PL32</t>
  </si>
  <si>
    <t>PL33</t>
  </si>
  <si>
    <t>PL34</t>
  </si>
  <si>
    <t>PL35</t>
  </si>
  <si>
    <t>PL4</t>
  </si>
  <si>
    <t>PL5</t>
  </si>
  <si>
    <t>PL6</t>
  </si>
  <si>
    <t>PL7</t>
  </si>
  <si>
    <t>PL8</t>
  </si>
  <si>
    <t>PL9</t>
  </si>
  <si>
    <t>PL95</t>
  </si>
  <si>
    <t>PO1</t>
  </si>
  <si>
    <t>PO10</t>
  </si>
  <si>
    <t>PO11</t>
  </si>
  <si>
    <t>PO12</t>
  </si>
  <si>
    <t>PO13</t>
  </si>
  <si>
    <t>PO14</t>
  </si>
  <si>
    <t>PO15</t>
  </si>
  <si>
    <t>PO16</t>
  </si>
  <si>
    <t>PO17</t>
  </si>
  <si>
    <t>PO18</t>
  </si>
  <si>
    <t>PO19</t>
  </si>
  <si>
    <t>PO2</t>
  </si>
  <si>
    <t>PO20</t>
  </si>
  <si>
    <t>PO21</t>
  </si>
  <si>
    <t>PO22</t>
  </si>
  <si>
    <t>PO24</t>
  </si>
  <si>
    <t>PO3</t>
  </si>
  <si>
    <t>PO30</t>
  </si>
  <si>
    <t>PO31</t>
  </si>
  <si>
    <t>PO32</t>
  </si>
  <si>
    <t>PO33</t>
  </si>
  <si>
    <t>PO34</t>
  </si>
  <si>
    <t>PO35</t>
  </si>
  <si>
    <t>PO36</t>
  </si>
  <si>
    <t>PO37</t>
  </si>
  <si>
    <t>PO38</t>
  </si>
  <si>
    <t>PO39</t>
  </si>
  <si>
    <t>PO4</t>
  </si>
  <si>
    <t>PO40</t>
  </si>
  <si>
    <t>PO41</t>
  </si>
  <si>
    <t>PO5</t>
  </si>
  <si>
    <t>PO6</t>
  </si>
  <si>
    <t>PO7</t>
  </si>
  <si>
    <t>PO8</t>
  </si>
  <si>
    <t>PO9</t>
  </si>
  <si>
    <t>PR0</t>
  </si>
  <si>
    <t>PR1</t>
  </si>
  <si>
    <t>PR11</t>
  </si>
  <si>
    <t>PR2</t>
  </si>
  <si>
    <t>PR25</t>
  </si>
  <si>
    <t>PR26</t>
  </si>
  <si>
    <t>PR3</t>
  </si>
  <si>
    <t>PR4</t>
  </si>
  <si>
    <t>PR5</t>
  </si>
  <si>
    <t>PR6</t>
  </si>
  <si>
    <t>PR7</t>
  </si>
  <si>
    <t>PR8</t>
  </si>
  <si>
    <t>PR9</t>
  </si>
  <si>
    <t>RG1</t>
  </si>
  <si>
    <t>RG10</t>
  </si>
  <si>
    <t>RG11</t>
  </si>
  <si>
    <t>RG12</t>
  </si>
  <si>
    <t>RG13</t>
  </si>
  <si>
    <t>RG14</t>
  </si>
  <si>
    <t>RG15</t>
  </si>
  <si>
    <t>RG16</t>
  </si>
  <si>
    <t>RG17</t>
  </si>
  <si>
    <t>RG18</t>
  </si>
  <si>
    <t>RG19</t>
  </si>
  <si>
    <t>RG2</t>
  </si>
  <si>
    <t>RG20</t>
  </si>
  <si>
    <t>RG21</t>
  </si>
  <si>
    <t>RG22</t>
  </si>
  <si>
    <t>RG23</t>
  </si>
  <si>
    <t>RG24</t>
  </si>
  <si>
    <t>RG25</t>
  </si>
  <si>
    <t>RG26</t>
  </si>
  <si>
    <t>RG27</t>
  </si>
  <si>
    <t>RG28</t>
  </si>
  <si>
    <t>RG29</t>
  </si>
  <si>
    <t>RG3</t>
  </si>
  <si>
    <t>RG30</t>
  </si>
  <si>
    <t>RG31</t>
  </si>
  <si>
    <t>RG4</t>
  </si>
  <si>
    <t>RG40</t>
  </si>
  <si>
    <t>RG41</t>
  </si>
  <si>
    <t>RG42</t>
  </si>
  <si>
    <t>RG45</t>
  </si>
  <si>
    <t>RG5</t>
  </si>
  <si>
    <t>RG6</t>
  </si>
  <si>
    <t>RG7</t>
  </si>
  <si>
    <t>RG8</t>
  </si>
  <si>
    <t>RG9</t>
  </si>
  <si>
    <t>RH1</t>
  </si>
  <si>
    <t>RH10</t>
  </si>
  <si>
    <t>RH11</t>
  </si>
  <si>
    <t>RH12</t>
  </si>
  <si>
    <t>RH13</t>
  </si>
  <si>
    <t>RH14</t>
  </si>
  <si>
    <t>RH15</t>
  </si>
  <si>
    <t>RH16</t>
  </si>
  <si>
    <t>RH17</t>
  </si>
  <si>
    <t>RH18</t>
  </si>
  <si>
    <t>RH19</t>
  </si>
  <si>
    <t>RH2</t>
  </si>
  <si>
    <t>RH20</t>
  </si>
  <si>
    <t>RH3</t>
  </si>
  <si>
    <t>RH4</t>
  </si>
  <si>
    <t>RH5</t>
  </si>
  <si>
    <t>RH6</t>
  </si>
  <si>
    <t>RH7</t>
  </si>
  <si>
    <t>RH77</t>
  </si>
  <si>
    <t>RH8</t>
  </si>
  <si>
    <t>RH9</t>
  </si>
  <si>
    <t>RM1</t>
  </si>
  <si>
    <t>RM10</t>
  </si>
  <si>
    <t>RM11</t>
  </si>
  <si>
    <t>RM12</t>
  </si>
  <si>
    <t>RM13</t>
  </si>
  <si>
    <t>RM14</t>
  </si>
  <si>
    <t>RM15</t>
  </si>
  <si>
    <t>RM16</t>
  </si>
  <si>
    <t>RM17</t>
  </si>
  <si>
    <t>RM18</t>
  </si>
  <si>
    <t>RM19</t>
  </si>
  <si>
    <t>RM2</t>
  </si>
  <si>
    <t>RM20</t>
  </si>
  <si>
    <t>RM3</t>
  </si>
  <si>
    <t>RM4</t>
  </si>
  <si>
    <t>RM5</t>
  </si>
  <si>
    <t>RM50</t>
  </si>
  <si>
    <t>RM6</t>
  </si>
  <si>
    <t>RM7</t>
  </si>
  <si>
    <t>RM8</t>
  </si>
  <si>
    <t>RM9</t>
  </si>
  <si>
    <t>S1</t>
  </si>
  <si>
    <t>S10</t>
  </si>
  <si>
    <t>S11</t>
  </si>
  <si>
    <t>S12</t>
  </si>
  <si>
    <t>S13</t>
  </si>
  <si>
    <t>S14</t>
  </si>
  <si>
    <t>S17</t>
  </si>
  <si>
    <t>S18</t>
  </si>
  <si>
    <t>S19</t>
  </si>
  <si>
    <t>S2</t>
  </si>
  <si>
    <t>S20</t>
  </si>
  <si>
    <t>S21</t>
  </si>
  <si>
    <t>S25</t>
  </si>
  <si>
    <t>S26</t>
  </si>
  <si>
    <t>S3</t>
  </si>
  <si>
    <t>S30</t>
  </si>
  <si>
    <t>S31</t>
  </si>
  <si>
    <t>S32</t>
  </si>
  <si>
    <t>S33</t>
  </si>
  <si>
    <t>S35</t>
  </si>
  <si>
    <t>S36</t>
  </si>
  <si>
    <t>S4</t>
  </si>
  <si>
    <t>S40</t>
  </si>
  <si>
    <t>S41</t>
  </si>
  <si>
    <t>S42</t>
  </si>
  <si>
    <t>S43</t>
  </si>
  <si>
    <t>S44</t>
  </si>
  <si>
    <t>S45</t>
  </si>
  <si>
    <t>S49</t>
  </si>
  <si>
    <t>S5</t>
  </si>
  <si>
    <t>S6</t>
  </si>
  <si>
    <t>S60</t>
  </si>
  <si>
    <t>S61</t>
  </si>
  <si>
    <t>S62</t>
  </si>
  <si>
    <t>S63</t>
  </si>
  <si>
    <t>S64</t>
  </si>
  <si>
    <t>S65</t>
  </si>
  <si>
    <t>S66</t>
  </si>
  <si>
    <t>S69</t>
  </si>
  <si>
    <t>S7</t>
  </si>
  <si>
    <t>S70</t>
  </si>
  <si>
    <t>S71</t>
  </si>
  <si>
    <t>S72</t>
  </si>
  <si>
    <t>S73</t>
  </si>
  <si>
    <t>S74</t>
  </si>
  <si>
    <t>S75</t>
  </si>
  <si>
    <t>S8</t>
  </si>
  <si>
    <t>S80</t>
  </si>
  <si>
    <t>S81</t>
  </si>
  <si>
    <t>S9</t>
  </si>
  <si>
    <t>S94</t>
  </si>
  <si>
    <t>S95</t>
  </si>
  <si>
    <t>S96</t>
  </si>
  <si>
    <t>S97</t>
  </si>
  <si>
    <t>S98</t>
  </si>
  <si>
    <t>S99</t>
  </si>
  <si>
    <t>SA1</t>
  </si>
  <si>
    <t>SA10</t>
  </si>
  <si>
    <t>SA11</t>
  </si>
  <si>
    <t>SA12</t>
  </si>
  <si>
    <t>SA13</t>
  </si>
  <si>
    <t>SA14</t>
  </si>
  <si>
    <t>SA15</t>
  </si>
  <si>
    <t>SA16</t>
  </si>
  <si>
    <t>SA17</t>
  </si>
  <si>
    <t>SA18</t>
  </si>
  <si>
    <t>SA19</t>
  </si>
  <si>
    <t>SA2</t>
  </si>
  <si>
    <t>SA20</t>
  </si>
  <si>
    <t>SA3</t>
  </si>
  <si>
    <t>SA31</t>
  </si>
  <si>
    <t>SA32</t>
  </si>
  <si>
    <t>SA33</t>
  </si>
  <si>
    <t>SA34</t>
  </si>
  <si>
    <t>SA35</t>
  </si>
  <si>
    <t>SA36</t>
  </si>
  <si>
    <t>SA37</t>
  </si>
  <si>
    <t>SA38</t>
  </si>
  <si>
    <t>SA39</t>
  </si>
  <si>
    <t>SA4</t>
  </si>
  <si>
    <t>SA40</t>
  </si>
  <si>
    <t>SA41</t>
  </si>
  <si>
    <t>SA42</t>
  </si>
  <si>
    <t>SA43</t>
  </si>
  <si>
    <t>SA44</t>
  </si>
  <si>
    <t>SA45</t>
  </si>
  <si>
    <t>SA46</t>
  </si>
  <si>
    <t>SA47</t>
  </si>
  <si>
    <t>SA48</t>
  </si>
  <si>
    <t>SA5</t>
  </si>
  <si>
    <t>SA6</t>
  </si>
  <si>
    <t>SA61</t>
  </si>
  <si>
    <t>SA62</t>
  </si>
  <si>
    <t>SA63</t>
  </si>
  <si>
    <t>SA64</t>
  </si>
  <si>
    <t>SA65</t>
  </si>
  <si>
    <t>SA66</t>
  </si>
  <si>
    <t>SA67</t>
  </si>
  <si>
    <t>SA68</t>
  </si>
  <si>
    <t>SA69</t>
  </si>
  <si>
    <t>SA7</t>
  </si>
  <si>
    <t>SA70</t>
  </si>
  <si>
    <t>SA71</t>
  </si>
  <si>
    <t>SA72</t>
  </si>
  <si>
    <t>SA73</t>
  </si>
  <si>
    <t>SA8</t>
  </si>
  <si>
    <t>SA80</t>
  </si>
  <si>
    <t>SA9</t>
  </si>
  <si>
    <t>SA99</t>
  </si>
  <si>
    <t>SE1</t>
  </si>
  <si>
    <t>SE10</t>
  </si>
  <si>
    <t>SE11</t>
  </si>
  <si>
    <t>SE12</t>
  </si>
  <si>
    <t>SE13</t>
  </si>
  <si>
    <t>SE14</t>
  </si>
  <si>
    <t>SE15</t>
  </si>
  <si>
    <t>SE16</t>
  </si>
  <si>
    <t>SE17</t>
  </si>
  <si>
    <t>SE18</t>
  </si>
  <si>
    <t>SE19</t>
  </si>
  <si>
    <t>SE1P</t>
  </si>
  <si>
    <t>SE2</t>
  </si>
  <si>
    <t>SE20</t>
  </si>
  <si>
    <t>SE21</t>
  </si>
  <si>
    <t>SE22</t>
  </si>
  <si>
    <t>SE23</t>
  </si>
  <si>
    <t>SE24</t>
  </si>
  <si>
    <t>SE25</t>
  </si>
  <si>
    <t>SE26</t>
  </si>
  <si>
    <t>SE27</t>
  </si>
  <si>
    <t>SE28</t>
  </si>
  <si>
    <t>SE3</t>
  </si>
  <si>
    <t>SE4</t>
  </si>
  <si>
    <t>SE5</t>
  </si>
  <si>
    <t>SE6</t>
  </si>
  <si>
    <t>SE7</t>
  </si>
  <si>
    <t>SE8</t>
  </si>
  <si>
    <t>SE9</t>
  </si>
  <si>
    <t>SE99</t>
  </si>
  <si>
    <t>SG1</t>
  </si>
  <si>
    <t>SG10</t>
  </si>
  <si>
    <t>SG11</t>
  </si>
  <si>
    <t>SG12</t>
  </si>
  <si>
    <t>SG13</t>
  </si>
  <si>
    <t>SG14</t>
  </si>
  <si>
    <t>SG15</t>
  </si>
  <si>
    <t>SG16</t>
  </si>
  <si>
    <t>SG17</t>
  </si>
  <si>
    <t>SG18</t>
  </si>
  <si>
    <t>SG19</t>
  </si>
  <si>
    <t>SG2</t>
  </si>
  <si>
    <t>SG3</t>
  </si>
  <si>
    <t>SG4</t>
  </si>
  <si>
    <t>SG5</t>
  </si>
  <si>
    <t>SG6</t>
  </si>
  <si>
    <t>SG7</t>
  </si>
  <si>
    <t>SG8</t>
  </si>
  <si>
    <t>SG9</t>
  </si>
  <si>
    <t>SK1</t>
  </si>
  <si>
    <t>SK10</t>
  </si>
  <si>
    <t>SK11</t>
  </si>
  <si>
    <t>SK12</t>
  </si>
  <si>
    <t>SK13</t>
  </si>
  <si>
    <t>SK14</t>
  </si>
  <si>
    <t>SK15</t>
  </si>
  <si>
    <t>SK16</t>
  </si>
  <si>
    <t>SK17</t>
  </si>
  <si>
    <t>SK2</t>
  </si>
  <si>
    <t>SK22</t>
  </si>
  <si>
    <t>SK23</t>
  </si>
  <si>
    <t>SK3</t>
  </si>
  <si>
    <t>SK4</t>
  </si>
  <si>
    <t>SK5</t>
  </si>
  <si>
    <t>SK6</t>
  </si>
  <si>
    <t>SK7</t>
  </si>
  <si>
    <t>SK8</t>
  </si>
  <si>
    <t>SK9</t>
  </si>
  <si>
    <t>SL0</t>
  </si>
  <si>
    <t>SL1</t>
  </si>
  <si>
    <t>SL2</t>
  </si>
  <si>
    <t>SL3</t>
  </si>
  <si>
    <t>SL4</t>
  </si>
  <si>
    <t>SL5</t>
  </si>
  <si>
    <t>SL6</t>
  </si>
  <si>
    <t>SL60</t>
  </si>
  <si>
    <t>SL7</t>
  </si>
  <si>
    <t>SL8</t>
  </si>
  <si>
    <t>SL9</t>
  </si>
  <si>
    <t>SL95</t>
  </si>
  <si>
    <t>SM1</t>
  </si>
  <si>
    <t>SM2</t>
  </si>
  <si>
    <t>SM3</t>
  </si>
  <si>
    <t>SM4</t>
  </si>
  <si>
    <t>SM5</t>
  </si>
  <si>
    <t>SM6</t>
  </si>
  <si>
    <t>SM7</t>
  </si>
  <si>
    <t>SN1</t>
  </si>
  <si>
    <t>SN10</t>
  </si>
  <si>
    <t>SN11</t>
  </si>
  <si>
    <t>SN12</t>
  </si>
  <si>
    <t>SN13</t>
  </si>
  <si>
    <t>SN14</t>
  </si>
  <si>
    <t>SN15</t>
  </si>
  <si>
    <t>SN16</t>
  </si>
  <si>
    <t>SN17</t>
  </si>
  <si>
    <t>SN2</t>
  </si>
  <si>
    <t>SN25</t>
  </si>
  <si>
    <t>SN26</t>
  </si>
  <si>
    <t>SN3</t>
  </si>
  <si>
    <t>SN38</t>
  </si>
  <si>
    <t>SN4</t>
  </si>
  <si>
    <t>SN42</t>
  </si>
  <si>
    <t>SN5</t>
  </si>
  <si>
    <t>SN6</t>
  </si>
  <si>
    <t>SN7</t>
  </si>
  <si>
    <t>SN8</t>
  </si>
  <si>
    <t>SN86</t>
  </si>
  <si>
    <t>SN9</t>
  </si>
  <si>
    <t>SN99</t>
  </si>
  <si>
    <t>SO1</t>
  </si>
  <si>
    <t>SO14</t>
  </si>
  <si>
    <t>SO15</t>
  </si>
  <si>
    <t>SO16</t>
  </si>
  <si>
    <t>SO17</t>
  </si>
  <si>
    <t>SO18</t>
  </si>
  <si>
    <t>SO19</t>
  </si>
  <si>
    <t>SO2</t>
  </si>
  <si>
    <t>SO20</t>
  </si>
  <si>
    <t>SO21</t>
  </si>
  <si>
    <t>SO22</t>
  </si>
  <si>
    <t>SO23</t>
  </si>
  <si>
    <t>SO24</t>
  </si>
  <si>
    <t>SO25</t>
  </si>
  <si>
    <t>SO3</t>
  </si>
  <si>
    <t>SO30</t>
  </si>
  <si>
    <t>SO31</t>
  </si>
  <si>
    <t>SO32</t>
  </si>
  <si>
    <t>SO4</t>
  </si>
  <si>
    <t>SO40</t>
  </si>
  <si>
    <t>SO41</t>
  </si>
  <si>
    <t>SO42</t>
  </si>
  <si>
    <t>SO43</t>
  </si>
  <si>
    <t>SO45</t>
  </si>
  <si>
    <t>SO5</t>
  </si>
  <si>
    <t>SO50</t>
  </si>
  <si>
    <t>SO51</t>
  </si>
  <si>
    <t>SO52</t>
  </si>
  <si>
    <t>SO53</t>
  </si>
  <si>
    <t>SO9</t>
  </si>
  <si>
    <t>SO97</t>
  </si>
  <si>
    <t>SP1</t>
  </si>
  <si>
    <t>SP10</t>
  </si>
  <si>
    <t>SP11</t>
  </si>
  <si>
    <t>SP2</t>
  </si>
  <si>
    <t>SP3</t>
  </si>
  <si>
    <t>SP4</t>
  </si>
  <si>
    <t>SP5</t>
  </si>
  <si>
    <t>SP6</t>
  </si>
  <si>
    <t>SP7</t>
  </si>
  <si>
    <t>SP8</t>
  </si>
  <si>
    <t>SP9</t>
  </si>
  <si>
    <t>SR1</t>
  </si>
  <si>
    <t>SR2</t>
  </si>
  <si>
    <t>SR3</t>
  </si>
  <si>
    <t>SR4</t>
  </si>
  <si>
    <t>SR43</t>
  </si>
  <si>
    <t>SR5</t>
  </si>
  <si>
    <t>SR6</t>
  </si>
  <si>
    <t>SR7</t>
  </si>
  <si>
    <t>SR8</t>
  </si>
  <si>
    <t>SR88</t>
  </si>
  <si>
    <t>SR9</t>
  </si>
  <si>
    <t>SS0</t>
  </si>
  <si>
    <t>SS1</t>
  </si>
  <si>
    <t>SS11</t>
  </si>
  <si>
    <t>SS12</t>
  </si>
  <si>
    <t>SS13</t>
  </si>
  <si>
    <t>SS14</t>
  </si>
  <si>
    <t>SS15</t>
  </si>
  <si>
    <t>SS16</t>
  </si>
  <si>
    <t>SS17</t>
  </si>
  <si>
    <t>SS2</t>
  </si>
  <si>
    <t>SS22</t>
  </si>
  <si>
    <t>SS3</t>
  </si>
  <si>
    <t>SS4</t>
  </si>
  <si>
    <t>SS5</t>
  </si>
  <si>
    <t>SS6</t>
  </si>
  <si>
    <t>SS7</t>
  </si>
  <si>
    <t>SS8</t>
  </si>
  <si>
    <t>SS9</t>
  </si>
  <si>
    <t>SS99</t>
  </si>
  <si>
    <t>ST1</t>
  </si>
  <si>
    <t>ST10</t>
  </si>
  <si>
    <t>ST11</t>
  </si>
  <si>
    <t>ST12</t>
  </si>
  <si>
    <t>ST13</t>
  </si>
  <si>
    <t>ST14</t>
  </si>
  <si>
    <t>ST15</t>
  </si>
  <si>
    <t>ST16</t>
  </si>
  <si>
    <t>ST17</t>
  </si>
  <si>
    <t>ST18</t>
  </si>
  <si>
    <t>ST19</t>
  </si>
  <si>
    <t>ST2</t>
  </si>
  <si>
    <t>ST20</t>
  </si>
  <si>
    <t>ST21</t>
  </si>
  <si>
    <t>ST3</t>
  </si>
  <si>
    <t>ST4</t>
  </si>
  <si>
    <t>ST5</t>
  </si>
  <si>
    <t>ST55</t>
  </si>
  <si>
    <t>ST6</t>
  </si>
  <si>
    <t>ST7</t>
  </si>
  <si>
    <t>ST8</t>
  </si>
  <si>
    <t>ST9</t>
  </si>
  <si>
    <t>SW10</t>
  </si>
  <si>
    <t>SW11</t>
  </si>
  <si>
    <t>SW12</t>
  </si>
  <si>
    <t>SW13</t>
  </si>
  <si>
    <t>SW14</t>
  </si>
  <si>
    <t>SW15</t>
  </si>
  <si>
    <t>SW16</t>
  </si>
  <si>
    <t>SW17</t>
  </si>
  <si>
    <t>SW18</t>
  </si>
  <si>
    <t>SW19</t>
  </si>
  <si>
    <t>SW1A</t>
  </si>
  <si>
    <t>SW1E</t>
  </si>
  <si>
    <t>SW1H</t>
  </si>
  <si>
    <t>SW1P</t>
  </si>
  <si>
    <t>SW1V</t>
  </si>
  <si>
    <t>SW1W</t>
  </si>
  <si>
    <t>SW1X</t>
  </si>
  <si>
    <t>SW1Y</t>
  </si>
  <si>
    <t>SW2</t>
  </si>
  <si>
    <t>SW20</t>
  </si>
  <si>
    <t>SW3</t>
  </si>
  <si>
    <t>SW4</t>
  </si>
  <si>
    <t>SW5</t>
  </si>
  <si>
    <t>SW6</t>
  </si>
  <si>
    <t>SW7</t>
  </si>
  <si>
    <t>SW8</t>
  </si>
  <si>
    <t>SW9</t>
  </si>
  <si>
    <t>SW95</t>
  </si>
  <si>
    <t>SW99</t>
  </si>
  <si>
    <t>SY1</t>
  </si>
  <si>
    <t>SY10</t>
  </si>
  <si>
    <t>SY11</t>
  </si>
  <si>
    <t>SY12</t>
  </si>
  <si>
    <t>SY13</t>
  </si>
  <si>
    <t>SY14</t>
  </si>
  <si>
    <t>SY15</t>
  </si>
  <si>
    <t>SY16</t>
  </si>
  <si>
    <t>SY17</t>
  </si>
  <si>
    <t>SY18</t>
  </si>
  <si>
    <t>SY19</t>
  </si>
  <si>
    <t>SY2</t>
  </si>
  <si>
    <t>SY20</t>
  </si>
  <si>
    <t>SY21</t>
  </si>
  <si>
    <t>SY22</t>
  </si>
  <si>
    <t>SY23</t>
  </si>
  <si>
    <t>SY24</t>
  </si>
  <si>
    <t>SY25</t>
  </si>
  <si>
    <t>SY3</t>
  </si>
  <si>
    <t>SY4</t>
  </si>
  <si>
    <t>SY5</t>
  </si>
  <si>
    <t>SY6</t>
  </si>
  <si>
    <t>SY7</t>
  </si>
  <si>
    <t>SY8</t>
  </si>
  <si>
    <t>SY9</t>
  </si>
  <si>
    <t>SY99</t>
  </si>
  <si>
    <t>TA1</t>
  </si>
  <si>
    <t>TA10</t>
  </si>
  <si>
    <t>TA11</t>
  </si>
  <si>
    <t>TA12</t>
  </si>
  <si>
    <t>TA13</t>
  </si>
  <si>
    <t>TA14</t>
  </si>
  <si>
    <t>TA15</t>
  </si>
  <si>
    <t>TA16</t>
  </si>
  <si>
    <t>TA17</t>
  </si>
  <si>
    <t>TA18</t>
  </si>
  <si>
    <t>TA19</t>
  </si>
  <si>
    <t>TA2</t>
  </si>
  <si>
    <t>TA20</t>
  </si>
  <si>
    <t>TA21</t>
  </si>
  <si>
    <t>TA22</t>
  </si>
  <si>
    <t>TA23</t>
  </si>
  <si>
    <t>TA24</t>
  </si>
  <si>
    <t>TA3</t>
  </si>
  <si>
    <t>TA4</t>
  </si>
  <si>
    <t>TA5</t>
  </si>
  <si>
    <t>TA6</t>
  </si>
  <si>
    <t>TA7</t>
  </si>
  <si>
    <t>TA8</t>
  </si>
  <si>
    <t>TA9</t>
  </si>
  <si>
    <t>TD1</t>
  </si>
  <si>
    <t>TD10</t>
  </si>
  <si>
    <t>TD11</t>
  </si>
  <si>
    <t>TD12</t>
  </si>
  <si>
    <t>TD13</t>
  </si>
  <si>
    <t>TD14</t>
  </si>
  <si>
    <t>TD15</t>
  </si>
  <si>
    <t>TD2</t>
  </si>
  <si>
    <t>TD3</t>
  </si>
  <si>
    <t>TD4</t>
  </si>
  <si>
    <t>TD5</t>
  </si>
  <si>
    <t>TD6</t>
  </si>
  <si>
    <t>TD7</t>
  </si>
  <si>
    <t>TD8</t>
  </si>
  <si>
    <t>TD9</t>
  </si>
  <si>
    <t>TF1</t>
  </si>
  <si>
    <t>TF10</t>
  </si>
  <si>
    <t>TF11</t>
  </si>
  <si>
    <t>TF12</t>
  </si>
  <si>
    <t>TF13</t>
  </si>
  <si>
    <t>TF2</t>
  </si>
  <si>
    <t>TF3</t>
  </si>
  <si>
    <t>TF4</t>
  </si>
  <si>
    <t>TF5</t>
  </si>
  <si>
    <t>TF6</t>
  </si>
  <si>
    <t>TF7</t>
  </si>
  <si>
    <t>TF8</t>
  </si>
  <si>
    <t>TF9</t>
  </si>
  <si>
    <t>TN1</t>
  </si>
  <si>
    <t>TN10</t>
  </si>
  <si>
    <t>TN11</t>
  </si>
  <si>
    <t>TN12</t>
  </si>
  <si>
    <t>TN13</t>
  </si>
  <si>
    <t>TN14</t>
  </si>
  <si>
    <t>TN15</t>
  </si>
  <si>
    <t>TN16</t>
  </si>
  <si>
    <t>TN17</t>
  </si>
  <si>
    <t>TN18</t>
  </si>
  <si>
    <t>TN19</t>
  </si>
  <si>
    <t>TN2</t>
  </si>
  <si>
    <t>TN20</t>
  </si>
  <si>
    <t>TN21</t>
  </si>
  <si>
    <t>TN22</t>
  </si>
  <si>
    <t>TN23</t>
  </si>
  <si>
    <t>TN24</t>
  </si>
  <si>
    <t>TN25</t>
  </si>
  <si>
    <t>TN26</t>
  </si>
  <si>
    <t>TN27</t>
  </si>
  <si>
    <t>TN28</t>
  </si>
  <si>
    <t>TN29</t>
  </si>
  <si>
    <t>TN3</t>
  </si>
  <si>
    <t>TN30</t>
  </si>
  <si>
    <t>TN31</t>
  </si>
  <si>
    <t>TN32</t>
  </si>
  <si>
    <t>TN33</t>
  </si>
  <si>
    <t>TN34</t>
  </si>
  <si>
    <t>TN35</t>
  </si>
  <si>
    <t>TN36</t>
  </si>
  <si>
    <t>TN37</t>
  </si>
  <si>
    <t>TN38</t>
  </si>
  <si>
    <t>TN39</t>
  </si>
  <si>
    <t>TN4</t>
  </si>
  <si>
    <t>TN40</t>
  </si>
  <si>
    <t>TN5</t>
  </si>
  <si>
    <t>TN6</t>
  </si>
  <si>
    <t>TN7</t>
  </si>
  <si>
    <t>TN8</t>
  </si>
  <si>
    <t>TN9</t>
  </si>
  <si>
    <t>TQ1</t>
  </si>
  <si>
    <t>TQ10</t>
  </si>
  <si>
    <t>TQ11</t>
  </si>
  <si>
    <t>TQ12</t>
  </si>
  <si>
    <t>TQ13</t>
  </si>
  <si>
    <t>TQ14</t>
  </si>
  <si>
    <t>TQ2</t>
  </si>
  <si>
    <t>TQ3</t>
  </si>
  <si>
    <t>TQ4</t>
  </si>
  <si>
    <t>TQ5</t>
  </si>
  <si>
    <t>TQ6</t>
  </si>
  <si>
    <t>TQ7</t>
  </si>
  <si>
    <t>TQ8</t>
  </si>
  <si>
    <t>TQ9</t>
  </si>
  <si>
    <t>TR1</t>
  </si>
  <si>
    <t>TR10</t>
  </si>
  <si>
    <t>TR11</t>
  </si>
  <si>
    <t>TR12</t>
  </si>
  <si>
    <t>TR13</t>
  </si>
  <si>
    <t>TR14</t>
  </si>
  <si>
    <t>TR15</t>
  </si>
  <si>
    <t>TR16</t>
  </si>
  <si>
    <t>TR17</t>
  </si>
  <si>
    <t>TR18</t>
  </si>
  <si>
    <t>TR19</t>
  </si>
  <si>
    <t>TR2</t>
  </si>
  <si>
    <t>TR20</t>
  </si>
  <si>
    <t>TR21</t>
  </si>
  <si>
    <t>TR22</t>
  </si>
  <si>
    <t>TR23</t>
  </si>
  <si>
    <t>TR24</t>
  </si>
  <si>
    <t>TR25</t>
  </si>
  <si>
    <t>TR26</t>
  </si>
  <si>
    <t>TR27</t>
  </si>
  <si>
    <t>TR3</t>
  </si>
  <si>
    <t>TR4</t>
  </si>
  <si>
    <t>TR5</t>
  </si>
  <si>
    <t>TR6</t>
  </si>
  <si>
    <t>TR7</t>
  </si>
  <si>
    <t>TR8</t>
  </si>
  <si>
    <t>TR9</t>
  </si>
  <si>
    <t>TR93</t>
  </si>
  <si>
    <t>TS1</t>
  </si>
  <si>
    <t>TS10</t>
  </si>
  <si>
    <t>TS11</t>
  </si>
  <si>
    <t>TS12</t>
  </si>
  <si>
    <t>TS13</t>
  </si>
  <si>
    <t>TS14</t>
  </si>
  <si>
    <t>TS15</t>
  </si>
  <si>
    <t>TS16</t>
  </si>
  <si>
    <t>TS17</t>
  </si>
  <si>
    <t>TS18</t>
  </si>
  <si>
    <t>TS19</t>
  </si>
  <si>
    <t>TS2</t>
  </si>
  <si>
    <t>TS20</t>
  </si>
  <si>
    <t>TS21</t>
  </si>
  <si>
    <t>TS22</t>
  </si>
  <si>
    <t>TS23</t>
  </si>
  <si>
    <t>TS24</t>
  </si>
  <si>
    <t>TS25</t>
  </si>
  <si>
    <t>TS26</t>
  </si>
  <si>
    <t>TS27</t>
  </si>
  <si>
    <t>TS28</t>
  </si>
  <si>
    <t>TS29</t>
  </si>
  <si>
    <t>TS3</t>
  </si>
  <si>
    <t>TS4</t>
  </si>
  <si>
    <t>TS5</t>
  </si>
  <si>
    <t>TS6</t>
  </si>
  <si>
    <t>TS7</t>
  </si>
  <si>
    <t>TS8</t>
  </si>
  <si>
    <t>TS9</t>
  </si>
  <si>
    <t>TS90</t>
  </si>
  <si>
    <t>TW1</t>
  </si>
  <si>
    <t>TW10</t>
  </si>
  <si>
    <t>TW11</t>
  </si>
  <si>
    <t>TW12</t>
  </si>
  <si>
    <t>TW13</t>
  </si>
  <si>
    <t>TW14</t>
  </si>
  <si>
    <t>TW15</t>
  </si>
  <si>
    <t>TW16</t>
  </si>
  <si>
    <t>TW17</t>
  </si>
  <si>
    <t>TW18</t>
  </si>
  <si>
    <t>TW19</t>
  </si>
  <si>
    <t>TW2</t>
  </si>
  <si>
    <t>TW20</t>
  </si>
  <si>
    <t>TW3</t>
  </si>
  <si>
    <t>TW4</t>
  </si>
  <si>
    <t>TW5</t>
  </si>
  <si>
    <t>TW6</t>
  </si>
  <si>
    <t>TW7</t>
  </si>
  <si>
    <t>TW8</t>
  </si>
  <si>
    <t>TW9</t>
  </si>
  <si>
    <t>UB1</t>
  </si>
  <si>
    <t>UB10</t>
  </si>
  <si>
    <t>UB11</t>
  </si>
  <si>
    <t>UB18</t>
  </si>
  <si>
    <t>UB2</t>
  </si>
  <si>
    <t>UB3</t>
  </si>
  <si>
    <t>UB4</t>
  </si>
  <si>
    <t>UB5</t>
  </si>
  <si>
    <t>UB6</t>
  </si>
  <si>
    <t>UB7</t>
  </si>
  <si>
    <t>UB8</t>
  </si>
  <si>
    <t>UB9</t>
  </si>
  <si>
    <t>W1</t>
  </si>
  <si>
    <t>W10</t>
  </si>
  <si>
    <t>W11</t>
  </si>
  <si>
    <t>W12</t>
  </si>
  <si>
    <t>W13</t>
  </si>
  <si>
    <t>W14</t>
  </si>
  <si>
    <t>W1A</t>
  </si>
  <si>
    <t>W1B</t>
  </si>
  <si>
    <t>W1C</t>
  </si>
  <si>
    <t>W1D</t>
  </si>
  <si>
    <t>W1E</t>
  </si>
  <si>
    <t>W1F</t>
  </si>
  <si>
    <t>W1G</t>
  </si>
  <si>
    <t>W1H</t>
  </si>
  <si>
    <t>W1J</t>
  </si>
  <si>
    <t>W1K</t>
  </si>
  <si>
    <t>W1M</t>
  </si>
  <si>
    <t>W1N</t>
  </si>
  <si>
    <t>W1P</t>
  </si>
  <si>
    <t>W1R</t>
  </si>
  <si>
    <t>W1S</t>
  </si>
  <si>
    <t>W1T</t>
  </si>
  <si>
    <t>W1U</t>
  </si>
  <si>
    <t>W1V</t>
  </si>
  <si>
    <t>W1W</t>
  </si>
  <si>
    <t>W1X</t>
  </si>
  <si>
    <t>W1Y</t>
  </si>
  <si>
    <t>W2</t>
  </si>
  <si>
    <t>W3</t>
  </si>
  <si>
    <t>W4</t>
  </si>
  <si>
    <t>W5</t>
  </si>
  <si>
    <t>W6</t>
  </si>
  <si>
    <t>W7</t>
  </si>
  <si>
    <t>W8</t>
  </si>
  <si>
    <t>W9</t>
  </si>
  <si>
    <t>WA1</t>
  </si>
  <si>
    <t>WA10</t>
  </si>
  <si>
    <t>WA11</t>
  </si>
  <si>
    <t>WA12</t>
  </si>
  <si>
    <t>WA13</t>
  </si>
  <si>
    <t>WA14</t>
  </si>
  <si>
    <t>WA15</t>
  </si>
  <si>
    <t>WA16</t>
  </si>
  <si>
    <t>WA2</t>
  </si>
  <si>
    <t>WA3</t>
  </si>
  <si>
    <t>WA4</t>
  </si>
  <si>
    <t>WA5</t>
  </si>
  <si>
    <t>WA55</t>
  </si>
  <si>
    <t>WA6</t>
  </si>
  <si>
    <t>WA7</t>
  </si>
  <si>
    <t>WA8</t>
  </si>
  <si>
    <t>WA88</t>
  </si>
  <si>
    <t>WA9</t>
  </si>
  <si>
    <t>WC1A</t>
  </si>
  <si>
    <t>WC1B</t>
  </si>
  <si>
    <t>WC1E</t>
  </si>
  <si>
    <t>WC1H</t>
  </si>
  <si>
    <t>WC1N</t>
  </si>
  <si>
    <t>WC1R</t>
  </si>
  <si>
    <t>WC1V</t>
  </si>
  <si>
    <t>WC1X</t>
  </si>
  <si>
    <t>WC2A</t>
  </si>
  <si>
    <t>WC2B</t>
  </si>
  <si>
    <t>WC2E</t>
  </si>
  <si>
    <t>WC2H</t>
  </si>
  <si>
    <t>WC2N</t>
  </si>
  <si>
    <t>WC2R</t>
  </si>
  <si>
    <t>WC99</t>
  </si>
  <si>
    <t>WD1</t>
  </si>
  <si>
    <t>WD17</t>
  </si>
  <si>
    <t>WD18</t>
  </si>
  <si>
    <t>WD19</t>
  </si>
  <si>
    <t>WD2</t>
  </si>
  <si>
    <t>WD23</t>
  </si>
  <si>
    <t>WD24</t>
  </si>
  <si>
    <t>WD25</t>
  </si>
  <si>
    <t>WD3</t>
  </si>
  <si>
    <t>WD4</t>
  </si>
  <si>
    <t>WD5</t>
  </si>
  <si>
    <t>WD6</t>
  </si>
  <si>
    <t>WD7</t>
  </si>
  <si>
    <t>WD99</t>
  </si>
  <si>
    <t>WF1</t>
  </si>
  <si>
    <t>WF10</t>
  </si>
  <si>
    <t>WF11</t>
  </si>
  <si>
    <t>WF12</t>
  </si>
  <si>
    <t>WF13</t>
  </si>
  <si>
    <t>WF14</t>
  </si>
  <si>
    <t>WF15</t>
  </si>
  <si>
    <t>WF16</t>
  </si>
  <si>
    <t>WF17</t>
  </si>
  <si>
    <t>WF2</t>
  </si>
  <si>
    <t>WF3</t>
  </si>
  <si>
    <t>WF4</t>
  </si>
  <si>
    <t>WF5</t>
  </si>
  <si>
    <t>WF6</t>
  </si>
  <si>
    <t>WF7</t>
  </si>
  <si>
    <t>WF8</t>
  </si>
  <si>
    <t>WF9</t>
  </si>
  <si>
    <t>WF90</t>
  </si>
  <si>
    <t>WN1</t>
  </si>
  <si>
    <t>WN2</t>
  </si>
  <si>
    <t>WN3</t>
  </si>
  <si>
    <t>WN4</t>
  </si>
  <si>
    <t>WN5</t>
  </si>
  <si>
    <t>WN6</t>
  </si>
  <si>
    <t>WN7</t>
  </si>
  <si>
    <t>WN8</t>
  </si>
  <si>
    <t>WR1</t>
  </si>
  <si>
    <t>WR10</t>
  </si>
  <si>
    <t>WR11</t>
  </si>
  <si>
    <t>WR12</t>
  </si>
  <si>
    <t>WR13</t>
  </si>
  <si>
    <t>WR14</t>
  </si>
  <si>
    <t>WR15</t>
  </si>
  <si>
    <t>WR2</t>
  </si>
  <si>
    <t>WR3</t>
  </si>
  <si>
    <t>WR4</t>
  </si>
  <si>
    <t>WR5</t>
  </si>
  <si>
    <t>WR6</t>
  </si>
  <si>
    <t>WR7</t>
  </si>
  <si>
    <t>WR78</t>
  </si>
  <si>
    <t>WR8</t>
  </si>
  <si>
    <t>WR9</t>
  </si>
  <si>
    <t>WR99</t>
  </si>
  <si>
    <t>WS1</t>
  </si>
  <si>
    <t>WS10</t>
  </si>
  <si>
    <t>WS11</t>
  </si>
  <si>
    <t>WS12</t>
  </si>
  <si>
    <t>WS13</t>
  </si>
  <si>
    <t>WS14</t>
  </si>
  <si>
    <t>WS15</t>
  </si>
  <si>
    <t>WS2</t>
  </si>
  <si>
    <t>WS3</t>
  </si>
  <si>
    <t>WS4</t>
  </si>
  <si>
    <t>WS5</t>
  </si>
  <si>
    <t>WS6</t>
  </si>
  <si>
    <t>WS7</t>
  </si>
  <si>
    <t>WS8</t>
  </si>
  <si>
    <t>WS9</t>
  </si>
  <si>
    <t>WV1</t>
  </si>
  <si>
    <t>WV10</t>
  </si>
  <si>
    <t>WV11</t>
  </si>
  <si>
    <t>WV12</t>
  </si>
  <si>
    <t>WV13</t>
  </si>
  <si>
    <t>WV14</t>
  </si>
  <si>
    <t>WV15</t>
  </si>
  <si>
    <t>WV16</t>
  </si>
  <si>
    <t>WV2</t>
  </si>
  <si>
    <t>WV3</t>
  </si>
  <si>
    <t>WV4</t>
  </si>
  <si>
    <t>WV5</t>
  </si>
  <si>
    <t>WV6</t>
  </si>
  <si>
    <t>WV7</t>
  </si>
  <si>
    <t>WV8</t>
  </si>
  <si>
    <t>WV9</t>
  </si>
  <si>
    <t>WV98</t>
  </si>
  <si>
    <t>WV99</t>
  </si>
  <si>
    <t>YO1</t>
  </si>
  <si>
    <t>YO10</t>
  </si>
  <si>
    <t>YO11</t>
  </si>
  <si>
    <t>YO12</t>
  </si>
  <si>
    <t>YO13</t>
  </si>
  <si>
    <t>YO14</t>
  </si>
  <si>
    <t>YO15</t>
  </si>
  <si>
    <t>YO16</t>
  </si>
  <si>
    <t>YO17</t>
  </si>
  <si>
    <t>YO18</t>
  </si>
  <si>
    <t>YO19</t>
  </si>
  <si>
    <t>YO2</t>
  </si>
  <si>
    <t>YO21</t>
  </si>
  <si>
    <t>YO22</t>
  </si>
  <si>
    <t>YO23</t>
  </si>
  <si>
    <t>YO24</t>
  </si>
  <si>
    <t>YO25</t>
  </si>
  <si>
    <t>YO26</t>
  </si>
  <si>
    <t>YO3</t>
  </si>
  <si>
    <t>YO30</t>
  </si>
  <si>
    <t>YO31</t>
  </si>
  <si>
    <t>YO32</t>
  </si>
  <si>
    <t>YO4</t>
  </si>
  <si>
    <t>YO41</t>
  </si>
  <si>
    <t>YO42</t>
  </si>
  <si>
    <t>YO43</t>
  </si>
  <si>
    <t>YO5</t>
  </si>
  <si>
    <t>YO51</t>
  </si>
  <si>
    <t>YO6</t>
  </si>
  <si>
    <t>YO60</t>
  </si>
  <si>
    <t>YO61</t>
  </si>
  <si>
    <t>YO62</t>
  </si>
  <si>
    <t>YO7</t>
  </si>
  <si>
    <t>YO8</t>
  </si>
  <si>
    <t>YO90</t>
  </si>
  <si>
    <t>YO91</t>
  </si>
  <si>
    <t>YO95</t>
  </si>
  <si>
    <t>ZE1</t>
  </si>
  <si>
    <t>ZE2</t>
  </si>
  <si>
    <t>ZE3</t>
  </si>
  <si>
    <t>Unknown [Note 11]</t>
  </si>
  <si>
    <t>Domestic Recharge Scheme (DRS): charging devices installed by upper and lower tier local authority, United Kingdom from 2013 [Note 13]</t>
  </si>
  <si>
    <t>2013</t>
  </si>
  <si>
    <t>2014</t>
  </si>
  <si>
    <t>United Kingdom</t>
  </si>
  <si>
    <t>Great Britain</t>
  </si>
  <si>
    <t>England</t>
  </si>
  <si>
    <t>Tyne and Wear (Metropolitan County)</t>
  </si>
  <si>
    <t>Greater Manchester (Metropolitan County)</t>
  </si>
  <si>
    <t>Merseyside (Metropolitan County)</t>
  </si>
  <si>
    <t>South Yorkshire (Metropolitan County)</t>
  </si>
  <si>
    <t>West Yorkshire (Metropolitan County)</t>
  </si>
  <si>
    <t>West Midlands (Metropolitan County)</t>
  </si>
  <si>
    <t>The Vale of Glamorgan</t>
  </si>
  <si>
    <t>Unknown</t>
  </si>
  <si>
    <t>Unknown [Note 12]</t>
  </si>
  <si>
    <t>Citation: Dapartment for Transport (DfT), 2023. Electric vehicle charging device grant scheme statistics: January 2023. [Online]. London: GOV.UK. Available from: https://www.gov.uk/government/statistics/electric-vehicle-charging-device-grant-scheme-statistics-january-2023/electric-vehicle-charging-device-grant-scheme-statistics-january-2023 [Accessed 22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</si>
</sst>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809]#,##0"/>
    <numFmt numFmtId="165" formatCode="&quot; &quot;* #,##0&quot; &quot;;&quot;-&quot;* #,##0&quot; &quot;;&quot; &quot;* &quot;-&quot;#&quot; &quot;;&quot; &quot;@&quot; &quot;"/>
    <numFmt numFmtId="166" formatCode="[$£]#,##0"/>
    <numFmt numFmtId="167" formatCode="0.0"/>
    <numFmt numFmtId="168" formatCode="[$£-809]#,##0.00"/>
    <numFmt numFmtId="169" formatCode="&quot; &quot;* #,##0.00&quot; &quot;;&quot;-&quot;* #,##0.00&quot; &quot;;&quot; &quot;* &quot;-&quot;#&quot; &quot;;&quot; &quot;@&quot; &quot;"/>
    <numFmt numFmtId="170" formatCode="&quot; &quot;#,##0.00&quot; &quot;;&quot;-&quot;#,##0.00&quot; &quot;;&quot; -&quot;00&quot; &quot;;&quot; &quot;@&quot; &quot;"/>
    <numFmt numFmtId="171" formatCode="&quot; &quot;[$£-809]#,##0.00&quot; &quot;;&quot;-&quot;[$£-809]#,##0.00&quot; &quot;;&quot; &quot;[$£-809]&quot;-&quot;#&quot; &quot;;&quot; &quot;@&quot; &quot;"/>
  </numFmts>
  <fonts count="28" x14ac:knownFonts="1">
    <font>
      <sz val="11"/>
      <color rgb="FF000000"/>
      <name val="Calibri"/>
      <family val="2"/>
    </font>
    <font>
      <sz val="11"/>
      <color rgb="FF000000"/>
      <name val="Calibri"/>
      <family val="2"/>
    </font>
    <font>
      <b/>
      <sz val="15"/>
      <color rgb="FF44546A"/>
      <name val="Calibri"/>
      <family val="2"/>
    </font>
    <font>
      <b/>
      <sz val="15"/>
      <color rgb="FF000000"/>
      <name val="Calibri"/>
      <family val="2"/>
    </font>
    <font>
      <b/>
      <sz val="13"/>
      <color rgb="FF000000"/>
      <name val="Calibri"/>
      <family val="2"/>
    </font>
    <font>
      <u/>
      <sz val="7"/>
      <color rgb="FF0000FF"/>
      <name val="Arial"/>
      <family val="2"/>
    </font>
    <font>
      <u/>
      <sz val="11"/>
      <color rgb="FF0563C1"/>
      <name val="Calibri"/>
      <family val="2"/>
    </font>
    <font>
      <u/>
      <sz val="11"/>
      <color rgb="FF0000FF"/>
      <name val="Arial"/>
      <family val="2"/>
    </font>
    <font>
      <u/>
      <sz val="10"/>
      <color rgb="FF0000FF"/>
      <name val="Arial"/>
      <family val="2"/>
    </font>
    <font>
      <u/>
      <sz val="11"/>
      <color rgb="FF0000FF"/>
      <name val="Calibri"/>
      <family val="2"/>
    </font>
    <font>
      <sz val="10"/>
      <color rgb="FF000000"/>
      <name val="Tms Rmn"/>
    </font>
    <font>
      <sz val="10"/>
      <color rgb="FF000000"/>
      <name val="Arial"/>
      <family val="2"/>
    </font>
    <font>
      <sz val="10"/>
      <color rgb="FF000000"/>
      <name val="MS Sans Serif"/>
    </font>
    <font>
      <sz val="11"/>
      <color rgb="FF323437"/>
      <name val="Calibri"/>
      <family val="2"/>
    </font>
    <font>
      <b/>
      <sz val="14"/>
      <color rgb="FF000000"/>
      <name val="Arial"/>
      <family val="2"/>
    </font>
    <font>
      <sz val="12"/>
      <color rgb="FF000000"/>
      <name val="Arial"/>
      <family val="2"/>
    </font>
    <font>
      <u/>
      <sz val="12"/>
      <color rgb="FF0563C1"/>
      <name val="Arial"/>
      <family val="2"/>
    </font>
    <font>
      <u/>
      <sz val="12"/>
      <color rgb="FF0000FF"/>
      <name val="Arial"/>
      <family val="2"/>
    </font>
    <font>
      <b/>
      <sz val="15"/>
      <color rgb="FF000000"/>
      <name val="Arial"/>
      <family val="2"/>
    </font>
    <font>
      <sz val="11"/>
      <color rgb="FF000000"/>
      <name val="Arial"/>
      <family val="2"/>
    </font>
    <font>
      <b/>
      <sz val="12"/>
      <color rgb="FF000000"/>
      <name val="Arial"/>
      <family val="2"/>
    </font>
    <font>
      <b/>
      <sz val="11"/>
      <color rgb="FF000000"/>
      <name val="Arial"/>
      <family val="2"/>
    </font>
    <font>
      <sz val="10"/>
      <color rgb="FF000000"/>
      <name val="Calibri"/>
      <family val="2"/>
    </font>
    <font>
      <b/>
      <sz val="10"/>
      <color rgb="FF000000"/>
      <name val="Arial"/>
      <family val="2"/>
    </font>
    <font>
      <sz val="11"/>
      <color rgb="FFFF0000"/>
      <name val="Calibri"/>
      <family val="2"/>
    </font>
    <font>
      <b/>
      <sz val="11"/>
      <color rgb="FF000000"/>
      <name val="Calibri"/>
      <family val="2"/>
    </font>
    <font>
      <b/>
      <sz val="10"/>
      <color rgb="FF000000"/>
      <name val="Calibri"/>
      <family val="2"/>
    </font>
    <font>
      <b/>
      <u/>
      <sz val="11"/>
      <color rgb="FF008080"/>
      <name val="Arial"/>
      <family val="2"/>
    </font>
  </fonts>
  <fills count="3">
    <fill>
      <patternFill patternType="none"/>
    </fill>
    <fill>
      <patternFill patternType="gray125"/>
    </fill>
    <fill>
      <patternFill patternType="solid">
        <fgColor rgb="FFFF0000"/>
        <bgColor rgb="FFFF0000"/>
      </patternFill>
    </fill>
  </fills>
  <borders count="11">
    <border>
      <left/>
      <right/>
      <top/>
      <bottom/>
      <diagonal/>
    </border>
    <border>
      <left/>
      <right/>
      <top/>
      <bottom style="thick">
        <color rgb="FF4472C4"/>
      </bottom>
      <diagonal/>
    </border>
    <border>
      <left/>
      <right/>
      <top/>
      <bottom style="thin">
        <color rgb="FF000000"/>
      </bottom>
      <diagonal/>
    </border>
    <border>
      <left/>
      <right/>
      <top style="thin">
        <color rgb="FF000000"/>
      </top>
      <bottom/>
      <diagonal/>
    </border>
    <border>
      <left/>
      <right/>
      <top/>
      <bottom style="medium">
        <color rgb="FF000000"/>
      </bottom>
      <diagonal/>
    </border>
    <border>
      <left style="thin">
        <color rgb="FFFFFFFF"/>
      </left>
      <right/>
      <top/>
      <bottom style="thin">
        <color rgb="FF000000"/>
      </bottom>
      <diagonal/>
    </border>
    <border>
      <left style="thin">
        <color rgb="FFFFFFFF"/>
      </left>
      <right/>
      <top/>
      <bottom/>
      <diagonal/>
    </border>
    <border>
      <left/>
      <right style="thin">
        <color rgb="FFFFFFFF"/>
      </right>
      <top style="thin">
        <color rgb="FFFFFFFF"/>
      </top>
      <bottom style="thin">
        <color rgb="FFFFFFFF"/>
      </bottom>
      <diagonal/>
    </border>
    <border>
      <left/>
      <right/>
      <top style="thin">
        <color rgb="FF000000"/>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s>
  <cellStyleXfs count="50">
    <xf numFmtId="0" fontId="0" fillId="0" borderId="0"/>
    <xf numFmtId="169"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1" fillId="2" borderId="0" applyNumberFormat="0" applyFont="0" applyBorder="0" applyAlignment="0" applyProtection="0"/>
    <xf numFmtId="170"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0"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2"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3" fillId="0" borderId="0" applyNumberFormat="0" applyBorder="0" applyProtection="0"/>
    <xf numFmtId="0" fontId="11" fillId="0" borderId="0" applyNumberFormat="0" applyFill="0" applyBorder="0" applyAlignment="0" applyProtection="0"/>
    <xf numFmtId="0" fontId="11" fillId="0" borderId="0" applyNumberFormat="0" applyBorder="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0" fillId="0" borderId="0" applyNumberFormat="0" applyBorder="0" applyProtection="0"/>
    <xf numFmtId="0" fontId="10" fillId="0" borderId="0" applyNumberFormat="0" applyBorder="0" applyProtection="0"/>
    <xf numFmtId="0" fontId="11"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0" fontId="14" fillId="0" borderId="0" xfId="42" applyFont="1"/>
    <xf numFmtId="0" fontId="15" fillId="0" borderId="0" xfId="0" applyFont="1" applyAlignment="1">
      <alignment horizontal="left" vertical="top" wrapText="1" readingOrder="1"/>
    </xf>
    <xf numFmtId="0" fontId="14" fillId="0" borderId="0" xfId="11" applyFont="1" applyFill="1" applyAlignment="1">
      <alignment wrapText="1"/>
    </xf>
    <xf numFmtId="0" fontId="15" fillId="0" borderId="0" xfId="46" applyFont="1" applyFill="1" applyAlignment="1">
      <alignment vertical="top" wrapText="1"/>
    </xf>
    <xf numFmtId="0" fontId="15" fillId="0" borderId="0" xfId="23" applyFont="1" applyAlignment="1">
      <alignment horizontal="left" vertical="top" wrapText="1"/>
    </xf>
    <xf numFmtId="0" fontId="14" fillId="0" borderId="0" xfId="30" applyFont="1"/>
    <xf numFmtId="0" fontId="15" fillId="0" borderId="0" xfId="44" applyFont="1" applyAlignment="1">
      <alignment horizontal="left" vertical="top" wrapText="1"/>
    </xf>
    <xf numFmtId="0" fontId="14" fillId="0" borderId="0" xfId="45" applyFont="1" applyAlignment="1">
      <alignment horizontal="left"/>
    </xf>
    <xf numFmtId="0" fontId="16" fillId="0" borderId="0" xfId="13" applyFont="1" applyFill="1" applyAlignment="1">
      <alignment horizontal="left"/>
    </xf>
    <xf numFmtId="0" fontId="17" fillId="0" borderId="0" xfId="12" applyFont="1" applyFill="1"/>
    <xf numFmtId="0" fontId="16" fillId="0" borderId="0" xfId="13" applyFont="1" applyFill="1"/>
    <xf numFmtId="0" fontId="18" fillId="0" borderId="0" xfId="10" applyFont="1"/>
    <xf numFmtId="0" fontId="19" fillId="0" borderId="0" xfId="30" applyFont="1"/>
    <xf numFmtId="0" fontId="19" fillId="0" borderId="0" xfId="0" applyFont="1"/>
    <xf numFmtId="0" fontId="15" fillId="0" borderId="0" xfId="30" applyFont="1"/>
    <xf numFmtId="0" fontId="20" fillId="0" borderId="0" xfId="23" applyFont="1" applyAlignment="1">
      <alignment horizontal="left" vertical="top" wrapText="1"/>
    </xf>
    <xf numFmtId="0" fontId="19" fillId="0" borderId="0" xfId="30" applyFont="1" applyAlignment="1">
      <alignment horizontal="center" vertical="top"/>
    </xf>
    <xf numFmtId="0" fontId="19" fillId="0" borderId="0" xfId="30" applyFont="1" applyAlignment="1">
      <alignment vertical="top" wrapText="1"/>
    </xf>
    <xf numFmtId="49" fontId="19" fillId="0" borderId="0" xfId="30" applyNumberFormat="1" applyFont="1" applyAlignment="1">
      <alignment horizontal="left" vertical="top"/>
    </xf>
    <xf numFmtId="0" fontId="19" fillId="0" borderId="0" xfId="44" applyFont="1" applyAlignment="1">
      <alignment horizontal="left" vertical="top" wrapText="1"/>
    </xf>
    <xf numFmtId="167" fontId="19" fillId="0" borderId="0" xfId="30" applyNumberFormat="1" applyFont="1" applyAlignment="1">
      <alignment horizontal="left" vertical="top" wrapText="1"/>
    </xf>
    <xf numFmtId="167" fontId="19" fillId="0" borderId="0" xfId="30" applyNumberFormat="1" applyFont="1" applyAlignment="1">
      <alignment vertical="top" wrapText="1"/>
    </xf>
    <xf numFmtId="0" fontId="20" fillId="0" borderId="0" xfId="30" applyFont="1"/>
    <xf numFmtId="0" fontId="20" fillId="0" borderId="0" xfId="30" applyFont="1" applyAlignment="1">
      <alignment wrapText="1"/>
    </xf>
    <xf numFmtId="0" fontId="20" fillId="0" borderId="0" xfId="30" applyFont="1" applyAlignment="1">
      <alignment horizontal="left" vertical="top" wrapText="1"/>
    </xf>
    <xf numFmtId="0" fontId="15" fillId="0" borderId="0" xfId="30" applyFont="1" applyAlignment="1">
      <alignment horizontal="left" vertical="top" wrapText="1"/>
    </xf>
    <xf numFmtId="0" fontId="15" fillId="0" borderId="0" xfId="0" applyFont="1" applyAlignment="1">
      <alignment wrapText="1"/>
    </xf>
    <xf numFmtId="0" fontId="18" fillId="0" borderId="0" xfId="3" applyFont="1" applyFill="1" applyBorder="1" applyAlignment="1" applyProtection="1">
      <alignment horizontal="left"/>
      <protection locked="0"/>
    </xf>
    <xf numFmtId="0" fontId="21" fillId="0" borderId="0" xfId="22" applyFont="1" applyAlignment="1">
      <alignment horizontal="right"/>
    </xf>
    <xf numFmtId="0" fontId="15" fillId="0" borderId="0" xfId="38" applyFont="1"/>
    <xf numFmtId="0" fontId="22" fillId="0" borderId="0" xfId="0" applyFont="1"/>
    <xf numFmtId="164" fontId="22" fillId="0" borderId="0" xfId="0" applyNumberFormat="1" applyFont="1"/>
    <xf numFmtId="0" fontId="23" fillId="0" borderId="2" xfId="26" applyFont="1" applyBorder="1" applyAlignment="1">
      <alignment horizontal="left" wrapText="1"/>
    </xf>
    <xf numFmtId="0" fontId="23" fillId="0" borderId="2" xfId="26" applyFont="1" applyBorder="1" applyAlignment="1">
      <alignment horizontal="right" wrapText="1"/>
    </xf>
    <xf numFmtId="17" fontId="11" fillId="0" borderId="0" xfId="0" applyNumberFormat="1" applyFont="1"/>
    <xf numFmtId="0" fontId="11" fillId="0" borderId="0" xfId="0" applyFont="1"/>
    <xf numFmtId="164" fontId="11" fillId="0" borderId="0" xfId="0" applyNumberFormat="1" applyFont="1"/>
    <xf numFmtId="165" fontId="11" fillId="0" borderId="0" xfId="1" applyNumberFormat="1" applyFont="1"/>
    <xf numFmtId="17" fontId="11" fillId="0" borderId="3" xfId="0" applyNumberFormat="1" applyFont="1" applyBorder="1"/>
    <xf numFmtId="165" fontId="11" fillId="0" borderId="3" xfId="1" applyNumberFormat="1" applyFont="1" applyBorder="1"/>
    <xf numFmtId="166" fontId="11" fillId="0" borderId="3" xfId="1" applyNumberFormat="1" applyFont="1" applyBorder="1"/>
    <xf numFmtId="164" fontId="11" fillId="0" borderId="3" xfId="0" applyNumberFormat="1" applyFont="1" applyBorder="1"/>
    <xf numFmtId="0" fontId="23" fillId="0" borderId="2" xfId="24" applyFont="1" applyBorder="1" applyAlignment="1">
      <alignment horizontal="left" wrapText="1"/>
    </xf>
    <xf numFmtId="0" fontId="23" fillId="0" borderId="2" xfId="24" applyFont="1" applyBorder="1" applyAlignment="1">
      <alignment horizontal="right" wrapText="1"/>
    </xf>
    <xf numFmtId="17" fontId="11" fillId="0" borderId="0" xfId="0" applyNumberFormat="1" applyFont="1" applyAlignment="1">
      <alignment horizontal="left"/>
    </xf>
    <xf numFmtId="164" fontId="11" fillId="0" borderId="0" xfId="24" applyNumberFormat="1" applyAlignment="1">
      <alignment horizontal="right" wrapText="1"/>
    </xf>
    <xf numFmtId="0" fontId="11" fillId="0" borderId="0" xfId="0" applyFont="1" applyAlignment="1">
      <alignment horizontal="left"/>
    </xf>
    <xf numFmtId="0" fontId="23" fillId="0" borderId="3" xfId="24" applyFont="1" applyBorder="1" applyAlignment="1">
      <alignment horizontal="left" wrapText="1"/>
    </xf>
    <xf numFmtId="3" fontId="23" fillId="0" borderId="3" xfId="24" applyNumberFormat="1" applyFont="1" applyBorder="1" applyAlignment="1">
      <alignment wrapText="1"/>
    </xf>
    <xf numFmtId="164" fontId="23" fillId="0" borderId="3" xfId="24" applyNumberFormat="1" applyFont="1" applyBorder="1" applyAlignment="1">
      <alignment wrapText="1"/>
    </xf>
    <xf numFmtId="0" fontId="0" fillId="0" borderId="0" xfId="0" applyAlignment="1">
      <alignment horizontal="left"/>
    </xf>
    <xf numFmtId="0" fontId="23" fillId="0" borderId="4" xfId="24" applyFont="1" applyBorder="1" applyAlignment="1">
      <alignment wrapText="1"/>
    </xf>
    <xf numFmtId="0" fontId="23" fillId="0" borderId="4" xfId="24" applyFont="1" applyBorder="1" applyAlignment="1">
      <alignment horizontal="right"/>
    </xf>
    <xf numFmtId="0" fontId="23" fillId="0" borderId="0" xfId="31" applyFont="1" applyFill="1" applyAlignment="1">
      <alignment horizontal="left"/>
    </xf>
    <xf numFmtId="3" fontId="23" fillId="0" borderId="0" xfId="31" applyNumberFormat="1" applyFont="1" applyFill="1" applyAlignment="1">
      <alignment horizontal="right"/>
    </xf>
    <xf numFmtId="0" fontId="23" fillId="0" borderId="0" xfId="31" applyFont="1" applyFill="1"/>
    <xf numFmtId="0" fontId="23" fillId="0" borderId="2" xfId="31" applyFont="1" applyFill="1" applyBorder="1" applyAlignment="1">
      <alignment horizontal="left"/>
    </xf>
    <xf numFmtId="0" fontId="23" fillId="0" borderId="2" xfId="31" applyFont="1" applyFill="1" applyBorder="1"/>
    <xf numFmtId="3" fontId="23" fillId="0" borderId="2" xfId="31" applyNumberFormat="1" applyFont="1" applyFill="1" applyBorder="1" applyAlignment="1">
      <alignment horizontal="right"/>
    </xf>
    <xf numFmtId="0" fontId="11" fillId="0" borderId="0" xfId="31" applyFill="1" applyAlignment="1">
      <alignment horizontal="left"/>
    </xf>
    <xf numFmtId="0" fontId="11" fillId="0" borderId="0" xfId="31" applyFill="1" applyAlignment="1">
      <alignment horizontal="left" indent="1"/>
    </xf>
    <xf numFmtId="3" fontId="11" fillId="0" borderId="0" xfId="31" applyNumberFormat="1" applyFill="1" applyAlignment="1">
      <alignment horizontal="right"/>
    </xf>
    <xf numFmtId="0" fontId="11" fillId="0" borderId="2" xfId="0" applyFont="1" applyBorder="1"/>
    <xf numFmtId="0" fontId="11" fillId="0" borderId="2" xfId="31" applyFill="1" applyBorder="1" applyAlignment="1">
      <alignment horizontal="left" indent="1"/>
    </xf>
    <xf numFmtId="3" fontId="11" fillId="0" borderId="2" xfId="31" applyNumberFormat="1" applyFill="1" applyBorder="1" applyAlignment="1">
      <alignment horizontal="right"/>
    </xf>
    <xf numFmtId="3" fontId="23" fillId="0" borderId="0" xfId="31" applyNumberFormat="1" applyFont="1" applyFill="1"/>
    <xf numFmtId="3" fontId="11" fillId="0" borderId="2" xfId="0" applyNumberFormat="1" applyFont="1" applyBorder="1"/>
    <xf numFmtId="3" fontId="11" fillId="0" borderId="0" xfId="0" applyNumberFormat="1" applyFont="1"/>
    <xf numFmtId="3" fontId="23" fillId="0" borderId="0" xfId="31" applyNumberFormat="1" applyFont="1" applyFill="1" applyAlignment="1">
      <alignment horizontal="right" wrapText="1"/>
    </xf>
    <xf numFmtId="3" fontId="11" fillId="0" borderId="5" xfId="0" applyNumberFormat="1" applyFont="1" applyBorder="1"/>
    <xf numFmtId="3" fontId="23" fillId="0" borderId="0" xfId="0" applyNumberFormat="1" applyFont="1"/>
    <xf numFmtId="3" fontId="11" fillId="0" borderId="6" xfId="0" applyNumberFormat="1" applyFont="1" applyBorder="1"/>
    <xf numFmtId="164" fontId="23" fillId="0" borderId="0" xfId="31" applyNumberFormat="1" applyFont="1" applyFill="1" applyAlignment="1">
      <alignment horizontal="right"/>
    </xf>
    <xf numFmtId="3" fontId="0" fillId="0" borderId="0" xfId="0" applyNumberFormat="1"/>
    <xf numFmtId="164" fontId="23" fillId="0" borderId="2" xfId="31" applyNumberFormat="1" applyFont="1" applyFill="1" applyBorder="1" applyAlignment="1">
      <alignment horizontal="right"/>
    </xf>
    <xf numFmtId="164" fontId="11" fillId="0" borderId="0" xfId="31" applyNumberFormat="1" applyFill="1" applyAlignment="1">
      <alignment horizontal="right"/>
    </xf>
    <xf numFmtId="164" fontId="11" fillId="0" borderId="2" xfId="31" applyNumberFormat="1" applyFill="1" applyBorder="1" applyAlignment="1">
      <alignment horizontal="right"/>
    </xf>
    <xf numFmtId="164" fontId="11" fillId="0" borderId="2" xfId="0" applyNumberFormat="1" applyFont="1" applyBorder="1"/>
    <xf numFmtId="164" fontId="23" fillId="0" borderId="0" xfId="31" applyNumberFormat="1" applyFont="1" applyFill="1" applyAlignment="1">
      <alignment horizontal="right" wrapText="1"/>
    </xf>
    <xf numFmtId="164" fontId="11" fillId="0" borderId="5" xfId="0" applyNumberFormat="1" applyFont="1" applyBorder="1"/>
    <xf numFmtId="164" fontId="23" fillId="0" borderId="0" xfId="0" applyNumberFormat="1" applyFont="1"/>
    <xf numFmtId="164" fontId="11" fillId="0" borderId="6" xfId="0" applyNumberFormat="1" applyFont="1" applyBorder="1"/>
    <xf numFmtId="0" fontId="0" fillId="0" borderId="0" xfId="41" applyFont="1"/>
    <xf numFmtId="164" fontId="0" fillId="0" borderId="0" xfId="41" applyNumberFormat="1" applyFont="1"/>
    <xf numFmtId="0" fontId="23" fillId="0" borderId="0" xfId="41" applyFont="1"/>
    <xf numFmtId="1" fontId="23" fillId="0" borderId="0" xfId="41" applyNumberFormat="1" applyFont="1" applyAlignment="1">
      <alignment horizontal="right"/>
    </xf>
    <xf numFmtId="0" fontId="23" fillId="0" borderId="4" xfId="24" applyFont="1" applyBorder="1" applyAlignment="1">
      <alignment horizontal="right" wrapText="1"/>
    </xf>
    <xf numFmtId="0" fontId="11" fillId="0" borderId="0" xfId="41" applyFont="1" applyAlignment="1">
      <alignment horizontal="left" indent="5"/>
    </xf>
    <xf numFmtId="1" fontId="11" fillId="0" borderId="0" xfId="41" applyNumberFormat="1" applyFont="1"/>
    <xf numFmtId="3" fontId="23" fillId="0" borderId="0" xfId="41" applyNumberFormat="1" applyFont="1"/>
    <xf numFmtId="3" fontId="0" fillId="0" borderId="0" xfId="41" applyNumberFormat="1" applyFont="1"/>
    <xf numFmtId="3" fontId="11" fillId="0" borderId="0" xfId="41" applyNumberFormat="1" applyFont="1"/>
    <xf numFmtId="0" fontId="24" fillId="0" borderId="0" xfId="41" applyFont="1"/>
    <xf numFmtId="3" fontId="11" fillId="0" borderId="0" xfId="41" applyNumberFormat="1" applyFont="1" applyAlignment="1">
      <alignment horizontal="right"/>
    </xf>
    <xf numFmtId="0" fontId="25" fillId="0" borderId="0" xfId="41" applyFont="1"/>
    <xf numFmtId="0" fontId="23" fillId="0" borderId="3" xfId="41" applyFont="1" applyBorder="1"/>
    <xf numFmtId="3" fontId="23" fillId="0" borderId="3" xfId="41" applyNumberFormat="1" applyFont="1" applyBorder="1"/>
    <xf numFmtId="164" fontId="23" fillId="0" borderId="0" xfId="41" applyNumberFormat="1" applyFont="1"/>
    <xf numFmtId="164" fontId="11" fillId="0" borderId="0" xfId="41" applyNumberFormat="1" applyFont="1"/>
    <xf numFmtId="0" fontId="25" fillId="0" borderId="0" xfId="0" applyFont="1"/>
    <xf numFmtId="164" fontId="11" fillId="0" borderId="0" xfId="41" applyNumberFormat="1" applyFont="1" applyAlignment="1">
      <alignment horizontal="right"/>
    </xf>
    <xf numFmtId="168" fontId="0" fillId="0" borderId="0" xfId="41" applyNumberFormat="1" applyFont="1"/>
    <xf numFmtId="2" fontId="0" fillId="0" borderId="0" xfId="41" applyNumberFormat="1" applyFont="1"/>
    <xf numFmtId="2" fontId="25" fillId="0" borderId="0" xfId="41" applyNumberFormat="1" applyFont="1"/>
    <xf numFmtId="164" fontId="25" fillId="0" borderId="0" xfId="41" applyNumberFormat="1" applyFont="1"/>
    <xf numFmtId="0" fontId="11" fillId="0" borderId="0" xfId="41" applyFont="1"/>
    <xf numFmtId="0" fontId="23" fillId="0" borderId="4" xfId="24" applyFont="1" applyBorder="1" applyAlignment="1">
      <alignment horizontal="left" wrapText="1"/>
    </xf>
    <xf numFmtId="0" fontId="23" fillId="0" borderId="0" xfId="24" applyFont="1" applyAlignment="1">
      <alignment horizontal="right" wrapText="1"/>
    </xf>
    <xf numFmtId="0" fontId="11" fillId="0" borderId="0" xfId="0" applyFont="1" applyAlignment="1">
      <alignment horizontal="left" indent="5"/>
    </xf>
    <xf numFmtId="0" fontId="26" fillId="0" borderId="0" xfId="41" applyFont="1"/>
    <xf numFmtId="0" fontId="11" fillId="0" borderId="0" xfId="42" applyFont="1"/>
    <xf numFmtId="0" fontId="23" fillId="0" borderId="0" xfId="33" applyFont="1" applyFill="1"/>
    <xf numFmtId="164" fontId="0" fillId="0" borderId="0" xfId="0" applyNumberFormat="1"/>
    <xf numFmtId="164" fontId="23" fillId="0" borderId="3" xfId="41" applyNumberFormat="1" applyFont="1" applyBorder="1"/>
    <xf numFmtId="0" fontId="23" fillId="0" borderId="0" xfId="26" applyFont="1" applyAlignment="1">
      <alignment horizontal="right" wrapText="1"/>
    </xf>
    <xf numFmtId="0" fontId="23" fillId="0" borderId="0" xfId="42" applyFont="1"/>
    <xf numFmtId="3" fontId="22" fillId="0" borderId="0" xfId="0" applyNumberFormat="1" applyFont="1"/>
    <xf numFmtId="0" fontId="11" fillId="0" borderId="0" xfId="0" applyFont="1" applyAlignment="1">
      <alignment horizontal="right"/>
    </xf>
    <xf numFmtId="0" fontId="11" fillId="0" borderId="2" xfId="31" applyFill="1" applyBorder="1" applyAlignment="1">
      <alignment horizontal="left"/>
    </xf>
    <xf numFmtId="0" fontId="23" fillId="0" borderId="0" xfId="31" applyFont="1" applyFill="1" applyAlignment="1"/>
    <xf numFmtId="0" fontId="23" fillId="0" borderId="0" xfId="31" applyFont="1" applyFill="1" applyAlignment="1">
      <alignment wrapText="1"/>
    </xf>
    <xf numFmtId="0" fontId="23" fillId="0" borderId="3" xfId="0" applyFont="1" applyBorder="1"/>
    <xf numFmtId="0" fontId="23" fillId="0" borderId="3" xfId="31" applyFont="1" applyFill="1" applyBorder="1"/>
    <xf numFmtId="3" fontId="23" fillId="0" borderId="3" xfId="0" applyNumberFormat="1" applyFont="1" applyBorder="1" applyAlignment="1">
      <alignment horizontal="right"/>
    </xf>
    <xf numFmtId="3" fontId="23" fillId="0" borderId="3" xfId="0" applyNumberFormat="1" applyFont="1" applyBorder="1"/>
    <xf numFmtId="0" fontId="11" fillId="0" borderId="7" xfId="41" applyFont="1" applyBorder="1" applyAlignment="1">
      <alignment horizontal="left"/>
    </xf>
    <xf numFmtId="0" fontId="27" fillId="0" borderId="0" xfId="12" applyFont="1" applyFill="1" applyAlignment="1">
      <alignment horizontal="right"/>
    </xf>
    <xf numFmtId="0" fontId="23" fillId="0" borderId="4" xfId="24" applyFont="1" applyBorder="1"/>
    <xf numFmtId="0" fontId="11" fillId="0" borderId="0" xfId="24"/>
    <xf numFmtId="1" fontId="11" fillId="0" borderId="0" xfId="0" applyNumberFormat="1" applyFont="1" applyAlignment="1">
      <alignment horizontal="right"/>
    </xf>
    <xf numFmtId="0" fontId="11" fillId="0" borderId="0" xfId="24" applyAlignment="1">
      <alignment horizontal="left"/>
    </xf>
    <xf numFmtId="0" fontId="11" fillId="0" borderId="0" xfId="0" applyFont="1" applyAlignment="1">
      <alignment horizontal="left" vertical="center"/>
    </xf>
    <xf numFmtId="0" fontId="19" fillId="0" borderId="0" xfId="0" applyFont="1" applyAlignment="1">
      <alignment horizontal="left" vertical="center"/>
    </xf>
    <xf numFmtId="49" fontId="11" fillId="0" borderId="0" xfId="0" applyNumberFormat="1" applyFont="1"/>
    <xf numFmtId="0" fontId="0" fillId="0" borderId="0" xfId="0" applyAlignment="1">
      <alignment horizontal="right"/>
    </xf>
    <xf numFmtId="0" fontId="23" fillId="0" borderId="3" xfId="31" applyFont="1" applyFill="1" applyBorder="1" applyAlignment="1">
      <alignment horizontal="left"/>
    </xf>
    <xf numFmtId="3" fontId="23" fillId="0" borderId="3" xfId="31" applyNumberFormat="1" applyFont="1" applyFill="1" applyBorder="1"/>
    <xf numFmtId="0" fontId="23" fillId="0" borderId="8" xfId="31" applyFont="1" applyFill="1" applyBorder="1" applyAlignment="1">
      <alignment horizontal="left"/>
    </xf>
    <xf numFmtId="0" fontId="23" fillId="0" borderId="8" xfId="31" applyFont="1" applyFill="1" applyBorder="1"/>
    <xf numFmtId="0" fontId="11" fillId="0" borderId="9" xfId="31" applyFill="1" applyBorder="1" applyAlignment="1">
      <alignment horizontal="left"/>
    </xf>
    <xf numFmtId="0" fontId="11" fillId="0" borderId="10" xfId="31" applyFill="1" applyBorder="1" applyAlignment="1">
      <alignment horizontal="left" indent="1"/>
    </xf>
    <xf numFmtId="164" fontId="23" fillId="0" borderId="3" xfId="0" applyNumberFormat="1" applyFont="1" applyBorder="1" applyAlignment="1">
      <alignment horizontal="right"/>
    </xf>
    <xf numFmtId="164" fontId="23" fillId="0" borderId="3" xfId="0" applyNumberFormat="1" applyFont="1" applyBorder="1"/>
    <xf numFmtId="0" fontId="23" fillId="0" borderId="0" xfId="31" applyFont="1" applyFill="1" applyAlignment="1">
      <alignment horizontal="left" indent="1"/>
    </xf>
    <xf numFmtId="3" fontId="11" fillId="0" borderId="3" xfId="0" applyNumberFormat="1" applyFont="1" applyBorder="1" applyAlignment="1">
      <alignment horizontal="right"/>
    </xf>
    <xf numFmtId="3" fontId="11" fillId="0" borderId="3" xfId="0" applyNumberFormat="1" applyFont="1" applyBorder="1"/>
    <xf numFmtId="0" fontId="24" fillId="0" borderId="0" xfId="0" applyFont="1" applyAlignment="1">
      <alignment wrapText="1"/>
    </xf>
  </cellXfs>
  <cellStyles count="50">
    <cellStyle name="cf1" xfId="4" xr:uid="{294E16E4-56CA-4518-8598-A2262845ACDF}"/>
    <cellStyle name="Comma" xfId="1" builtinId="3" customBuiltin="1"/>
    <cellStyle name="Comma 2" xfId="5" xr:uid="{44B8E839-AE48-4702-818A-56789FEB0A62}"/>
    <cellStyle name="Comma 3" xfId="6" xr:uid="{4A7477DF-9E8D-47F2-B0AA-1262FDD50CEC}"/>
    <cellStyle name="Currency 2" xfId="7" xr:uid="{A5E92D45-0F61-437F-A062-782E3FC347A4}"/>
    <cellStyle name="Currency 2 2" xfId="8" xr:uid="{CFA9F0D1-7A6B-479A-830F-310BF6286CA5}"/>
    <cellStyle name="Currency 3" xfId="9" xr:uid="{5EFC02EA-B423-49EF-BE08-D2CE3CA5FA2F}"/>
    <cellStyle name="Heading 1" xfId="3" builtinId="16" customBuiltin="1"/>
    <cellStyle name="Heading 1 2" xfId="10" xr:uid="{B641894F-8B4A-4E0D-BE86-2AED340AACA2}"/>
    <cellStyle name="Heading 2 2" xfId="11" xr:uid="{A5D4BDD4-9D87-47CE-9765-356F3959E1CF}"/>
    <cellStyle name="Hyperlink" xfId="12" xr:uid="{DFE33BAF-A371-4E8A-BF70-0AB120AD59B6}"/>
    <cellStyle name="Hyperlink 2" xfId="13" xr:uid="{85D4A97D-07D5-4248-BA87-36945105B91C}"/>
    <cellStyle name="Hyperlink 2 2" xfId="14" xr:uid="{85EB05C5-0328-4D09-91AA-0B229C4603FC}"/>
    <cellStyle name="Hyperlink 2 2 2" xfId="15" xr:uid="{86A76048-F140-4FED-B8D5-FC2024D513E3}"/>
    <cellStyle name="Hyperlink 2 3" xfId="16" xr:uid="{D62DD8E2-FAED-4001-BC77-000459EF6343}"/>
    <cellStyle name="Hyperlink 3" xfId="17" xr:uid="{E5E79B83-7697-4654-A250-CB82CE1B105E}"/>
    <cellStyle name="Hyperlink 4" xfId="18" xr:uid="{DF4541D9-7C74-4A08-B8F2-B9BAA41967DA}"/>
    <cellStyle name="Hyperlink 5" xfId="19" xr:uid="{9A6B22D2-E2E2-46D8-A1D7-36BDC2A2F42D}"/>
    <cellStyle name="Hyperlink 6" xfId="20" xr:uid="{855B6A16-9022-4FBD-A056-1F2F38AC1337}"/>
    <cellStyle name="Hyperlink 7" xfId="21" xr:uid="{29D3ABA4-4691-40A5-8B79-5693C909BC83}"/>
    <cellStyle name="Normal" xfId="0" builtinId="0" customBuiltin="1"/>
    <cellStyle name="Normal 12" xfId="23" xr:uid="{6D51C142-8A33-4A63-A0D8-F92B042E6F6F}"/>
    <cellStyle name="Normal 2" xfId="24" xr:uid="{E6F44107-4E05-4256-A263-A21DD937AA37}"/>
    <cellStyle name="Normal 2 2" xfId="25" xr:uid="{E72647B0-F4CF-482B-9DFB-EF8F4B935276}"/>
    <cellStyle name="Normal 2 2 2" xfId="26" xr:uid="{0CF5CEA2-86D0-4294-8D6B-E167D3ED2437}"/>
    <cellStyle name="Normal 2 3" xfId="27" xr:uid="{08D46238-CE93-42A3-A11A-E266410A212D}"/>
    <cellStyle name="Normal 2 3 2" xfId="28" xr:uid="{7D88059F-68BA-4894-B1A7-D6B1F139D7B4}"/>
    <cellStyle name="Normal 2 3 3" xfId="29" xr:uid="{FCABCC2D-ADCE-44B2-BF84-F0A613135124}"/>
    <cellStyle name="Normal 2 4" xfId="30" xr:uid="{E3F3726D-30B9-429B-A1F1-1AD66B3608A1}"/>
    <cellStyle name="Normal 3" xfId="31" xr:uid="{3523CC14-384A-4A64-9A1D-31ADAB5C9393}"/>
    <cellStyle name="Normal 3 2" xfId="32" xr:uid="{654FB6C7-CF8A-4576-81AD-280AB39381A1}"/>
    <cellStyle name="Normal 3 2 2" xfId="33" xr:uid="{9A9F3A93-65C8-4543-A455-3C30054435A7}"/>
    <cellStyle name="Normal 3 2 3" xfId="34" xr:uid="{6568C515-E8FA-4365-94AC-24E252F7E2CB}"/>
    <cellStyle name="Normal 3 3" xfId="35" xr:uid="{A276712E-5755-436A-92D9-EA1DB9FE8ADA}"/>
    <cellStyle name="Normal 3 4" xfId="36" xr:uid="{E6E32CDB-0548-46B8-B4A7-B4AA16085808}"/>
    <cellStyle name="Normal 4" xfId="37" xr:uid="{5A47EB8A-AE48-4DD7-AEA0-3B952799D189}"/>
    <cellStyle name="Normal 4 2" xfId="38" xr:uid="{97FFA4F6-0AB5-4838-8263-76498815759B}"/>
    <cellStyle name="Normal 4 3" xfId="39" xr:uid="{54207177-9530-4BB7-AD9D-6034D9CE9714}"/>
    <cellStyle name="Normal 5" xfId="40" xr:uid="{1BA4E4C8-BF23-4679-AC6C-A2417243102D}"/>
    <cellStyle name="Normal 6" xfId="41" xr:uid="{21732793-552F-4F96-83BD-4FDD59B7DEA3}"/>
    <cellStyle name="Normal 6 2" xfId="42" xr:uid="{E4B2A112-FA83-4728-8298-1C5EA26740EB}"/>
    <cellStyle name="Normal 6 3" xfId="43" xr:uid="{1EBC5E10-F5B9-4B0F-B2FB-E53DAD1E5B9A}"/>
    <cellStyle name="Normal_11908a_new updated" xfId="22" xr:uid="{060C36C0-1C4B-46A1-8D2D-FC04846E2791}"/>
    <cellStyle name="Normal_PUBLISH" xfId="44" xr:uid="{9E2D23EC-70C1-4576-8B10-9036EB15951F}"/>
    <cellStyle name="Normal_TSGB 3.1" xfId="45" xr:uid="{124D1551-61B9-40A2-AD0C-27E304C1B77C}"/>
    <cellStyle name="Paragraph Han" xfId="46" xr:uid="{CE552AFA-E358-4C94-9109-ACF5E46ECB85}"/>
    <cellStyle name="Percent" xfId="2" builtinId="5" customBuiltin="1"/>
    <cellStyle name="Percent 2" xfId="47" xr:uid="{39021E77-9222-41A3-94F1-8642AC38B9D6}"/>
    <cellStyle name="Percent 3" xfId="48" xr:uid="{F33819C4-A3ED-4FEE-AAB8-19D44E37B114}"/>
    <cellStyle name="Percent 4" xfId="49" xr:uid="{C13294F0-0866-4137-B656-FC4063705C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38AA75-C24E-4098-9E06-97E1658CD77F}" name="Table_of_contents" displayName="Table_of_contents" ref="A3:E16" totalsRowShown="0">
  <tableColumns count="5">
    <tableColumn id="1" xr3:uid="{4098F34A-E4D0-4213-8652-539F65CFAC02}" name="Worksheet number"/>
    <tableColumn id="2" xr3:uid="{F71804D0-560C-4389-A048-B0282DDEC101}" name="Worksheet title"/>
    <tableColumn id="3" xr3:uid="{C58D4D25-81A3-4443-9423-BB7D5BD311AB}" name="Date this data was first published "/>
    <tableColumn id="4" xr3:uid="{B03839C2-7923-471D-92CD-33DEBFCE2827}" name="Next publication date"/>
    <tableColumn id="5" xr3:uid="{BC23C162-9703-41E7-A9E8-3821551A57D0}" name="Source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49587A-47B9-460D-B419-8DBAC333BB55}" name="Notes_table" displayName="Notes_table" ref="A3:B16" totalsRowShown="0">
  <tableColumns count="2">
    <tableColumn id="1" xr3:uid="{3C6FAD59-38D5-4CDB-B8E1-0E42D13AB83B}" name="Note number "/>
    <tableColumn id="2" xr3:uid="{0F94E26E-11D3-4E57-9871-223DEE5C1C73}"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14EC53-CD46-4498-9898-E17F9A4F9E0D}" name="EVCG_Table_1" displayName="EVCG_Table_1" ref="A3:I14" totalsRowShown="0">
  <tableColumns count="9">
    <tableColumn id="1" xr3:uid="{20322556-2533-46F5-9690-449D474598C8}" name="Date [Note 2] "/>
    <tableColumn id="2" xr3:uid="{CEBB58B8-E75E-44E4-9001-606F09A7DD87}" name="Carpark; Charging Sockets Installed"/>
    <tableColumn id="3" xr3:uid="{E477E56C-695E-434A-B846-E21B7AD53808}" name="Carpark; Grant Value "/>
    <tableColumn id="4" xr3:uid="{18A97A81-67C7-442C-B1DA-EE5366E08180}" name="Flats and Renters; Charging Sockets Installed"/>
    <tableColumn id="5" xr3:uid="{C72D345C-37EC-491B-B9F3-8802F8D383B4}" name="Flats and Renters; Grant Value "/>
    <tableColumn id="6" xr3:uid="{E9920709-C246-4A57-9E98-8DD9982BE6C8}" name="Landlord; Charging Sockets Installed"/>
    <tableColumn id="7" xr3:uid="{EB4FC2F1-582E-4E1D-879D-6DF83DC7CC6A}" name="Landlord; Grant Value "/>
    <tableColumn id="8" xr3:uid="{EE7A8F55-99F7-4A9F-A49B-0EB26BA9D887}" name="Total; Charging Sockets Installed"/>
    <tableColumn id="9" xr3:uid="{2E42E7EE-0F17-4E33-996E-D01921043BDC}" name="Total; Grant Valu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70ED58-266C-45D4-AE89-37CC8FC96BFF}" name="WCS_Table_1" displayName="WCS_Table_1" ref="A3:D77" totalsRowShown="0">
  <tableColumns count="4">
    <tableColumn id="1" xr3:uid="{8C5167EF-0CA1-4A73-9DF0-9D802FD2A515}" name="Date [Note 4]"/>
    <tableColumn id="2" xr3:uid="{2EBEAE14-C66E-4703-8DA0-0B56D9C02328}" name="Vouchers redeemed [Note 5]"/>
    <tableColumn id="3" xr3:uid="{556B752A-6F95-4E91-B60F-0785BA6AA91E}" name="Sockets installed"/>
    <tableColumn id="4" xr3:uid="{3937CA16-885D-4841-AD77-039471092E63}" name="Grant Value "/>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95D554-8D8A-4CAE-9B15-B7D80F395A44}" name="WCS_Table_2" displayName="WCS_Table_2" ref="A3:C424" totalsRowShown="0">
  <tableColumns count="3">
    <tableColumn id="1" xr3:uid="{7540603F-A092-4B85-958C-38BD1FF05817}" name="ONS LA Code"/>
    <tableColumn id="2" xr3:uid="{D79FB075-C468-48DA-B3E9-8E0D93ED8013}" name="Region or Local Authority"/>
    <tableColumn id="3" xr3:uid="{2877B291-C17B-4391-92B2-9EE4DE43946D}" name="Sockets Installed"/>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D7FDF6-42EC-4B49-894B-2C3F724D9BFF}" name="WCS_Table_3" displayName="WCS_Table_3" ref="A3:C424" totalsRowShown="0">
  <tableColumns count="3">
    <tableColumn id="1" xr3:uid="{C559EAFB-FA76-4115-9F35-E9A2AC0DB716}" name="ONS LA Code"/>
    <tableColumn id="2" xr3:uid="{CC35A739-0C68-4C9C-A959-D75C80033615}" name="Region or Local Authority"/>
    <tableColumn id="3" xr3:uid="{A6E10282-CF7A-4E55-80C0-4FC62D998800}" name=" Grant Value "/>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83FD70-DAB9-41C8-BF90-5625D9AFAAF3}" name="ORCS_Table_1" displayName="ORCS_Table_1" ref="A3:H123" totalsRowShown="0">
  <tableColumns count="8">
    <tableColumn id="1" xr3:uid="{9110161A-E9D8-475B-927C-119F1DE5D9D2}" name="Region, Local Authority or Council"/>
    <tableColumn id="2" xr3:uid="{6116C03C-DBD1-4F23-A5F3-532B6C736D44}" name="Financial Year Ending (FYE) 2018 [Note 7]"/>
    <tableColumn id="3" xr3:uid="{CC7E55D7-F67D-41D5-832B-E1DDAFDADC1B}" name="FYE 2019"/>
    <tableColumn id="4" xr3:uid="{83107891-58C4-41FB-A2B8-44BA2ABD7D27}" name="FYE 2020"/>
    <tableColumn id="5" xr3:uid="{11DB42B7-31A0-4B8E-9C4D-A6CF309468F3}" name="FYE 2021"/>
    <tableColumn id="6" xr3:uid="{0330D65B-DFCC-4040-9339-A297BEA351AE}" name="FYE 2022"/>
    <tableColumn id="7" xr3:uid="{980DFB9F-47CC-4619-8599-CD4AED761BE8}" name="FYE 2023"/>
    <tableColumn id="8" xr3:uid="{6033CE60-32A2-4E08-AD04-FDCEF556CF05}" name="Grand Total"/>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D32323-4C69-4309-9AF5-7424402CA79F}" name="ORCS_Table_2" displayName="ORCS_Table_2" ref="A3:H123" totalsRowShown="0">
  <tableColumns count="8">
    <tableColumn id="1" xr3:uid="{AEE7BEF0-0D23-4B2D-A00F-A1ADCE3F98A6}" name="Region, Local Authority or Council"/>
    <tableColumn id="2" xr3:uid="{3405E4B9-596F-4046-A723-ED4F5534AC26}" name="Financial Year Ending (FYE) 2018 [Note 7]"/>
    <tableColumn id="3" xr3:uid="{EC2E86CF-D74A-4295-AE38-EDF77B0CEFB9}" name="FYE 2019"/>
    <tableColumn id="4" xr3:uid="{52D5AF08-8E85-4265-B2BE-A1E48AA20F16}" name="FYE 2020"/>
    <tableColumn id="5" xr3:uid="{4B2DA23D-0BA6-4D48-B975-C467DDF064A5}" name="FYE 2021"/>
    <tableColumn id="6" xr3:uid="{B24E5CA8-495B-43B9-91EF-8C8DDF99B995}" name="FYE 2022"/>
    <tableColumn id="7" xr3:uid="{1A76CF81-E6E0-4CCF-A95C-753366271A5E}" name="FYE 2023"/>
    <tableColumn id="8" xr3:uid="{EAF615C8-52D2-4C64-8D77-1F0F5C32F443}" name="Grand Total"/>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D860CA-8421-4171-BA53-396006DA317D}" name="ORCS_Table_3" displayName="ORCS_Table_3" ref="A3:F132" totalsRowShown="0">
  <tableColumns count="6">
    <tableColumn id="1" xr3:uid="{D5901153-2470-4E95-ADF4-01BD7A96EFB1}" name="Region, Local Authority or Council"/>
    <tableColumn id="2" xr3:uid="{73E1DD47-720F-4BE3-B4F6-5A7919E1606D}" name="Financial Year Ending (FYE) 2020"/>
    <tableColumn id="3" xr3:uid="{4C252CFA-6652-43DC-9E16-3F24621A4AEB}" name="FYE 2021"/>
    <tableColumn id="4" xr3:uid="{20690B0F-D330-48A9-B7B0-F5CBD145D7F8}" name="FYE 2022"/>
    <tableColumn id="5" xr3:uid="{1340FA71-95F6-4008-A955-3638CF50A4AE}" name="FYE 2023 [Note 9]"/>
    <tableColumn id="6" xr3:uid="{FB524DC6-A18B-4FC4-815B-F4FE3B8F9222}" name="Grand Total"/>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AA4BC6-11F1-4F6E-B245-FF2338F81127}" name="ORCS_Table_4" displayName="ORCS_Table_4" ref="A3:F132" totalsRowShown="0">
  <tableColumns count="6">
    <tableColumn id="1" xr3:uid="{14B66807-E108-4C4D-ABEE-1DDE0F8AE41C}" name="Region, Local Authority or Council"/>
    <tableColumn id="2" xr3:uid="{68E66E67-9E4F-4E6A-B29E-F116472AFAF4}" name="Financial Year Ending (FYE) 2020"/>
    <tableColumn id="3" xr3:uid="{99BAC315-9197-4EB9-8E95-E3677060872E}" name="FYE 2021"/>
    <tableColumn id="4" xr3:uid="{E815032C-E3B9-47BE-A790-E2494D31FEE6}" name="FYE 2022"/>
    <tableColumn id="5" xr3:uid="{C5DAB10F-F586-4B50-BB10-1A7FC14DC798}" name="FYE 2023 [Note 9]"/>
    <tableColumn id="6" xr3:uid="{0C76D12C-A5DC-484F-ADE8-1B2624255B43}" name="Grand Total"/>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6F653-F255-4956-BD43-6D1F40081590}" name="EVHS_Table_1" displayName="EVHS_Table_1" ref="A3:C105" totalsRowShown="0">
  <tableColumns count="3">
    <tableColumn id="1" xr3:uid="{6D50799A-3D5C-45E4-A6E5-DD54130812BF}" name="Date [Note 10] "/>
    <tableColumn id="2" xr3:uid="{84D25A33-F1BA-4033-8BEB-AF66BA58D657}" name="Charging Devices Installed"/>
    <tableColumn id="3" xr3:uid="{6F87F0C0-B3D0-4528-8D0E-25B9DE2A3ED8}" name="Grant Value "/>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05C607B-4E94-436B-92AD-FAD0E8809061}" name="EVHS_Table_2" displayName="EVHS_Table_2" ref="A3:L425" totalsRowShown="0">
  <tableColumns count="12">
    <tableColumn id="1" xr3:uid="{6C5B57E8-4BC4-4B66-9413-9A70D18F997C}" name="ONS LA Code"/>
    <tableColumn id="2" xr3:uid="{D68E4D32-E2DD-4C6B-82B6-CB3B509A222C}" name="Region or Local Authority"/>
    <tableColumn id="3" xr3:uid="{81434F26-9899-40F2-9BE8-C1C157BA3721}" name="2014 and 2015 [Note 12]"/>
    <tableColumn id="4" xr3:uid="{A3E7481C-3683-47E3-808E-7C88E837E2D1}" name="2016"/>
    <tableColumn id="5" xr3:uid="{ED24E8EB-1172-4731-BC15-3927EBB76F2A}" name="2017"/>
    <tableColumn id="6" xr3:uid="{747A543C-5C30-41B9-910F-3FC4B526AF7A}" name="2018"/>
    <tableColumn id="7" xr3:uid="{BE852BE0-01BD-4D18-9B17-E61E371F77AC}" name="2019"/>
    <tableColumn id="8" xr3:uid="{843B56AB-B674-474E-ABD7-490E3C751170}" name="2020"/>
    <tableColumn id="9" xr3:uid="{6A6860CD-AD38-40A3-B371-16723BF86660}" name="2021"/>
    <tableColumn id="10" xr3:uid="{B412CF8B-D8EE-4C29-92EF-19CBE95C8D08}" name="2022"/>
    <tableColumn id="11" xr3:uid="{42AB7928-E92A-46AD-8F32-A9D103AC8DB1}" name="Unknown Date [Note 11]"/>
    <tableColumn id="12" xr3:uid="{133ABFE9-16C8-47D8-B59E-72D3A95EA071}" name="Grand Total"/>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ED638AF-ECB4-4A1B-A92B-585DB6290625}" name="EVHS_Table_3" displayName="EVHS_Table_3" ref="A3:B3123" totalsRowShown="0">
  <tableColumns count="2">
    <tableColumn id="1" xr3:uid="{91369B52-B892-4EB8-8BD9-3B8E60A4373E}" name="Postcode District"/>
    <tableColumn id="2" xr3:uid="{1F62812C-6118-4084-BC46-DC24617A7051}" name="Charging Device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2055901-D579-4115-B372-188502F228DD}" name="EVHS_Table_4" displayName="EVHS_Table_4" ref="A3:L425" totalsRowShown="0">
  <tableColumns count="12">
    <tableColumn id="1" xr3:uid="{9D550651-0E6F-47B1-AB14-5408D9F184F0}" name="ONS LA Code"/>
    <tableColumn id="2" xr3:uid="{55A01961-300D-4A95-B173-BEE45167486C}" name="Region or Local Authority"/>
    <tableColumn id="3" xr3:uid="{F947F593-150F-4569-9D51-C910FF612797}" name="2014 and 2015 [Note 12]"/>
    <tableColumn id="4" xr3:uid="{2C378508-AA64-4359-A105-C9F7476EF482}" name="2016"/>
    <tableColumn id="5" xr3:uid="{951F4B2B-1AB6-43C0-8001-D5A24F1D1FB4}" name="2017"/>
    <tableColumn id="6" xr3:uid="{4B5463A9-B12E-4AEA-8F1A-6F3BDC77B4A6}" name="2018"/>
    <tableColumn id="7" xr3:uid="{2BCD05B2-1AF5-4BF3-BA25-7883A12C81E9}" name="2019"/>
    <tableColumn id="8" xr3:uid="{3558CE30-C670-4BB8-9A90-E0603D3D06CF}" name="2020"/>
    <tableColumn id="9" xr3:uid="{16B81887-EA21-4375-B1B8-D49C633D76D3}" name="2021"/>
    <tableColumn id="10" xr3:uid="{28102734-F3A8-4843-86A1-77D01A38C5E5}" name="2022"/>
    <tableColumn id="11" xr3:uid="{D094BBE5-4775-4DD9-85F3-F369B54E4DDB}" name="Unknown Date [Note 11]"/>
    <tableColumn id="12" xr3:uid="{7E93EF60-5CA8-47D3-996D-801C0DB5C8A6}" name="Grand Total"/>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0C7C9D4-CD0E-40AB-B9F9-5C571EFE7682}" name="DRS_Table_1" displayName="DRS_Table_1" ref="A3:E425" totalsRowShown="0">
  <tableColumns count="5">
    <tableColumn id="1" xr3:uid="{631A54C9-BE6C-4165-AEF9-44FBCF123267}" name="ONS LA Code"/>
    <tableColumn id="2" xr3:uid="{2F596F35-D5A2-4246-BB85-59257B60A7B8}" name="Region or Local Authority"/>
    <tableColumn id="3" xr3:uid="{2DE1A990-8167-43A6-8222-ED1DD354E059}" name="2013"/>
    <tableColumn id="4" xr3:uid="{44D8A801-4A21-428B-A525-19ECF38670C6}" name="2014"/>
    <tableColumn id="5" xr3:uid="{D14072F2-E5E6-4453-BAF2-B7A0579AA91B}" name="Grand 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statistics/electric-vehicle-charging-device-grant-scheme-statistics-january-2023/electric-vehicle-charging-device-grant-scheme-statistics-january-2023" TargetMode="External"/><Relationship Id="rId1" Type="http://schemas.openxmlformats.org/officeDocument/2006/relationships/hyperlink" Target="mailto:environment.stat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2539-587A-4413-A293-0364404CB35A}">
  <dimension ref="A1:A20"/>
  <sheetViews>
    <sheetView tabSelected="1" topLeftCell="A7" workbookViewId="0">
      <selection activeCell="E20" sqref="E20"/>
    </sheetView>
  </sheetViews>
  <sheetFormatPr defaultRowHeight="14.4" x14ac:dyDescent="0.3"/>
  <cols>
    <col min="1" max="1" width="93" bestFit="1" customWidth="1"/>
    <col min="2" max="2" width="8.88671875" customWidth="1"/>
  </cols>
  <sheetData>
    <row r="1" spans="1:1" ht="17.399999999999999" x14ac:dyDescent="0.3">
      <c r="A1" s="1" t="s">
        <v>0</v>
      </c>
    </row>
    <row r="2" spans="1:1" ht="75" x14ac:dyDescent="0.3">
      <c r="A2" s="2" t="s">
        <v>1</v>
      </c>
    </row>
    <row r="3" spans="1:1" ht="17.399999999999999" x14ac:dyDescent="0.3">
      <c r="A3" s="3" t="s">
        <v>2</v>
      </c>
    </row>
    <row r="4" spans="1:1" ht="15" x14ac:dyDescent="0.3">
      <c r="A4" s="4" t="s">
        <v>3</v>
      </c>
    </row>
    <row r="5" spans="1:1" ht="15" x14ac:dyDescent="0.3">
      <c r="A5" s="4" t="s">
        <v>4</v>
      </c>
    </row>
    <row r="6" spans="1:1" ht="17.399999999999999" x14ac:dyDescent="0.3">
      <c r="A6" s="3" t="s">
        <v>5</v>
      </c>
    </row>
    <row r="7" spans="1:1" ht="135" x14ac:dyDescent="0.3">
      <c r="A7" s="5" t="s">
        <v>6</v>
      </c>
    </row>
    <row r="8" spans="1:1" ht="17.399999999999999" x14ac:dyDescent="0.3">
      <c r="A8" s="6" t="s">
        <v>7</v>
      </c>
    </row>
    <row r="9" spans="1:1" ht="15" x14ac:dyDescent="0.3">
      <c r="A9" s="7" t="s">
        <v>8</v>
      </c>
    </row>
    <row r="10" spans="1:1" ht="15" x14ac:dyDescent="0.3">
      <c r="A10" s="7" t="s">
        <v>9</v>
      </c>
    </row>
    <row r="11" spans="1:1" ht="15" x14ac:dyDescent="0.3">
      <c r="A11" s="7" t="s">
        <v>10</v>
      </c>
    </row>
    <row r="12" spans="1:1" ht="15" x14ac:dyDescent="0.3">
      <c r="A12" s="7" t="s">
        <v>11</v>
      </c>
    </row>
    <row r="13" spans="1:1" ht="17.399999999999999" x14ac:dyDescent="0.3">
      <c r="A13" s="8" t="s">
        <v>12</v>
      </c>
    </row>
    <row r="14" spans="1:1" ht="15.6" x14ac:dyDescent="0.3">
      <c r="A14" s="9" t="s">
        <v>13</v>
      </c>
    </row>
    <row r="15" spans="1:1" ht="17.399999999999999" x14ac:dyDescent="0.3">
      <c r="A15" s="8" t="s">
        <v>14</v>
      </c>
    </row>
    <row r="16" spans="1:1" ht="15.6" x14ac:dyDescent="0.3">
      <c r="A16" s="10" t="s">
        <v>15</v>
      </c>
    </row>
    <row r="17" spans="1:1" ht="15.6" x14ac:dyDescent="0.3">
      <c r="A17" s="11"/>
    </row>
    <row r="20" spans="1:1" ht="57.6" x14ac:dyDescent="0.3">
      <c r="A20" s="147" t="s">
        <v>4298</v>
      </c>
    </row>
  </sheetData>
  <hyperlinks>
    <hyperlink ref="A14" r:id="rId1" xr:uid="{40A78AD5-B2CE-438D-BDA3-B0151CD5071C}"/>
    <hyperlink ref="A16" r:id="rId2" xr:uid="{7C7FF7A4-6312-4600-A70F-500DCE2F83A3}"/>
  </hyperlinks>
  <pageMargins left="0.70000000000000007" right="0.70000000000000007" top="0.75" bottom="0.75" header="0.30000000000000004" footer="0.30000000000000004"/>
  <pageSetup fitToWidth="0"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248-A160-4378-BB62-C422D0279E72}">
  <dimension ref="A1:E23"/>
  <sheetViews>
    <sheetView workbookViewId="0">
      <selection activeCell="B10" sqref="B10"/>
    </sheetView>
  </sheetViews>
  <sheetFormatPr defaultRowHeight="13.8" x14ac:dyDescent="0.25"/>
  <cols>
    <col min="1" max="1" width="23.44140625" style="14" customWidth="1"/>
    <col min="2" max="2" width="61.21875" style="14" customWidth="1"/>
    <col min="3" max="3" width="17.6640625" style="14" customWidth="1"/>
    <col min="4" max="4" width="18" style="14" customWidth="1"/>
    <col min="5" max="5" width="20.109375" style="14" customWidth="1"/>
    <col min="6" max="6" width="8.88671875" style="14" customWidth="1"/>
    <col min="7" max="16384" width="8.88671875" style="14"/>
  </cols>
  <sheetData>
    <row r="1" spans="1:5" ht="19.2" x14ac:dyDescent="0.35">
      <c r="A1" s="12" t="s">
        <v>16</v>
      </c>
      <c r="B1" s="13"/>
      <c r="C1" s="13"/>
      <c r="D1" s="13"/>
      <c r="E1" s="13"/>
    </row>
    <row r="2" spans="1:5" ht="15" x14ac:dyDescent="0.25">
      <c r="A2" s="15" t="s">
        <v>17</v>
      </c>
      <c r="B2" s="13"/>
      <c r="C2" s="13"/>
      <c r="D2" s="13"/>
      <c r="E2" s="13"/>
    </row>
    <row r="3" spans="1:5" ht="46.8" x14ac:dyDescent="0.25">
      <c r="A3" s="16" t="s">
        <v>18</v>
      </c>
      <c r="B3" s="16" t="s">
        <v>19</v>
      </c>
      <c r="C3" s="16" t="s">
        <v>20</v>
      </c>
      <c r="D3" s="16" t="s">
        <v>21</v>
      </c>
      <c r="E3" s="16" t="s">
        <v>22</v>
      </c>
    </row>
    <row r="4" spans="1:5" ht="41.4" x14ac:dyDescent="0.25">
      <c r="A4" s="17">
        <v>1</v>
      </c>
      <c r="B4" s="18" t="s">
        <v>23</v>
      </c>
      <c r="C4" s="19" t="s">
        <v>24</v>
      </c>
      <c r="D4" s="19" t="s">
        <v>25</v>
      </c>
      <c r="E4" s="20" t="s">
        <v>26</v>
      </c>
    </row>
    <row r="5" spans="1:5" ht="27.6" x14ac:dyDescent="0.25">
      <c r="A5" s="17">
        <v>2</v>
      </c>
      <c r="B5" s="18" t="s">
        <v>27</v>
      </c>
      <c r="C5" s="19" t="s">
        <v>24</v>
      </c>
      <c r="D5" s="19" t="s">
        <v>25</v>
      </c>
      <c r="E5" s="20" t="s">
        <v>28</v>
      </c>
    </row>
    <row r="6" spans="1:5" ht="27.6" x14ac:dyDescent="0.25">
      <c r="A6" s="17">
        <v>3</v>
      </c>
      <c r="B6" s="18" t="s">
        <v>29</v>
      </c>
      <c r="C6" s="19" t="s">
        <v>24</v>
      </c>
      <c r="D6" s="19" t="s">
        <v>25</v>
      </c>
      <c r="E6" s="20" t="s">
        <v>30</v>
      </c>
    </row>
    <row r="7" spans="1:5" ht="27.6" x14ac:dyDescent="0.25">
      <c r="A7" s="17">
        <v>4</v>
      </c>
      <c r="B7" s="18" t="s">
        <v>31</v>
      </c>
      <c r="C7" s="19" t="s">
        <v>24</v>
      </c>
      <c r="D7" s="19" t="s">
        <v>25</v>
      </c>
      <c r="E7" s="20" t="s">
        <v>30</v>
      </c>
    </row>
    <row r="8" spans="1:5" ht="27.6" x14ac:dyDescent="0.25">
      <c r="A8" s="17">
        <v>5</v>
      </c>
      <c r="B8" s="18" t="s">
        <v>32</v>
      </c>
      <c r="C8" s="19" t="s">
        <v>24</v>
      </c>
      <c r="D8" s="19" t="s">
        <v>25</v>
      </c>
      <c r="E8" s="20" t="s">
        <v>28</v>
      </c>
    </row>
    <row r="9" spans="1:5" ht="27.6" x14ac:dyDescent="0.25">
      <c r="A9" s="17">
        <v>6</v>
      </c>
      <c r="B9" s="18" t="s">
        <v>33</v>
      </c>
      <c r="C9" s="19" t="s">
        <v>24</v>
      </c>
      <c r="D9" s="19" t="s">
        <v>25</v>
      </c>
      <c r="E9" s="20" t="s">
        <v>28</v>
      </c>
    </row>
    <row r="10" spans="1:5" ht="27.6" x14ac:dyDescent="0.25">
      <c r="A10" s="17">
        <v>7</v>
      </c>
      <c r="B10" s="18" t="s">
        <v>34</v>
      </c>
      <c r="C10" s="19" t="s">
        <v>24</v>
      </c>
      <c r="D10" s="19" t="s">
        <v>25</v>
      </c>
      <c r="E10" s="20" t="s">
        <v>28</v>
      </c>
    </row>
    <row r="11" spans="1:5" ht="27.6" x14ac:dyDescent="0.25">
      <c r="A11" s="17">
        <v>8</v>
      </c>
      <c r="B11" s="18" t="s">
        <v>35</v>
      </c>
      <c r="C11" s="19" t="s">
        <v>24</v>
      </c>
      <c r="D11" s="19" t="s">
        <v>25</v>
      </c>
      <c r="E11" s="20" t="s">
        <v>28</v>
      </c>
    </row>
    <row r="12" spans="1:5" ht="41.4" x14ac:dyDescent="0.25">
      <c r="A12" s="17">
        <v>9</v>
      </c>
      <c r="B12" s="21" t="s">
        <v>36</v>
      </c>
      <c r="C12" s="19" t="s">
        <v>24</v>
      </c>
      <c r="D12" s="19" t="s">
        <v>25</v>
      </c>
      <c r="E12" s="20" t="s">
        <v>37</v>
      </c>
    </row>
    <row r="13" spans="1:5" ht="41.4" x14ac:dyDescent="0.25">
      <c r="A13" s="17">
        <v>10</v>
      </c>
      <c r="B13" s="22" t="s">
        <v>38</v>
      </c>
      <c r="C13" s="19" t="s">
        <v>24</v>
      </c>
      <c r="D13" s="19" t="s">
        <v>25</v>
      </c>
      <c r="E13" s="20" t="s">
        <v>39</v>
      </c>
    </row>
    <row r="14" spans="1:5" ht="27.6" x14ac:dyDescent="0.25">
      <c r="A14" s="17">
        <v>11</v>
      </c>
      <c r="B14" s="18" t="s">
        <v>40</v>
      </c>
      <c r="C14" s="19" t="s">
        <v>24</v>
      </c>
      <c r="D14" s="19" t="s">
        <v>25</v>
      </c>
      <c r="E14" s="20" t="s">
        <v>41</v>
      </c>
    </row>
    <row r="15" spans="1:5" ht="41.4" x14ac:dyDescent="0.25">
      <c r="A15" s="17">
        <v>12</v>
      </c>
      <c r="B15" s="18" t="s">
        <v>42</v>
      </c>
      <c r="C15" s="19" t="s">
        <v>24</v>
      </c>
      <c r="D15" s="19" t="s">
        <v>25</v>
      </c>
      <c r="E15" s="20" t="s">
        <v>43</v>
      </c>
    </row>
    <row r="16" spans="1:5" ht="27.6" x14ac:dyDescent="0.25">
      <c r="A16" s="17">
        <v>13</v>
      </c>
      <c r="B16" s="18" t="s">
        <v>44</v>
      </c>
      <c r="C16" s="19" t="s">
        <v>24</v>
      </c>
      <c r="D16" s="19" t="s">
        <v>25</v>
      </c>
      <c r="E16" s="20" t="s">
        <v>30</v>
      </c>
    </row>
    <row r="17" spans="1:5" x14ac:dyDescent="0.25">
      <c r="A17" s="17"/>
      <c r="B17" s="18"/>
      <c r="C17" s="19"/>
      <c r="D17" s="19"/>
      <c r="E17" s="20"/>
    </row>
    <row r="18" spans="1:5" x14ac:dyDescent="0.25">
      <c r="A18" s="17"/>
      <c r="B18" s="18"/>
      <c r="C18" s="19"/>
      <c r="D18" s="19"/>
      <c r="E18" s="20"/>
    </row>
    <row r="19" spans="1:5" x14ac:dyDescent="0.25">
      <c r="A19" s="17"/>
      <c r="B19" s="18"/>
      <c r="C19" s="19"/>
      <c r="D19" s="19"/>
      <c r="E19" s="20"/>
    </row>
    <row r="20" spans="1:5" x14ac:dyDescent="0.25">
      <c r="A20" s="17"/>
      <c r="B20" s="18"/>
      <c r="C20" s="19"/>
      <c r="D20" s="19"/>
      <c r="E20" s="20"/>
    </row>
    <row r="21" spans="1:5" x14ac:dyDescent="0.25">
      <c r="A21" s="17"/>
      <c r="B21" s="18"/>
      <c r="C21" s="19"/>
      <c r="D21" s="19"/>
      <c r="E21" s="20"/>
    </row>
    <row r="22" spans="1:5" x14ac:dyDescent="0.25">
      <c r="A22" s="17"/>
      <c r="B22" s="18"/>
      <c r="C22" s="19"/>
      <c r="D22" s="19"/>
      <c r="E22" s="20"/>
    </row>
    <row r="23" spans="1:5" x14ac:dyDescent="0.25">
      <c r="A23" s="1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867D2-4BEA-44CA-8ADF-BC0BF7F33F78}">
  <dimension ref="A1:B22"/>
  <sheetViews>
    <sheetView workbookViewId="0"/>
  </sheetViews>
  <sheetFormatPr defaultRowHeight="14.4" x14ac:dyDescent="0.3"/>
  <cols>
    <col min="1" max="1" width="16.21875" customWidth="1"/>
    <col min="2" max="2" width="83" customWidth="1"/>
    <col min="3" max="3" width="8.88671875" customWidth="1"/>
  </cols>
  <sheetData>
    <row r="1" spans="1:2" ht="15.6" x14ac:dyDescent="0.3">
      <c r="A1" s="23" t="s">
        <v>45</v>
      </c>
      <c r="B1" s="15"/>
    </row>
    <row r="2" spans="1:2" ht="15.6" x14ac:dyDescent="0.3">
      <c r="A2" s="15" t="s">
        <v>17</v>
      </c>
      <c r="B2" s="15"/>
    </row>
    <row r="3" spans="1:2" ht="29.4" customHeight="1" x14ac:dyDescent="0.3">
      <c r="A3" s="24" t="s">
        <v>46</v>
      </c>
      <c r="B3" s="25" t="s">
        <v>47</v>
      </c>
    </row>
    <row r="4" spans="1:2" ht="90" x14ac:dyDescent="0.3">
      <c r="A4" s="26">
        <v>1</v>
      </c>
      <c r="B4" s="26" t="s">
        <v>48</v>
      </c>
    </row>
    <row r="5" spans="1:2" ht="29.4" customHeight="1" x14ac:dyDescent="0.3">
      <c r="A5" s="26">
        <v>2</v>
      </c>
      <c r="B5" s="27" t="s">
        <v>49</v>
      </c>
    </row>
    <row r="6" spans="1:2" ht="60" x14ac:dyDescent="0.3">
      <c r="A6" s="26">
        <v>3</v>
      </c>
      <c r="B6" s="26" t="s">
        <v>50</v>
      </c>
    </row>
    <row r="7" spans="1:2" ht="30" x14ac:dyDescent="0.3">
      <c r="A7" s="26">
        <v>4</v>
      </c>
      <c r="B7" s="26" t="s">
        <v>51</v>
      </c>
    </row>
    <row r="8" spans="1:2" ht="30" x14ac:dyDescent="0.3">
      <c r="A8" s="26">
        <v>5</v>
      </c>
      <c r="B8" s="26" t="s">
        <v>52</v>
      </c>
    </row>
    <row r="9" spans="1:2" ht="90" x14ac:dyDescent="0.3">
      <c r="A9" s="26">
        <v>6</v>
      </c>
      <c r="B9" s="26" t="s">
        <v>53</v>
      </c>
    </row>
    <row r="10" spans="1:2" ht="15" x14ac:dyDescent="0.3">
      <c r="A10" s="26">
        <v>7</v>
      </c>
      <c r="B10" s="26" t="s">
        <v>54</v>
      </c>
    </row>
    <row r="11" spans="1:2" ht="45" x14ac:dyDescent="0.3">
      <c r="A11" s="26">
        <v>8</v>
      </c>
      <c r="B11" s="26" t="s">
        <v>55</v>
      </c>
    </row>
    <row r="12" spans="1:2" ht="45" x14ac:dyDescent="0.3">
      <c r="A12" s="26">
        <v>9</v>
      </c>
      <c r="B12" s="26" t="s">
        <v>56</v>
      </c>
    </row>
    <row r="13" spans="1:2" ht="30.6" x14ac:dyDescent="0.3">
      <c r="A13" s="26">
        <v>10</v>
      </c>
      <c r="B13" s="27" t="s">
        <v>57</v>
      </c>
    </row>
    <row r="14" spans="1:2" ht="30.6" x14ac:dyDescent="0.3">
      <c r="A14" s="26">
        <v>11</v>
      </c>
      <c r="B14" s="27" t="s">
        <v>58</v>
      </c>
    </row>
    <row r="15" spans="1:2" ht="30" x14ac:dyDescent="0.3">
      <c r="A15" s="26">
        <v>12</v>
      </c>
      <c r="B15" s="26" t="s">
        <v>59</v>
      </c>
    </row>
    <row r="16" spans="1:2" ht="30" x14ac:dyDescent="0.3">
      <c r="A16" s="26">
        <v>13</v>
      </c>
      <c r="B16" s="26" t="s">
        <v>60</v>
      </c>
    </row>
    <row r="17" spans="1:2" ht="15" x14ac:dyDescent="0.3">
      <c r="A17" s="26"/>
      <c r="B17" s="26"/>
    </row>
    <row r="18" spans="1:2" ht="15" x14ac:dyDescent="0.3">
      <c r="A18" s="26"/>
      <c r="B18" s="26"/>
    </row>
    <row r="19" spans="1:2" ht="15" x14ac:dyDescent="0.3">
      <c r="A19" s="26"/>
      <c r="B19" s="26"/>
    </row>
    <row r="20" spans="1:2" ht="15" x14ac:dyDescent="0.3">
      <c r="A20" s="26"/>
      <c r="B20" s="26"/>
    </row>
    <row r="21" spans="1:2" ht="15" x14ac:dyDescent="0.3">
      <c r="A21" s="26"/>
      <c r="B21" s="26"/>
    </row>
    <row r="22" spans="1:2" ht="15.6" x14ac:dyDescent="0.3">
      <c r="A22" s="26"/>
      <c r="B22" s="27"/>
    </row>
  </sheetData>
  <pageMargins left="0.70000000000000007" right="0.70000000000000007" top="0.75" bottom="0.75" header="0.30000000000000004" footer="0.30000000000000004"/>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A636-0B41-406B-A8B6-063741AB7E30}">
  <dimension ref="A1:I28"/>
  <sheetViews>
    <sheetView workbookViewId="0">
      <selection activeCell="C29" sqref="C29"/>
    </sheetView>
  </sheetViews>
  <sheetFormatPr defaultColWidth="9.33203125" defaultRowHeight="14.4" x14ac:dyDescent="0.3"/>
  <cols>
    <col min="1" max="1" width="15.88671875" customWidth="1"/>
    <col min="2" max="2" width="19.44140625" customWidth="1"/>
    <col min="3" max="3" width="17.88671875" customWidth="1"/>
    <col min="4" max="4" width="19.44140625" customWidth="1"/>
    <col min="5" max="5" width="17.88671875" customWidth="1"/>
    <col min="6" max="6" width="19.44140625" customWidth="1"/>
    <col min="7" max="8" width="18" customWidth="1"/>
    <col min="9" max="9" width="17.88671875" customWidth="1"/>
    <col min="10" max="10" width="9.33203125" customWidth="1"/>
  </cols>
  <sheetData>
    <row r="1" spans="1:9" ht="19.2" x14ac:dyDescent="0.35">
      <c r="A1" s="28" t="s">
        <v>61</v>
      </c>
      <c r="B1" s="29"/>
      <c r="D1" s="29"/>
      <c r="F1" s="29"/>
    </row>
    <row r="2" spans="1:9" ht="15.6" x14ac:dyDescent="0.3">
      <c r="A2" s="30" t="s">
        <v>62</v>
      </c>
      <c r="B2" s="31"/>
      <c r="C2" s="32"/>
      <c r="D2" s="31"/>
      <c r="E2" s="32"/>
      <c r="F2" s="31"/>
      <c r="G2" s="32"/>
    </row>
    <row r="3" spans="1:9" ht="40.200000000000003" x14ac:dyDescent="0.3">
      <c r="A3" s="33" t="s">
        <v>63</v>
      </c>
      <c r="B3" s="34" t="s">
        <v>64</v>
      </c>
      <c r="C3" s="34" t="s">
        <v>65</v>
      </c>
      <c r="D3" s="34" t="s">
        <v>66</v>
      </c>
      <c r="E3" s="34" t="s">
        <v>67</v>
      </c>
      <c r="F3" s="34" t="s">
        <v>68</v>
      </c>
      <c r="G3" s="34" t="s">
        <v>69</v>
      </c>
      <c r="H3" s="34" t="s">
        <v>70</v>
      </c>
      <c r="I3" s="34" t="s">
        <v>71</v>
      </c>
    </row>
    <row r="4" spans="1:9" x14ac:dyDescent="0.3">
      <c r="A4" s="35">
        <v>44621</v>
      </c>
      <c r="B4" s="36">
        <v>0</v>
      </c>
      <c r="C4" s="37">
        <v>0</v>
      </c>
      <c r="D4" s="38">
        <v>2</v>
      </c>
      <c r="E4" s="37">
        <v>700</v>
      </c>
      <c r="F4" s="36">
        <v>0</v>
      </c>
      <c r="G4" s="37">
        <v>0</v>
      </c>
      <c r="H4" s="38">
        <v>2</v>
      </c>
      <c r="I4" s="37">
        <v>700</v>
      </c>
    </row>
    <row r="5" spans="1:9" x14ac:dyDescent="0.3">
      <c r="A5" s="35">
        <v>44652</v>
      </c>
      <c r="B5" s="36">
        <v>0</v>
      </c>
      <c r="C5" s="37">
        <v>0</v>
      </c>
      <c r="D5" s="38">
        <v>82</v>
      </c>
      <c r="E5" s="37">
        <v>28700</v>
      </c>
      <c r="F5" s="36">
        <v>0</v>
      </c>
      <c r="G5" s="37">
        <v>0</v>
      </c>
      <c r="H5" s="38">
        <v>82</v>
      </c>
      <c r="I5" s="37">
        <v>28700</v>
      </c>
    </row>
    <row r="6" spans="1:9" x14ac:dyDescent="0.3">
      <c r="A6" s="35">
        <v>44682</v>
      </c>
      <c r="B6" s="38">
        <v>2</v>
      </c>
      <c r="C6" s="37">
        <v>3200</v>
      </c>
      <c r="D6" s="38">
        <v>127</v>
      </c>
      <c r="E6" s="37">
        <v>44450</v>
      </c>
      <c r="F6" s="38">
        <v>2</v>
      </c>
      <c r="G6" s="37">
        <v>1671.4</v>
      </c>
      <c r="H6" s="38">
        <v>131</v>
      </c>
      <c r="I6" s="37">
        <v>49321.4</v>
      </c>
    </row>
    <row r="7" spans="1:9" x14ac:dyDescent="0.3">
      <c r="A7" s="35">
        <v>44713</v>
      </c>
      <c r="B7" s="38">
        <v>82</v>
      </c>
      <c r="C7" s="37">
        <v>83808.899999999994</v>
      </c>
      <c r="D7" s="38">
        <v>112</v>
      </c>
      <c r="E7" s="37">
        <v>38842.75</v>
      </c>
      <c r="F7" s="38">
        <v>20</v>
      </c>
      <c r="G7" s="37">
        <v>28698</v>
      </c>
      <c r="H7" s="38">
        <v>214</v>
      </c>
      <c r="I7" s="37">
        <v>151349.65</v>
      </c>
    </row>
    <row r="8" spans="1:9" x14ac:dyDescent="0.3">
      <c r="A8" s="35">
        <v>44743</v>
      </c>
      <c r="B8" s="38">
        <v>65</v>
      </c>
      <c r="C8" s="37">
        <v>105000</v>
      </c>
      <c r="D8" s="38">
        <v>168</v>
      </c>
      <c r="E8" s="37">
        <v>58800</v>
      </c>
      <c r="F8" s="38">
        <v>9</v>
      </c>
      <c r="G8" s="37">
        <v>5366.68</v>
      </c>
      <c r="H8" s="38">
        <v>242</v>
      </c>
      <c r="I8" s="37">
        <v>169166.68</v>
      </c>
    </row>
    <row r="9" spans="1:9" x14ac:dyDescent="0.3">
      <c r="A9" s="35">
        <v>44774</v>
      </c>
      <c r="B9" s="38">
        <v>108</v>
      </c>
      <c r="C9" s="37">
        <v>166042.82</v>
      </c>
      <c r="D9" s="38">
        <v>167</v>
      </c>
      <c r="E9" s="37">
        <v>58450</v>
      </c>
      <c r="F9" s="38">
        <v>8</v>
      </c>
      <c r="G9" s="37">
        <v>7666.05</v>
      </c>
      <c r="H9" s="38">
        <v>283</v>
      </c>
      <c r="I9" s="37">
        <v>232158.87</v>
      </c>
    </row>
    <row r="10" spans="1:9" x14ac:dyDescent="0.3">
      <c r="A10" s="35">
        <v>44805</v>
      </c>
      <c r="B10" s="38">
        <v>127</v>
      </c>
      <c r="C10" s="37">
        <v>104224</v>
      </c>
      <c r="D10" s="38">
        <v>118</v>
      </c>
      <c r="E10" s="37">
        <v>41300</v>
      </c>
      <c r="F10" s="38">
        <v>28</v>
      </c>
      <c r="G10" s="37">
        <v>45555.68</v>
      </c>
      <c r="H10" s="38">
        <v>273</v>
      </c>
      <c r="I10" s="37">
        <v>191079.67999999999</v>
      </c>
    </row>
    <row r="11" spans="1:9" x14ac:dyDescent="0.3">
      <c r="A11" s="35">
        <v>44835</v>
      </c>
      <c r="B11" s="38">
        <v>69</v>
      </c>
      <c r="C11" s="37">
        <v>190270.78</v>
      </c>
      <c r="D11" s="38">
        <v>91</v>
      </c>
      <c r="E11" s="37">
        <v>31850</v>
      </c>
      <c r="F11" s="38">
        <v>13</v>
      </c>
      <c r="G11" s="37">
        <v>12522.8</v>
      </c>
      <c r="H11" s="38">
        <v>173</v>
      </c>
      <c r="I11" s="37">
        <v>234643.58</v>
      </c>
    </row>
    <row r="12" spans="1:9" x14ac:dyDescent="0.3">
      <c r="A12" s="35">
        <v>44866</v>
      </c>
      <c r="B12" s="38">
        <v>8</v>
      </c>
      <c r="C12" s="37">
        <v>51501.599999999999</v>
      </c>
      <c r="D12" s="38">
        <v>69</v>
      </c>
      <c r="E12" s="37">
        <v>24150</v>
      </c>
      <c r="F12" s="38">
        <v>21</v>
      </c>
      <c r="G12" s="37">
        <v>7350</v>
      </c>
      <c r="H12" s="38">
        <v>98</v>
      </c>
      <c r="I12" s="37">
        <v>83001.600000000006</v>
      </c>
    </row>
    <row r="13" spans="1:9" x14ac:dyDescent="0.3">
      <c r="A13" s="35">
        <v>44896</v>
      </c>
      <c r="B13" s="38">
        <v>43</v>
      </c>
      <c r="C13" s="37">
        <v>59550</v>
      </c>
      <c r="D13" s="38">
        <v>35</v>
      </c>
      <c r="E13" s="37">
        <v>12250</v>
      </c>
      <c r="F13" s="38">
        <v>11</v>
      </c>
      <c r="G13" s="37">
        <v>4200</v>
      </c>
      <c r="H13" s="38">
        <v>89</v>
      </c>
      <c r="I13" s="37">
        <v>76000</v>
      </c>
    </row>
    <row r="14" spans="1:9" x14ac:dyDescent="0.3">
      <c r="A14" s="39" t="s">
        <v>72</v>
      </c>
      <c r="B14" s="40">
        <v>504</v>
      </c>
      <c r="C14" s="41">
        <v>763598.1</v>
      </c>
      <c r="D14" s="40">
        <v>971</v>
      </c>
      <c r="E14" s="41">
        <v>339492.75</v>
      </c>
      <c r="F14" s="40">
        <v>112</v>
      </c>
      <c r="G14" s="41">
        <v>113030.61</v>
      </c>
      <c r="H14" s="40">
        <v>1587</v>
      </c>
      <c r="I14" s="42">
        <v>1216121.4600000002</v>
      </c>
    </row>
    <row r="22" spans="1:1" x14ac:dyDescent="0.3">
      <c r="A22" s="35"/>
    </row>
    <row r="23" spans="1:1" x14ac:dyDescent="0.3">
      <c r="A23" s="35"/>
    </row>
    <row r="24" spans="1:1" x14ac:dyDescent="0.3">
      <c r="A24" s="35"/>
    </row>
    <row r="25" spans="1:1" x14ac:dyDescent="0.3">
      <c r="A25" s="35"/>
    </row>
    <row r="26" spans="1:1" x14ac:dyDescent="0.3">
      <c r="A26" s="35"/>
    </row>
    <row r="27" spans="1:1" x14ac:dyDescent="0.3">
      <c r="A27" s="35"/>
    </row>
    <row r="28" spans="1:1" x14ac:dyDescent="0.3">
      <c r="A28" s="35"/>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5AC2-8F87-459F-A44A-5EEA8733B4D8}">
  <dimension ref="A1:D80"/>
  <sheetViews>
    <sheetView workbookViewId="0"/>
  </sheetViews>
  <sheetFormatPr defaultRowHeight="16.5" customHeight="1" x14ac:dyDescent="0.3"/>
  <cols>
    <col min="1" max="1" width="14" style="51" customWidth="1"/>
    <col min="2" max="2" width="27.21875" customWidth="1"/>
    <col min="3" max="3" width="24.5546875" customWidth="1"/>
    <col min="4" max="4" width="24.77734375" customWidth="1"/>
    <col min="5" max="5" width="8.88671875" customWidth="1"/>
  </cols>
  <sheetData>
    <row r="1" spans="1:4" ht="19.2" x14ac:dyDescent="0.35">
      <c r="A1" s="28" t="s">
        <v>73</v>
      </c>
      <c r="B1" s="29"/>
    </row>
    <row r="2" spans="1:4" ht="16.5" customHeight="1" x14ac:dyDescent="0.3">
      <c r="A2" s="30" t="s">
        <v>62</v>
      </c>
    </row>
    <row r="3" spans="1:4" ht="16.5" customHeight="1" x14ac:dyDescent="0.3">
      <c r="A3" s="43" t="s">
        <v>74</v>
      </c>
      <c r="B3" s="44" t="s">
        <v>75</v>
      </c>
      <c r="C3" s="44" t="s">
        <v>76</v>
      </c>
      <c r="D3" s="44" t="s">
        <v>77</v>
      </c>
    </row>
    <row r="4" spans="1:4" ht="16.5" customHeight="1" x14ac:dyDescent="0.3">
      <c r="A4" s="45">
        <v>42705</v>
      </c>
      <c r="B4" s="36">
        <v>2</v>
      </c>
      <c r="C4" s="36">
        <v>4</v>
      </c>
      <c r="D4" s="46">
        <v>1200</v>
      </c>
    </row>
    <row r="5" spans="1:4" ht="16.5" customHeight="1" x14ac:dyDescent="0.3">
      <c r="A5" s="45">
        <v>42736</v>
      </c>
      <c r="B5" s="36">
        <v>8</v>
      </c>
      <c r="C5" s="36">
        <v>21</v>
      </c>
      <c r="D5" s="46">
        <v>6300</v>
      </c>
    </row>
    <row r="6" spans="1:4" ht="16.5" customHeight="1" x14ac:dyDescent="0.3">
      <c r="A6" s="45">
        <v>42767</v>
      </c>
      <c r="B6" s="36">
        <v>17</v>
      </c>
      <c r="C6" s="36">
        <v>45</v>
      </c>
      <c r="D6" s="46">
        <v>13500</v>
      </c>
    </row>
    <row r="7" spans="1:4" ht="16.5" customHeight="1" x14ac:dyDescent="0.3">
      <c r="A7" s="45">
        <v>42795</v>
      </c>
      <c r="B7" s="36">
        <v>22</v>
      </c>
      <c r="C7" s="36">
        <v>46</v>
      </c>
      <c r="D7" s="46">
        <v>13800</v>
      </c>
    </row>
    <row r="8" spans="1:4" ht="16.5" customHeight="1" x14ac:dyDescent="0.3">
      <c r="A8" s="45">
        <v>42826</v>
      </c>
      <c r="B8" s="36">
        <v>28</v>
      </c>
      <c r="C8" s="36">
        <v>102</v>
      </c>
      <c r="D8" s="46">
        <v>30900</v>
      </c>
    </row>
    <row r="9" spans="1:4" ht="16.5" customHeight="1" x14ac:dyDescent="0.3">
      <c r="A9" s="45">
        <v>42856</v>
      </c>
      <c r="B9" s="36">
        <v>34</v>
      </c>
      <c r="C9" s="36">
        <v>154</v>
      </c>
      <c r="D9" s="46">
        <v>45899.999999699998</v>
      </c>
    </row>
    <row r="10" spans="1:4" ht="16.5" customHeight="1" x14ac:dyDescent="0.3">
      <c r="A10" s="47" t="s">
        <v>78</v>
      </c>
      <c r="B10" s="36">
        <v>31</v>
      </c>
      <c r="C10" s="36">
        <v>120</v>
      </c>
      <c r="D10" s="46">
        <v>35700</v>
      </c>
    </row>
    <row r="11" spans="1:4" ht="16.5" customHeight="1" x14ac:dyDescent="0.3">
      <c r="A11" s="45" t="s">
        <v>79</v>
      </c>
      <c r="B11" s="36">
        <v>13</v>
      </c>
      <c r="C11" s="36">
        <v>53</v>
      </c>
      <c r="D11" s="46">
        <v>15900</v>
      </c>
    </row>
    <row r="12" spans="1:4" ht="16.5" customHeight="1" x14ac:dyDescent="0.3">
      <c r="A12" s="45">
        <v>42948</v>
      </c>
      <c r="B12" s="36">
        <v>16</v>
      </c>
      <c r="C12" s="36">
        <v>75</v>
      </c>
      <c r="D12" s="46">
        <v>22500.000000200002</v>
      </c>
    </row>
    <row r="13" spans="1:4" ht="16.5" customHeight="1" x14ac:dyDescent="0.3">
      <c r="A13" s="45">
        <v>42979</v>
      </c>
      <c r="B13" s="36">
        <v>23</v>
      </c>
      <c r="C13" s="36">
        <v>82</v>
      </c>
      <c r="D13" s="46">
        <v>24400</v>
      </c>
    </row>
    <row r="14" spans="1:4" ht="16.5" customHeight="1" x14ac:dyDescent="0.3">
      <c r="A14" s="45">
        <v>43009</v>
      </c>
      <c r="B14" s="36">
        <v>25</v>
      </c>
      <c r="C14" s="36">
        <v>68</v>
      </c>
      <c r="D14" s="46">
        <v>20700</v>
      </c>
    </row>
    <row r="15" spans="1:4" ht="16.5" customHeight="1" x14ac:dyDescent="0.3">
      <c r="A15" s="45">
        <v>43040</v>
      </c>
      <c r="B15" s="36">
        <v>27</v>
      </c>
      <c r="C15" s="36">
        <v>81</v>
      </c>
      <c r="D15" s="46">
        <v>24200</v>
      </c>
    </row>
    <row r="16" spans="1:4" ht="16.5" customHeight="1" x14ac:dyDescent="0.3">
      <c r="A16" s="45">
        <v>43070</v>
      </c>
      <c r="B16" s="36">
        <v>15</v>
      </c>
      <c r="C16" s="36">
        <v>47</v>
      </c>
      <c r="D16" s="46">
        <v>14700</v>
      </c>
    </row>
    <row r="17" spans="1:4" ht="16.5" customHeight="1" x14ac:dyDescent="0.3">
      <c r="A17" s="45">
        <v>43101</v>
      </c>
      <c r="B17" s="36">
        <v>27</v>
      </c>
      <c r="C17" s="36">
        <v>69</v>
      </c>
      <c r="D17" s="46">
        <v>20700</v>
      </c>
    </row>
    <row r="18" spans="1:4" ht="16.5" customHeight="1" x14ac:dyDescent="0.3">
      <c r="A18" s="45">
        <v>43132</v>
      </c>
      <c r="B18" s="36">
        <v>25</v>
      </c>
      <c r="C18" s="36">
        <v>96</v>
      </c>
      <c r="D18" s="46">
        <v>28800</v>
      </c>
    </row>
    <row r="19" spans="1:4" ht="16.5" customHeight="1" x14ac:dyDescent="0.3">
      <c r="A19" s="45">
        <v>43160</v>
      </c>
      <c r="B19" s="36">
        <v>24</v>
      </c>
      <c r="C19" s="36">
        <v>71</v>
      </c>
      <c r="D19" s="46">
        <v>21300</v>
      </c>
    </row>
    <row r="20" spans="1:4" ht="16.5" customHeight="1" x14ac:dyDescent="0.3">
      <c r="A20" s="45">
        <v>43191</v>
      </c>
      <c r="B20" s="36">
        <v>29</v>
      </c>
      <c r="C20" s="36">
        <v>82</v>
      </c>
      <c r="D20" s="46">
        <v>24600</v>
      </c>
    </row>
    <row r="21" spans="1:4" ht="16.5" customHeight="1" x14ac:dyDescent="0.3">
      <c r="A21" s="45">
        <v>43221</v>
      </c>
      <c r="B21" s="36">
        <v>31</v>
      </c>
      <c r="C21" s="36">
        <v>72</v>
      </c>
      <c r="D21" s="46">
        <v>21600</v>
      </c>
    </row>
    <row r="22" spans="1:4" ht="16.5" customHeight="1" x14ac:dyDescent="0.3">
      <c r="A22" s="47" t="s">
        <v>80</v>
      </c>
      <c r="B22" s="36">
        <v>31</v>
      </c>
      <c r="C22" s="36">
        <v>118</v>
      </c>
      <c r="D22" s="46">
        <v>35400</v>
      </c>
    </row>
    <row r="23" spans="1:4" ht="16.5" customHeight="1" x14ac:dyDescent="0.3">
      <c r="A23" s="45" t="s">
        <v>81</v>
      </c>
      <c r="B23" s="36">
        <v>26</v>
      </c>
      <c r="C23" s="36">
        <v>94</v>
      </c>
      <c r="D23" s="46">
        <v>31000.000000100001</v>
      </c>
    </row>
    <row r="24" spans="1:4" ht="16.5" customHeight="1" x14ac:dyDescent="0.3">
      <c r="A24" s="45">
        <v>43313</v>
      </c>
      <c r="B24" s="36">
        <v>42</v>
      </c>
      <c r="C24" s="36">
        <v>124</v>
      </c>
      <c r="D24" s="46">
        <v>60800</v>
      </c>
    </row>
    <row r="25" spans="1:4" ht="16.5" customHeight="1" x14ac:dyDescent="0.3">
      <c r="A25" s="45">
        <v>43344</v>
      </c>
      <c r="B25" s="36">
        <v>56</v>
      </c>
      <c r="C25" s="36">
        <v>172</v>
      </c>
      <c r="D25" s="46">
        <v>85576.27</v>
      </c>
    </row>
    <row r="26" spans="1:4" ht="16.5" customHeight="1" x14ac:dyDescent="0.3">
      <c r="A26" s="45">
        <v>43374</v>
      </c>
      <c r="B26" s="36">
        <v>84</v>
      </c>
      <c r="C26" s="36">
        <v>231</v>
      </c>
      <c r="D26" s="46">
        <v>115686.3636364</v>
      </c>
    </row>
    <row r="27" spans="1:4" ht="16.5" customHeight="1" x14ac:dyDescent="0.3">
      <c r="A27" s="45">
        <v>43405</v>
      </c>
      <c r="B27" s="36">
        <v>85</v>
      </c>
      <c r="C27" s="36">
        <v>285</v>
      </c>
      <c r="D27" s="46">
        <v>139376.48636360001</v>
      </c>
    </row>
    <row r="28" spans="1:4" ht="16.5" customHeight="1" x14ac:dyDescent="0.3">
      <c r="A28" s="45">
        <v>43435</v>
      </c>
      <c r="B28" s="36">
        <v>89</v>
      </c>
      <c r="C28" s="36">
        <v>242</v>
      </c>
      <c r="D28" s="46">
        <v>119322.55666669999</v>
      </c>
    </row>
    <row r="29" spans="1:4" ht="16.5" customHeight="1" x14ac:dyDescent="0.3">
      <c r="A29" s="45">
        <v>43466</v>
      </c>
      <c r="B29" s="36">
        <v>93</v>
      </c>
      <c r="C29" s="36">
        <v>321</v>
      </c>
      <c r="D29" s="46">
        <v>160833.33333329999</v>
      </c>
    </row>
    <row r="30" spans="1:4" ht="16.5" customHeight="1" x14ac:dyDescent="0.3">
      <c r="A30" s="45">
        <v>43497</v>
      </c>
      <c r="B30" s="36">
        <v>106</v>
      </c>
      <c r="C30" s="36">
        <v>302</v>
      </c>
      <c r="D30" s="46">
        <v>152384.61538430001</v>
      </c>
    </row>
    <row r="31" spans="1:4" ht="16.5" customHeight="1" x14ac:dyDescent="0.3">
      <c r="A31" s="45">
        <v>43525</v>
      </c>
      <c r="B31" s="36">
        <v>127</v>
      </c>
      <c r="C31" s="36">
        <v>451</v>
      </c>
      <c r="D31" s="46">
        <v>220615.38461469999</v>
      </c>
    </row>
    <row r="32" spans="1:4" ht="16.5" customHeight="1" x14ac:dyDescent="0.3">
      <c r="A32" s="45">
        <v>43556</v>
      </c>
      <c r="B32" s="36">
        <v>116</v>
      </c>
      <c r="C32" s="36">
        <v>303</v>
      </c>
      <c r="D32" s="46">
        <v>148333.33333349999</v>
      </c>
    </row>
    <row r="33" spans="1:4" ht="16.5" customHeight="1" x14ac:dyDescent="0.3">
      <c r="A33" s="45">
        <v>43586</v>
      </c>
      <c r="B33" s="36">
        <v>134</v>
      </c>
      <c r="C33" s="36">
        <v>274</v>
      </c>
      <c r="D33" s="46">
        <v>136166.66666670001</v>
      </c>
    </row>
    <row r="34" spans="1:4" ht="16.5" customHeight="1" x14ac:dyDescent="0.3">
      <c r="A34" s="47" t="s">
        <v>82</v>
      </c>
      <c r="B34" s="36">
        <v>112</v>
      </c>
      <c r="C34" s="36">
        <v>314</v>
      </c>
      <c r="D34" s="46">
        <v>156930.20000039999</v>
      </c>
    </row>
    <row r="35" spans="1:4" ht="16.5" customHeight="1" x14ac:dyDescent="0.3">
      <c r="A35" s="45" t="s">
        <v>83</v>
      </c>
      <c r="B35" s="36">
        <v>134</v>
      </c>
      <c r="C35" s="36">
        <v>386</v>
      </c>
      <c r="D35" s="46">
        <v>191422.22222200001</v>
      </c>
    </row>
    <row r="36" spans="1:4" ht="16.5" customHeight="1" x14ac:dyDescent="0.3">
      <c r="A36" s="45">
        <v>43678</v>
      </c>
      <c r="B36" s="36">
        <v>96</v>
      </c>
      <c r="C36" s="36">
        <v>283</v>
      </c>
      <c r="D36" s="46">
        <v>142111.1111109</v>
      </c>
    </row>
    <row r="37" spans="1:4" ht="16.5" customHeight="1" x14ac:dyDescent="0.3">
      <c r="A37" s="45">
        <v>43709</v>
      </c>
      <c r="B37" s="36">
        <v>127</v>
      </c>
      <c r="C37" s="36">
        <v>345</v>
      </c>
      <c r="D37" s="46">
        <v>171833.33333329999</v>
      </c>
    </row>
    <row r="38" spans="1:4" ht="16.5" customHeight="1" x14ac:dyDescent="0.3">
      <c r="A38" s="45">
        <v>43739</v>
      </c>
      <c r="B38" s="36">
        <v>182</v>
      </c>
      <c r="C38" s="36">
        <v>532</v>
      </c>
      <c r="D38" s="46">
        <v>264983.33333290002</v>
      </c>
    </row>
    <row r="39" spans="1:4" ht="16.5" customHeight="1" x14ac:dyDescent="0.3">
      <c r="A39" s="45">
        <v>43770</v>
      </c>
      <c r="B39" s="36">
        <v>197</v>
      </c>
      <c r="C39" s="36">
        <v>593</v>
      </c>
      <c r="D39" s="46">
        <v>296216.66666639998</v>
      </c>
    </row>
    <row r="40" spans="1:4" ht="16.5" customHeight="1" x14ac:dyDescent="0.3">
      <c r="A40" s="45">
        <v>43800</v>
      </c>
      <c r="B40" s="36">
        <v>155</v>
      </c>
      <c r="C40" s="36">
        <v>420</v>
      </c>
      <c r="D40" s="46">
        <v>209633.33333319999</v>
      </c>
    </row>
    <row r="41" spans="1:4" ht="16.5" customHeight="1" x14ac:dyDescent="0.3">
      <c r="A41" s="45">
        <v>43831</v>
      </c>
      <c r="B41" s="36">
        <v>176</v>
      </c>
      <c r="C41" s="36">
        <v>551</v>
      </c>
      <c r="D41" s="46">
        <v>274827.70000010001</v>
      </c>
    </row>
    <row r="42" spans="1:4" ht="16.5" customHeight="1" x14ac:dyDescent="0.3">
      <c r="A42" s="45">
        <v>43862</v>
      </c>
      <c r="B42" s="36">
        <v>217</v>
      </c>
      <c r="C42" s="36">
        <v>607</v>
      </c>
      <c r="D42" s="46">
        <v>300754.70000010001</v>
      </c>
    </row>
    <row r="43" spans="1:4" ht="16.5" customHeight="1" x14ac:dyDescent="0.3">
      <c r="A43" s="45">
        <v>43891</v>
      </c>
      <c r="B43" s="36">
        <v>269</v>
      </c>
      <c r="C43" s="36">
        <v>744</v>
      </c>
      <c r="D43" s="46">
        <v>371587.26000010001</v>
      </c>
    </row>
    <row r="44" spans="1:4" ht="16.5" customHeight="1" x14ac:dyDescent="0.3">
      <c r="A44" s="45">
        <v>43922</v>
      </c>
      <c r="B44" s="36">
        <v>42</v>
      </c>
      <c r="C44" s="36">
        <v>109</v>
      </c>
      <c r="D44" s="46">
        <v>53149.999999899999</v>
      </c>
    </row>
    <row r="45" spans="1:4" ht="16.5" customHeight="1" x14ac:dyDescent="0.3">
      <c r="A45" s="45">
        <v>43952</v>
      </c>
      <c r="B45" s="36">
        <v>93</v>
      </c>
      <c r="C45" s="36">
        <v>243</v>
      </c>
      <c r="D45" s="46">
        <v>111633.33333340001</v>
      </c>
    </row>
    <row r="46" spans="1:4" ht="16.5" customHeight="1" x14ac:dyDescent="0.3">
      <c r="A46" s="47" t="s">
        <v>84</v>
      </c>
      <c r="B46" s="36">
        <v>184</v>
      </c>
      <c r="C46" s="36">
        <v>545</v>
      </c>
      <c r="D46" s="46">
        <v>249725</v>
      </c>
    </row>
    <row r="47" spans="1:4" ht="16.5" customHeight="1" x14ac:dyDescent="0.3">
      <c r="A47" s="45" t="s">
        <v>85</v>
      </c>
      <c r="B47" s="36">
        <v>182</v>
      </c>
      <c r="C47" s="36">
        <v>458</v>
      </c>
      <c r="D47" s="46">
        <v>194826.4642857</v>
      </c>
    </row>
    <row r="48" spans="1:4" ht="16.5" customHeight="1" x14ac:dyDescent="0.3">
      <c r="A48" s="45">
        <v>44044</v>
      </c>
      <c r="B48" s="36">
        <v>152</v>
      </c>
      <c r="C48" s="36">
        <v>433</v>
      </c>
      <c r="D48" s="46">
        <v>182588.60904740001</v>
      </c>
    </row>
    <row r="49" spans="1:4" ht="16.5" customHeight="1" x14ac:dyDescent="0.3">
      <c r="A49" s="45">
        <v>44075</v>
      </c>
      <c r="B49" s="36">
        <v>192</v>
      </c>
      <c r="C49" s="36">
        <v>471</v>
      </c>
      <c r="D49" s="46">
        <v>184846.392857</v>
      </c>
    </row>
    <row r="50" spans="1:4" ht="16.5" customHeight="1" x14ac:dyDescent="0.3">
      <c r="A50" s="45">
        <v>44105</v>
      </c>
      <c r="B50" s="36">
        <v>271</v>
      </c>
      <c r="C50" s="36">
        <v>785</v>
      </c>
      <c r="D50" s="46">
        <v>300318.27380889998</v>
      </c>
    </row>
    <row r="51" spans="1:4" ht="16.5" customHeight="1" x14ac:dyDescent="0.3">
      <c r="A51" s="45">
        <v>44136</v>
      </c>
      <c r="B51" s="36">
        <v>257</v>
      </c>
      <c r="C51" s="36">
        <v>758</v>
      </c>
      <c r="D51" s="46">
        <v>272973.33333240001</v>
      </c>
    </row>
    <row r="52" spans="1:4" ht="16.5" customHeight="1" x14ac:dyDescent="0.3">
      <c r="A52" s="45">
        <v>44166</v>
      </c>
      <c r="B52" s="36">
        <v>242</v>
      </c>
      <c r="C52" s="36">
        <v>553</v>
      </c>
      <c r="D52" s="46">
        <v>195330.83333349999</v>
      </c>
    </row>
    <row r="53" spans="1:4" ht="16.5" customHeight="1" x14ac:dyDescent="0.3">
      <c r="A53" s="45">
        <v>44197</v>
      </c>
      <c r="B53" s="36">
        <v>251</v>
      </c>
      <c r="C53" s="36">
        <v>645</v>
      </c>
      <c r="D53" s="46">
        <v>225911.5384618</v>
      </c>
    </row>
    <row r="54" spans="1:4" ht="16.5" customHeight="1" x14ac:dyDescent="0.3">
      <c r="A54" s="45">
        <v>44228</v>
      </c>
      <c r="B54" s="36">
        <v>280</v>
      </c>
      <c r="C54" s="36">
        <v>728</v>
      </c>
      <c r="D54" s="46">
        <v>254700.50699250001</v>
      </c>
    </row>
    <row r="55" spans="1:4" ht="16.5" customHeight="1" x14ac:dyDescent="0.3">
      <c r="A55" s="45">
        <v>44256</v>
      </c>
      <c r="B55" s="36">
        <v>401</v>
      </c>
      <c r="C55" s="36">
        <v>1001</v>
      </c>
      <c r="D55" s="46">
        <v>357621.63299670001</v>
      </c>
    </row>
    <row r="56" spans="1:4" ht="16.5" customHeight="1" x14ac:dyDescent="0.3">
      <c r="A56" s="45">
        <v>44287</v>
      </c>
      <c r="B56" s="36">
        <v>325</v>
      </c>
      <c r="C56" s="36">
        <v>767</v>
      </c>
      <c r="D56" s="46">
        <v>268618.51851810003</v>
      </c>
    </row>
    <row r="57" spans="1:4" ht="16.5" customHeight="1" x14ac:dyDescent="0.3">
      <c r="A57" s="45">
        <v>44317</v>
      </c>
      <c r="B57" s="36">
        <v>343</v>
      </c>
      <c r="C57" s="36">
        <v>900</v>
      </c>
      <c r="D57" s="46">
        <v>314605.56818160001</v>
      </c>
    </row>
    <row r="58" spans="1:4" ht="16.5" customHeight="1" x14ac:dyDescent="0.3">
      <c r="A58" s="47" t="s">
        <v>86</v>
      </c>
      <c r="B58" s="36">
        <v>390</v>
      </c>
      <c r="C58" s="36">
        <v>990</v>
      </c>
      <c r="D58" s="46">
        <v>345788.14393949998</v>
      </c>
    </row>
    <row r="59" spans="1:4" ht="16.5" customHeight="1" x14ac:dyDescent="0.3">
      <c r="A59" s="45" t="s">
        <v>87</v>
      </c>
      <c r="B59" s="36">
        <v>359</v>
      </c>
      <c r="C59" s="36">
        <v>913</v>
      </c>
      <c r="D59" s="46">
        <v>322731.81818250002</v>
      </c>
    </row>
    <row r="60" spans="1:4" ht="16.5" customHeight="1" x14ac:dyDescent="0.3">
      <c r="A60" s="45">
        <v>44409</v>
      </c>
      <c r="B60" s="36">
        <v>339</v>
      </c>
      <c r="C60" s="36">
        <v>990</v>
      </c>
      <c r="D60" s="46">
        <v>347172.27272770001</v>
      </c>
    </row>
    <row r="61" spans="1:4" ht="16.5" customHeight="1" x14ac:dyDescent="0.3">
      <c r="A61" s="45">
        <v>44440</v>
      </c>
      <c r="B61" s="36">
        <v>341</v>
      </c>
      <c r="C61" s="36">
        <v>975</v>
      </c>
      <c r="D61" s="46">
        <v>341711.82692337001</v>
      </c>
    </row>
    <row r="62" spans="1:4" ht="16.5" customHeight="1" x14ac:dyDescent="0.3">
      <c r="A62" s="45">
        <v>44470</v>
      </c>
      <c r="B62" s="36">
        <v>397</v>
      </c>
      <c r="C62" s="36">
        <v>1001</v>
      </c>
      <c r="D62" s="46">
        <v>348497.47863272001</v>
      </c>
    </row>
    <row r="63" spans="1:4" ht="16.5" customHeight="1" x14ac:dyDescent="0.3">
      <c r="A63" s="45">
        <v>44501</v>
      </c>
      <c r="B63" s="36">
        <v>391</v>
      </c>
      <c r="C63" s="36">
        <v>1143</v>
      </c>
      <c r="D63" s="46">
        <v>399506.76136419998</v>
      </c>
    </row>
    <row r="64" spans="1:4" ht="16.5" customHeight="1" x14ac:dyDescent="0.3">
      <c r="A64" s="45">
        <v>44531</v>
      </c>
      <c r="B64" s="36">
        <v>377</v>
      </c>
      <c r="C64" s="36">
        <v>1057</v>
      </c>
      <c r="D64" s="46">
        <v>366870.59974849998</v>
      </c>
    </row>
    <row r="65" spans="1:4" ht="16.5" customHeight="1" x14ac:dyDescent="0.3">
      <c r="A65" s="45">
        <v>44562</v>
      </c>
      <c r="B65" s="36">
        <v>425</v>
      </c>
      <c r="C65" s="36">
        <v>1162</v>
      </c>
      <c r="D65" s="46">
        <v>390520.0000005</v>
      </c>
    </row>
    <row r="66" spans="1:4" ht="16.5" customHeight="1" x14ac:dyDescent="0.3">
      <c r="A66" s="45">
        <v>44593</v>
      </c>
      <c r="B66" s="36">
        <v>478</v>
      </c>
      <c r="C66" s="36">
        <v>1179</v>
      </c>
      <c r="D66" s="46">
        <v>415522.72727660002</v>
      </c>
    </row>
    <row r="67" spans="1:4" ht="16.5" customHeight="1" x14ac:dyDescent="0.3">
      <c r="A67" s="45">
        <v>44621</v>
      </c>
      <c r="B67" s="36">
        <v>643</v>
      </c>
      <c r="C67" s="36">
        <v>1916</v>
      </c>
      <c r="D67" s="46">
        <v>573229.77272875002</v>
      </c>
    </row>
    <row r="68" spans="1:4" ht="16.5" customHeight="1" x14ac:dyDescent="0.3">
      <c r="A68" s="45">
        <v>44652</v>
      </c>
      <c r="B68" s="36">
        <v>682</v>
      </c>
      <c r="C68" s="36">
        <v>1616</v>
      </c>
      <c r="D68" s="46">
        <v>548720.9999998</v>
      </c>
    </row>
    <row r="69" spans="1:4" ht="16.5" customHeight="1" x14ac:dyDescent="0.3">
      <c r="A69" s="45">
        <v>44682</v>
      </c>
      <c r="B69" s="36">
        <v>666</v>
      </c>
      <c r="C69" s="36">
        <v>1646</v>
      </c>
      <c r="D69" s="46">
        <v>561475.11110790004</v>
      </c>
    </row>
    <row r="70" spans="1:4" ht="16.5" customHeight="1" x14ac:dyDescent="0.3">
      <c r="A70" s="47" t="s">
        <v>88</v>
      </c>
      <c r="B70" s="36">
        <v>615</v>
      </c>
      <c r="C70" s="36">
        <v>1466</v>
      </c>
      <c r="D70" s="46">
        <v>524338.88888760004</v>
      </c>
    </row>
    <row r="71" spans="1:4" ht="16.5" customHeight="1" x14ac:dyDescent="0.3">
      <c r="A71" s="45" t="s">
        <v>89</v>
      </c>
      <c r="B71" s="36">
        <v>553</v>
      </c>
      <c r="C71" s="36">
        <v>1353</v>
      </c>
      <c r="D71" s="46">
        <v>465659.58333300002</v>
      </c>
    </row>
    <row r="72" spans="1:4" ht="16.5" customHeight="1" x14ac:dyDescent="0.3">
      <c r="A72" s="45">
        <v>44774</v>
      </c>
      <c r="B72" s="36">
        <v>496</v>
      </c>
      <c r="C72" s="36">
        <v>1262</v>
      </c>
      <c r="D72" s="46">
        <v>419908.05000049999</v>
      </c>
    </row>
    <row r="73" spans="1:4" ht="16.5" customHeight="1" x14ac:dyDescent="0.3">
      <c r="A73" s="45">
        <v>44805</v>
      </c>
      <c r="B73" s="36">
        <v>553</v>
      </c>
      <c r="C73" s="36">
        <v>1255</v>
      </c>
      <c r="D73" s="46">
        <v>435392.5000005</v>
      </c>
    </row>
    <row r="74" spans="1:4" ht="16.5" customHeight="1" x14ac:dyDescent="0.3">
      <c r="A74" s="45">
        <v>44835</v>
      </c>
      <c r="B74" s="36">
        <v>478</v>
      </c>
      <c r="C74" s="36">
        <v>1033</v>
      </c>
      <c r="D74" s="46">
        <v>361739.3799996</v>
      </c>
    </row>
    <row r="75" spans="1:4" ht="16.5" customHeight="1" x14ac:dyDescent="0.3">
      <c r="A75" s="45">
        <v>44866</v>
      </c>
      <c r="B75" s="36">
        <v>403</v>
      </c>
      <c r="C75" s="36">
        <v>777</v>
      </c>
      <c r="D75" s="46">
        <v>271362.50000100001</v>
      </c>
    </row>
    <row r="76" spans="1:4" ht="16.5" customHeight="1" x14ac:dyDescent="0.3">
      <c r="A76" s="45">
        <v>44896</v>
      </c>
      <c r="B76" s="36">
        <v>169</v>
      </c>
      <c r="C76" s="36">
        <v>382</v>
      </c>
      <c r="D76" s="46">
        <v>133652.5</v>
      </c>
    </row>
    <row r="77" spans="1:4" ht="16.5" customHeight="1" x14ac:dyDescent="0.3">
      <c r="A77" s="48" t="s">
        <v>72</v>
      </c>
      <c r="B77" s="49">
        <f>SUM(B4:B76)</f>
        <v>15021</v>
      </c>
      <c r="C77" s="49">
        <f>SUM(C4:C76)</f>
        <v>39492</v>
      </c>
      <c r="D77" s="50">
        <f>SUM(D4:D76)</f>
        <v>14913145.790001741</v>
      </c>
    </row>
    <row r="80" spans="1:4" ht="16.5" customHeight="1" x14ac:dyDescent="0.3">
      <c r="A80" s="47"/>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8231-073F-40EF-B4FB-906F69032687}">
  <dimension ref="A1:C429"/>
  <sheetViews>
    <sheetView workbookViewId="0">
      <selection activeCell="C358" sqref="C358"/>
    </sheetView>
  </sheetViews>
  <sheetFormatPr defaultColWidth="9.44140625" defaultRowHeight="13.8" x14ac:dyDescent="0.25"/>
  <cols>
    <col min="1" max="1" width="19.77734375" style="14" customWidth="1"/>
    <col min="2" max="2" width="37.5546875" style="14" customWidth="1"/>
    <col min="3" max="3" width="19.77734375" style="14" customWidth="1"/>
    <col min="4" max="4" width="9.44140625" style="14" customWidth="1"/>
    <col min="5" max="16384" width="9.44140625" style="14"/>
  </cols>
  <sheetData>
    <row r="1" spans="1:3" ht="19.2" x14ac:dyDescent="0.35">
      <c r="A1" s="28" t="s">
        <v>90</v>
      </c>
      <c r="B1" s="29"/>
    </row>
    <row r="2" spans="1:3" ht="15" x14ac:dyDescent="0.25">
      <c r="A2" s="30" t="s">
        <v>62</v>
      </c>
    </row>
    <row r="3" spans="1:3" ht="14.4" thickBot="1" x14ac:dyDescent="0.3">
      <c r="A3" s="52" t="s">
        <v>91</v>
      </c>
      <c r="B3" s="52" t="s">
        <v>92</v>
      </c>
      <c r="C3" s="53" t="s">
        <v>93</v>
      </c>
    </row>
    <row r="4" spans="1:3" x14ac:dyDescent="0.25">
      <c r="A4" s="54" t="s">
        <v>94</v>
      </c>
      <c r="B4" s="54" t="s">
        <v>95</v>
      </c>
      <c r="C4" s="55">
        <v>39492</v>
      </c>
    </row>
    <row r="5" spans="1:3" x14ac:dyDescent="0.25">
      <c r="A5" s="54" t="s">
        <v>96</v>
      </c>
      <c r="B5" s="56" t="s">
        <v>97</v>
      </c>
      <c r="C5" s="55">
        <v>38754</v>
      </c>
    </row>
    <row r="6" spans="1:3" x14ac:dyDescent="0.25">
      <c r="A6" s="57" t="s">
        <v>98</v>
      </c>
      <c r="B6" s="58" t="s">
        <v>99</v>
      </c>
      <c r="C6" s="59">
        <v>34837</v>
      </c>
    </row>
    <row r="7" spans="1:3" x14ac:dyDescent="0.25">
      <c r="A7" s="54" t="s">
        <v>100</v>
      </c>
      <c r="B7" s="56" t="s">
        <v>101</v>
      </c>
      <c r="C7" s="55">
        <v>1766</v>
      </c>
    </row>
    <row r="8" spans="1:3" x14ac:dyDescent="0.25">
      <c r="A8" s="60" t="s">
        <v>102</v>
      </c>
      <c r="B8" s="61" t="s">
        <v>103</v>
      </c>
      <c r="C8" s="62">
        <v>353</v>
      </c>
    </row>
    <row r="9" spans="1:3" x14ac:dyDescent="0.25">
      <c r="A9" s="60" t="s">
        <v>104</v>
      </c>
      <c r="B9" s="61" t="s">
        <v>105</v>
      </c>
      <c r="C9" s="62">
        <v>101</v>
      </c>
    </row>
    <row r="10" spans="1:3" x14ac:dyDescent="0.25">
      <c r="A10" s="60" t="s">
        <v>106</v>
      </c>
      <c r="B10" s="61" t="s">
        <v>107</v>
      </c>
      <c r="C10" s="62">
        <v>43</v>
      </c>
    </row>
    <row r="11" spans="1:3" x14ac:dyDescent="0.25">
      <c r="A11" s="36" t="s">
        <v>108</v>
      </c>
      <c r="B11" s="61" t="s">
        <v>109</v>
      </c>
      <c r="C11" s="62">
        <v>86</v>
      </c>
    </row>
    <row r="12" spans="1:3" x14ac:dyDescent="0.25">
      <c r="A12" s="36" t="s">
        <v>110</v>
      </c>
      <c r="B12" s="61" t="s">
        <v>111</v>
      </c>
      <c r="C12" s="62">
        <v>224</v>
      </c>
    </row>
    <row r="13" spans="1:3" x14ac:dyDescent="0.25">
      <c r="A13" s="36" t="s">
        <v>112</v>
      </c>
      <c r="B13" s="61" t="s">
        <v>113</v>
      </c>
      <c r="C13" s="62">
        <v>36</v>
      </c>
    </row>
    <row r="14" spans="1:3" x14ac:dyDescent="0.25">
      <c r="A14" s="36" t="s">
        <v>114</v>
      </c>
      <c r="B14" s="61" t="s">
        <v>115</v>
      </c>
      <c r="C14" s="62">
        <v>225</v>
      </c>
    </row>
    <row r="15" spans="1:3" x14ac:dyDescent="0.25">
      <c r="A15" s="36" t="s">
        <v>116</v>
      </c>
      <c r="B15" s="56" t="s">
        <v>117</v>
      </c>
      <c r="C15" s="55">
        <v>698</v>
      </c>
    </row>
    <row r="16" spans="1:3" x14ac:dyDescent="0.25">
      <c r="A16" s="60" t="s">
        <v>118</v>
      </c>
      <c r="B16" s="61" t="s">
        <v>119</v>
      </c>
      <c r="C16" s="62">
        <v>145</v>
      </c>
    </row>
    <row r="17" spans="1:3" x14ac:dyDescent="0.25">
      <c r="A17" s="36" t="s">
        <v>120</v>
      </c>
      <c r="B17" s="61" t="s">
        <v>121</v>
      </c>
      <c r="C17" s="62">
        <v>150</v>
      </c>
    </row>
    <row r="18" spans="1:3" x14ac:dyDescent="0.25">
      <c r="A18" s="36" t="s">
        <v>122</v>
      </c>
      <c r="B18" s="61" t="s">
        <v>123</v>
      </c>
      <c r="C18" s="62">
        <v>133</v>
      </c>
    </row>
    <row r="19" spans="1:3" x14ac:dyDescent="0.25">
      <c r="A19" s="60" t="s">
        <v>124</v>
      </c>
      <c r="B19" s="61" t="s">
        <v>125</v>
      </c>
      <c r="C19" s="62">
        <v>96</v>
      </c>
    </row>
    <row r="20" spans="1:3" x14ac:dyDescent="0.25">
      <c r="A20" s="63" t="s">
        <v>126</v>
      </c>
      <c r="B20" s="64" t="s">
        <v>127</v>
      </c>
      <c r="C20" s="65">
        <v>174</v>
      </c>
    </row>
    <row r="21" spans="1:3" x14ac:dyDescent="0.25">
      <c r="A21" s="54" t="s">
        <v>128</v>
      </c>
      <c r="B21" s="56" t="s">
        <v>129</v>
      </c>
      <c r="C21" s="55">
        <v>4515</v>
      </c>
    </row>
    <row r="22" spans="1:3" x14ac:dyDescent="0.25">
      <c r="A22" s="60" t="s">
        <v>130</v>
      </c>
      <c r="B22" s="61" t="s">
        <v>131</v>
      </c>
      <c r="C22" s="62">
        <v>80</v>
      </c>
    </row>
    <row r="23" spans="1:3" x14ac:dyDescent="0.25">
      <c r="A23" s="60" t="s">
        <v>132</v>
      </c>
      <c r="B23" s="61" t="s">
        <v>133</v>
      </c>
      <c r="C23" s="62">
        <v>65</v>
      </c>
    </row>
    <row r="24" spans="1:3" x14ac:dyDescent="0.25">
      <c r="A24" s="60" t="s">
        <v>134</v>
      </c>
      <c r="B24" s="61" t="s">
        <v>135</v>
      </c>
      <c r="C24" s="62">
        <v>241</v>
      </c>
    </row>
    <row r="25" spans="1:3" x14ac:dyDescent="0.25">
      <c r="A25" s="36" t="s">
        <v>136</v>
      </c>
      <c r="B25" s="61" t="s">
        <v>137</v>
      </c>
      <c r="C25" s="62">
        <v>315</v>
      </c>
    </row>
    <row r="26" spans="1:3" x14ac:dyDescent="0.25">
      <c r="A26" s="36" t="s">
        <v>138</v>
      </c>
      <c r="B26" s="61" t="s">
        <v>139</v>
      </c>
      <c r="C26" s="62">
        <v>107</v>
      </c>
    </row>
    <row r="27" spans="1:3" x14ac:dyDescent="0.25">
      <c r="A27" s="36" t="s">
        <v>140</v>
      </c>
      <c r="B27" s="61" t="s">
        <v>141</v>
      </c>
      <c r="C27" s="62">
        <v>283</v>
      </c>
    </row>
    <row r="28" spans="1:3" x14ac:dyDescent="0.25">
      <c r="A28" s="36" t="s">
        <v>142</v>
      </c>
      <c r="B28" s="61" t="s">
        <v>143</v>
      </c>
      <c r="C28" s="55">
        <v>263</v>
      </c>
    </row>
    <row r="29" spans="1:3" x14ac:dyDescent="0.25">
      <c r="A29" s="36" t="s">
        <v>144</v>
      </c>
      <c r="B29" s="56" t="s">
        <v>145</v>
      </c>
      <c r="C29" s="62">
        <v>36</v>
      </c>
    </row>
    <row r="30" spans="1:3" x14ac:dyDescent="0.25">
      <c r="A30" s="60" t="s">
        <v>146</v>
      </c>
      <c r="B30" s="61" t="s">
        <v>147</v>
      </c>
      <c r="C30" s="62">
        <v>19</v>
      </c>
    </row>
    <row r="31" spans="1:3" x14ac:dyDescent="0.25">
      <c r="A31" s="36" t="s">
        <v>148</v>
      </c>
      <c r="B31" s="61" t="s">
        <v>149</v>
      </c>
      <c r="C31" s="62">
        <v>79</v>
      </c>
    </row>
    <row r="32" spans="1:3" x14ac:dyDescent="0.25">
      <c r="A32" s="36" t="s">
        <v>150</v>
      </c>
      <c r="B32" s="61" t="s">
        <v>151</v>
      </c>
      <c r="C32" s="62">
        <v>14</v>
      </c>
    </row>
    <row r="33" spans="1:3" x14ac:dyDescent="0.25">
      <c r="A33" s="60" t="s">
        <v>152</v>
      </c>
      <c r="B33" s="61" t="s">
        <v>153</v>
      </c>
      <c r="C33" s="62">
        <v>30</v>
      </c>
    </row>
    <row r="34" spans="1:3" x14ac:dyDescent="0.25">
      <c r="A34" s="36" t="s">
        <v>154</v>
      </c>
      <c r="B34" s="61" t="s">
        <v>155</v>
      </c>
      <c r="C34" s="62">
        <v>85</v>
      </c>
    </row>
    <row r="35" spans="1:3" x14ac:dyDescent="0.25">
      <c r="A35" s="60" t="s">
        <v>156</v>
      </c>
      <c r="B35" s="66" t="s">
        <v>157</v>
      </c>
      <c r="C35" s="55">
        <v>1797</v>
      </c>
    </row>
    <row r="36" spans="1:3" x14ac:dyDescent="0.25">
      <c r="A36" s="60" t="s">
        <v>158</v>
      </c>
      <c r="B36" s="61" t="s">
        <v>159</v>
      </c>
      <c r="C36" s="62">
        <v>132</v>
      </c>
    </row>
    <row r="37" spans="1:3" x14ac:dyDescent="0.25">
      <c r="A37" s="36" t="s">
        <v>160</v>
      </c>
      <c r="B37" s="61" t="s">
        <v>161</v>
      </c>
      <c r="C37" s="62">
        <v>133</v>
      </c>
    </row>
    <row r="38" spans="1:3" x14ac:dyDescent="0.25">
      <c r="A38" s="36" t="s">
        <v>162</v>
      </c>
      <c r="B38" s="61" t="s">
        <v>163</v>
      </c>
      <c r="C38" s="62">
        <v>267</v>
      </c>
    </row>
    <row r="39" spans="1:3" x14ac:dyDescent="0.25">
      <c r="A39" s="60" t="s">
        <v>164</v>
      </c>
      <c r="B39" s="61" t="s">
        <v>165</v>
      </c>
      <c r="C39" s="62">
        <v>138</v>
      </c>
    </row>
    <row r="40" spans="1:3" x14ac:dyDescent="0.25">
      <c r="A40" s="36" t="s">
        <v>166</v>
      </c>
      <c r="B40" s="61" t="s">
        <v>167</v>
      </c>
      <c r="C40" s="62">
        <v>158</v>
      </c>
    </row>
    <row r="41" spans="1:3" x14ac:dyDescent="0.25">
      <c r="A41" s="60" t="s">
        <v>168</v>
      </c>
      <c r="B41" s="61" t="s">
        <v>169</v>
      </c>
      <c r="C41" s="62">
        <v>203</v>
      </c>
    </row>
    <row r="42" spans="1:3" x14ac:dyDescent="0.25">
      <c r="A42" s="36" t="s">
        <v>170</v>
      </c>
      <c r="B42" s="61" t="s">
        <v>171</v>
      </c>
      <c r="C42" s="62">
        <v>211</v>
      </c>
    </row>
    <row r="43" spans="1:3" x14ac:dyDescent="0.25">
      <c r="A43" s="36" t="s">
        <v>172</v>
      </c>
      <c r="B43" s="61" t="s">
        <v>173</v>
      </c>
      <c r="C43" s="62">
        <v>129</v>
      </c>
    </row>
    <row r="44" spans="1:3" x14ac:dyDescent="0.25">
      <c r="A44" s="60" t="s">
        <v>174</v>
      </c>
      <c r="B44" s="61" t="s">
        <v>175</v>
      </c>
      <c r="C44" s="62">
        <v>256</v>
      </c>
    </row>
    <row r="45" spans="1:3" x14ac:dyDescent="0.25">
      <c r="A45" s="36" t="s">
        <v>176</v>
      </c>
      <c r="B45" s="61" t="s">
        <v>177</v>
      </c>
      <c r="C45" s="62">
        <v>170</v>
      </c>
    </row>
    <row r="46" spans="1:3" x14ac:dyDescent="0.25">
      <c r="A46" s="60" t="s">
        <v>178</v>
      </c>
      <c r="B46" s="66" t="s">
        <v>179</v>
      </c>
      <c r="C46" s="55">
        <v>832</v>
      </c>
    </row>
    <row r="47" spans="1:3" x14ac:dyDescent="0.25">
      <c r="A47" s="60" t="s">
        <v>180</v>
      </c>
      <c r="B47" s="61" t="s">
        <v>181</v>
      </c>
      <c r="C47" s="62">
        <v>38</v>
      </c>
    </row>
    <row r="48" spans="1:3" x14ac:dyDescent="0.25">
      <c r="A48" s="36" t="s">
        <v>182</v>
      </c>
      <c r="B48" s="61" t="s">
        <v>183</v>
      </c>
      <c r="C48" s="62">
        <v>82</v>
      </c>
    </row>
    <row r="49" spans="1:3" x14ac:dyDescent="0.25">
      <c r="A49" s="36" t="s">
        <v>184</v>
      </c>
      <c r="B49" s="61" t="s">
        <v>185</v>
      </c>
      <c r="C49" s="62">
        <v>41</v>
      </c>
    </row>
    <row r="50" spans="1:3" x14ac:dyDescent="0.25">
      <c r="A50" s="60" t="s">
        <v>186</v>
      </c>
      <c r="B50" s="61" t="s">
        <v>187</v>
      </c>
      <c r="C50" s="62">
        <v>77</v>
      </c>
    </row>
    <row r="51" spans="1:3" x14ac:dyDescent="0.25">
      <c r="A51" s="36" t="s">
        <v>188</v>
      </c>
      <c r="B51" s="61" t="s">
        <v>189</v>
      </c>
      <c r="C51" s="62">
        <v>85</v>
      </c>
    </row>
    <row r="52" spans="1:3" x14ac:dyDescent="0.25">
      <c r="A52" s="60" t="s">
        <v>190</v>
      </c>
      <c r="B52" s="61" t="s">
        <v>191</v>
      </c>
      <c r="C52" s="62">
        <v>51</v>
      </c>
    </row>
    <row r="53" spans="1:3" x14ac:dyDescent="0.25">
      <c r="A53" s="36" t="s">
        <v>192</v>
      </c>
      <c r="B53" s="61" t="s">
        <v>193</v>
      </c>
      <c r="C53" s="62">
        <v>113</v>
      </c>
    </row>
    <row r="54" spans="1:3" x14ac:dyDescent="0.25">
      <c r="A54" s="36" t="s">
        <v>194</v>
      </c>
      <c r="B54" s="61" t="s">
        <v>195</v>
      </c>
      <c r="C54" s="62">
        <v>32</v>
      </c>
    </row>
    <row r="55" spans="1:3" x14ac:dyDescent="0.25">
      <c r="A55" s="60" t="s">
        <v>196</v>
      </c>
      <c r="B55" s="61" t="s">
        <v>197</v>
      </c>
      <c r="C55" s="62">
        <v>66</v>
      </c>
    </row>
    <row r="56" spans="1:3" x14ac:dyDescent="0.25">
      <c r="A56" s="36" t="s">
        <v>198</v>
      </c>
      <c r="B56" s="61" t="s">
        <v>199</v>
      </c>
      <c r="C56" s="62">
        <v>107</v>
      </c>
    </row>
    <row r="57" spans="1:3" x14ac:dyDescent="0.25">
      <c r="A57" s="60" t="s">
        <v>200</v>
      </c>
      <c r="B57" s="61" t="s">
        <v>201</v>
      </c>
      <c r="C57" s="62">
        <v>100</v>
      </c>
    </row>
    <row r="58" spans="1:3" x14ac:dyDescent="0.25">
      <c r="A58" s="36" t="s">
        <v>202</v>
      </c>
      <c r="B58" s="61" t="s">
        <v>203</v>
      </c>
      <c r="C58" s="62">
        <v>40</v>
      </c>
    </row>
    <row r="59" spans="1:3" x14ac:dyDescent="0.25">
      <c r="A59" s="60" t="s">
        <v>204</v>
      </c>
      <c r="B59" s="66" t="s">
        <v>205</v>
      </c>
      <c r="C59" s="55">
        <v>532</v>
      </c>
    </row>
    <row r="60" spans="1:3" x14ac:dyDescent="0.25">
      <c r="A60" s="60" t="s">
        <v>206</v>
      </c>
      <c r="B60" s="61" t="s">
        <v>207</v>
      </c>
      <c r="C60" s="62">
        <v>49</v>
      </c>
    </row>
    <row r="61" spans="1:3" x14ac:dyDescent="0.25">
      <c r="A61" s="36" t="s">
        <v>208</v>
      </c>
      <c r="B61" s="61" t="s">
        <v>209</v>
      </c>
      <c r="C61" s="62">
        <v>173</v>
      </c>
    </row>
    <row r="62" spans="1:3" x14ac:dyDescent="0.25">
      <c r="A62" s="36" t="s">
        <v>210</v>
      </c>
      <c r="B62" s="61" t="s">
        <v>211</v>
      </c>
      <c r="C62" s="62">
        <v>58</v>
      </c>
    </row>
    <row r="63" spans="1:3" x14ac:dyDescent="0.25">
      <c r="A63" s="60" t="s">
        <v>212</v>
      </c>
      <c r="B63" s="61" t="s">
        <v>213</v>
      </c>
      <c r="C63" s="62">
        <v>123</v>
      </c>
    </row>
    <row r="64" spans="1:3" x14ac:dyDescent="0.25">
      <c r="A64" s="63" t="s">
        <v>214</v>
      </c>
      <c r="B64" s="64" t="s">
        <v>215</v>
      </c>
      <c r="C64" s="67">
        <v>129</v>
      </c>
    </row>
    <row r="65" spans="1:3" x14ac:dyDescent="0.25">
      <c r="A65" s="54" t="s">
        <v>216</v>
      </c>
      <c r="B65" s="66" t="s">
        <v>217</v>
      </c>
      <c r="C65" s="55">
        <v>4100</v>
      </c>
    </row>
    <row r="66" spans="1:3" x14ac:dyDescent="0.25">
      <c r="A66" s="60" t="s">
        <v>218</v>
      </c>
      <c r="B66" s="61" t="s">
        <v>219</v>
      </c>
      <c r="C66" s="68">
        <v>209</v>
      </c>
    </row>
    <row r="67" spans="1:3" x14ac:dyDescent="0.25">
      <c r="A67" s="36" t="s">
        <v>220</v>
      </c>
      <c r="B67" s="61" t="s">
        <v>221</v>
      </c>
      <c r="C67" s="68">
        <v>192</v>
      </c>
    </row>
    <row r="68" spans="1:3" x14ac:dyDescent="0.25">
      <c r="A68" s="36" t="s">
        <v>222</v>
      </c>
      <c r="B68" s="61" t="s">
        <v>223</v>
      </c>
      <c r="C68" s="68">
        <v>130</v>
      </c>
    </row>
    <row r="69" spans="1:3" x14ac:dyDescent="0.25">
      <c r="A69" s="60" t="s">
        <v>224</v>
      </c>
      <c r="B69" s="61" t="s">
        <v>225</v>
      </c>
      <c r="C69" s="68">
        <v>89</v>
      </c>
    </row>
    <row r="70" spans="1:3" x14ac:dyDescent="0.25">
      <c r="A70" s="36" t="s">
        <v>226</v>
      </c>
      <c r="B70" s="61" t="s">
        <v>227</v>
      </c>
      <c r="C70" s="68">
        <v>135</v>
      </c>
    </row>
    <row r="71" spans="1:3" x14ac:dyDescent="0.25">
      <c r="A71" s="60" t="s">
        <v>228</v>
      </c>
      <c r="B71" s="66" t="s">
        <v>229</v>
      </c>
      <c r="C71" s="55">
        <v>528</v>
      </c>
    </row>
    <row r="72" spans="1:3" x14ac:dyDescent="0.25">
      <c r="A72" s="60" t="s">
        <v>230</v>
      </c>
      <c r="B72" s="61" t="s">
        <v>231</v>
      </c>
      <c r="C72" s="68">
        <v>64</v>
      </c>
    </row>
    <row r="73" spans="1:3" x14ac:dyDescent="0.25">
      <c r="A73" s="36" t="s">
        <v>232</v>
      </c>
      <c r="B73" s="61" t="s">
        <v>233</v>
      </c>
      <c r="C73" s="68">
        <v>93</v>
      </c>
    </row>
    <row r="74" spans="1:3" x14ac:dyDescent="0.25">
      <c r="A74" s="36" t="s">
        <v>234</v>
      </c>
      <c r="B74" s="61" t="s">
        <v>235</v>
      </c>
      <c r="C74" s="68">
        <v>161</v>
      </c>
    </row>
    <row r="75" spans="1:3" x14ac:dyDescent="0.25">
      <c r="A75" s="60" t="s">
        <v>236</v>
      </c>
      <c r="B75" s="61" t="s">
        <v>237</v>
      </c>
      <c r="C75" s="68">
        <v>63</v>
      </c>
    </row>
    <row r="76" spans="1:3" x14ac:dyDescent="0.25">
      <c r="A76" s="36" t="s">
        <v>238</v>
      </c>
      <c r="B76" s="61" t="s">
        <v>239</v>
      </c>
      <c r="C76" s="68">
        <v>60</v>
      </c>
    </row>
    <row r="77" spans="1:3" x14ac:dyDescent="0.25">
      <c r="A77" s="60" t="s">
        <v>240</v>
      </c>
      <c r="B77" s="61" t="s">
        <v>241</v>
      </c>
      <c r="C77" s="68">
        <v>31</v>
      </c>
    </row>
    <row r="78" spans="1:3" x14ac:dyDescent="0.25">
      <c r="A78" s="36" t="s">
        <v>242</v>
      </c>
      <c r="B78" s="61" t="s">
        <v>243</v>
      </c>
      <c r="C78" s="68">
        <v>56</v>
      </c>
    </row>
    <row r="79" spans="1:3" x14ac:dyDescent="0.25">
      <c r="A79" s="60" t="s">
        <v>244</v>
      </c>
      <c r="B79" s="66" t="s">
        <v>245</v>
      </c>
      <c r="C79" s="55">
        <v>915</v>
      </c>
    </row>
    <row r="80" spans="1:3" x14ac:dyDescent="0.25">
      <c r="A80" s="60" t="s">
        <v>246</v>
      </c>
      <c r="B80" s="61" t="s">
        <v>247</v>
      </c>
      <c r="C80" s="68">
        <v>189</v>
      </c>
    </row>
    <row r="81" spans="1:3" x14ac:dyDescent="0.25">
      <c r="A81" s="36" t="s">
        <v>248</v>
      </c>
      <c r="B81" s="61" t="s">
        <v>249</v>
      </c>
      <c r="C81" s="68">
        <v>160</v>
      </c>
    </row>
    <row r="82" spans="1:3" x14ac:dyDescent="0.25">
      <c r="A82" s="36" t="s">
        <v>250</v>
      </c>
      <c r="B82" s="61" t="s">
        <v>251</v>
      </c>
      <c r="C82" s="68">
        <v>181</v>
      </c>
    </row>
    <row r="83" spans="1:3" x14ac:dyDescent="0.25">
      <c r="A83" s="60" t="s">
        <v>252</v>
      </c>
      <c r="B83" s="61" t="s">
        <v>253</v>
      </c>
      <c r="C83" s="68">
        <v>385</v>
      </c>
    </row>
    <row r="84" spans="1:3" x14ac:dyDescent="0.25">
      <c r="A84" s="60" t="s">
        <v>254</v>
      </c>
      <c r="B84" s="66" t="s">
        <v>255</v>
      </c>
      <c r="C84" s="55">
        <v>1902</v>
      </c>
    </row>
    <row r="85" spans="1:3" x14ac:dyDescent="0.25">
      <c r="A85" s="60" t="s">
        <v>256</v>
      </c>
      <c r="B85" s="61" t="s">
        <v>257</v>
      </c>
      <c r="C85" s="68">
        <v>301</v>
      </c>
    </row>
    <row r="86" spans="1:3" x14ac:dyDescent="0.25">
      <c r="A86" s="36" t="s">
        <v>258</v>
      </c>
      <c r="B86" s="61" t="s">
        <v>259</v>
      </c>
      <c r="C86" s="68">
        <v>224</v>
      </c>
    </row>
    <row r="87" spans="1:3" x14ac:dyDescent="0.25">
      <c r="A87" s="36" t="s">
        <v>260</v>
      </c>
      <c r="B87" s="61" t="s">
        <v>261</v>
      </c>
      <c r="C87" s="68">
        <v>305</v>
      </c>
    </row>
    <row r="88" spans="1:3" x14ac:dyDescent="0.25">
      <c r="A88" s="60" t="s">
        <v>262</v>
      </c>
      <c r="B88" s="61" t="s">
        <v>263</v>
      </c>
      <c r="C88" s="68">
        <v>769</v>
      </c>
    </row>
    <row r="89" spans="1:3" x14ac:dyDescent="0.25">
      <c r="A89" s="63" t="s">
        <v>264</v>
      </c>
      <c r="B89" s="64" t="s">
        <v>265</v>
      </c>
      <c r="C89" s="67">
        <v>303</v>
      </c>
    </row>
    <row r="90" spans="1:3" x14ac:dyDescent="0.25">
      <c r="A90" s="54" t="s">
        <v>266</v>
      </c>
      <c r="B90" s="66" t="s">
        <v>267</v>
      </c>
      <c r="C90" s="55">
        <v>3704</v>
      </c>
    </row>
    <row r="91" spans="1:3" x14ac:dyDescent="0.25">
      <c r="A91" s="60" t="s">
        <v>268</v>
      </c>
      <c r="B91" s="61" t="s">
        <v>269</v>
      </c>
      <c r="C91" s="68">
        <v>164</v>
      </c>
    </row>
    <row r="92" spans="1:3" x14ac:dyDescent="0.25">
      <c r="A92" s="36" t="s">
        <v>270</v>
      </c>
      <c r="B92" s="61" t="s">
        <v>271</v>
      </c>
      <c r="C92" s="68">
        <v>150</v>
      </c>
    </row>
    <row r="93" spans="1:3" x14ac:dyDescent="0.25">
      <c r="A93" s="36" t="s">
        <v>272</v>
      </c>
      <c r="B93" s="61" t="s">
        <v>273</v>
      </c>
      <c r="C93" s="68">
        <v>386</v>
      </c>
    </row>
    <row r="94" spans="1:3" x14ac:dyDescent="0.25">
      <c r="A94" s="60" t="s">
        <v>274</v>
      </c>
      <c r="B94" s="61" t="s">
        <v>275</v>
      </c>
      <c r="C94" s="68">
        <v>176</v>
      </c>
    </row>
    <row r="95" spans="1:3" x14ac:dyDescent="0.25">
      <c r="A95" s="36" t="s">
        <v>276</v>
      </c>
      <c r="B95" s="61" t="s">
        <v>277</v>
      </c>
      <c r="C95" s="68">
        <v>45</v>
      </c>
    </row>
    <row r="96" spans="1:3" x14ac:dyDescent="0.25">
      <c r="A96" s="60" t="s">
        <v>278</v>
      </c>
      <c r="B96" s="61" t="s">
        <v>279</v>
      </c>
      <c r="C96" s="68">
        <v>450</v>
      </c>
    </row>
    <row r="97" spans="1:3" x14ac:dyDescent="0.25">
      <c r="A97" s="60" t="s">
        <v>280</v>
      </c>
      <c r="B97" s="66" t="s">
        <v>281</v>
      </c>
      <c r="C97" s="55">
        <v>573</v>
      </c>
    </row>
    <row r="98" spans="1:3" x14ac:dyDescent="0.25">
      <c r="A98" s="60" t="s">
        <v>282</v>
      </c>
      <c r="B98" s="61" t="s">
        <v>283</v>
      </c>
      <c r="C98" s="68">
        <v>121</v>
      </c>
    </row>
    <row r="99" spans="1:3" x14ac:dyDescent="0.25">
      <c r="A99" s="36" t="s">
        <v>284</v>
      </c>
      <c r="B99" s="61" t="s">
        <v>285</v>
      </c>
      <c r="C99" s="68">
        <v>75</v>
      </c>
    </row>
    <row r="100" spans="1:3" x14ac:dyDescent="0.25">
      <c r="A100" s="36" t="s">
        <v>286</v>
      </c>
      <c r="B100" s="61" t="s">
        <v>287</v>
      </c>
      <c r="C100" s="68">
        <v>102</v>
      </c>
    </row>
    <row r="101" spans="1:3" x14ac:dyDescent="0.25">
      <c r="A101" s="60" t="s">
        <v>288</v>
      </c>
      <c r="B101" s="61" t="s">
        <v>289</v>
      </c>
      <c r="C101" s="68">
        <v>45</v>
      </c>
    </row>
    <row r="102" spans="1:3" x14ac:dyDescent="0.25">
      <c r="A102" s="36" t="s">
        <v>290</v>
      </c>
      <c r="B102" s="61" t="s">
        <v>291</v>
      </c>
      <c r="C102" s="68">
        <v>66</v>
      </c>
    </row>
    <row r="103" spans="1:3" x14ac:dyDescent="0.25">
      <c r="A103" s="60" t="s">
        <v>292</v>
      </c>
      <c r="B103" s="61" t="s">
        <v>293</v>
      </c>
      <c r="C103" s="68">
        <v>40</v>
      </c>
    </row>
    <row r="104" spans="1:3" x14ac:dyDescent="0.25">
      <c r="A104" s="36" t="s">
        <v>294</v>
      </c>
      <c r="B104" s="61" t="s">
        <v>295</v>
      </c>
      <c r="C104" s="68">
        <v>76</v>
      </c>
    </row>
    <row r="105" spans="1:3" x14ac:dyDescent="0.25">
      <c r="A105" s="60" t="s">
        <v>296</v>
      </c>
      <c r="B105" s="61" t="s">
        <v>297</v>
      </c>
      <c r="C105" s="68">
        <v>48</v>
      </c>
    </row>
    <row r="106" spans="1:3" x14ac:dyDescent="0.25">
      <c r="A106" s="60" t="s">
        <v>298</v>
      </c>
      <c r="B106" s="66" t="s">
        <v>299</v>
      </c>
      <c r="C106" s="55">
        <v>696</v>
      </c>
    </row>
    <row r="107" spans="1:3" x14ac:dyDescent="0.25">
      <c r="A107" s="60" t="s">
        <v>300</v>
      </c>
      <c r="B107" s="61" t="s">
        <v>301</v>
      </c>
      <c r="C107" s="68">
        <v>153</v>
      </c>
    </row>
    <row r="108" spans="1:3" x14ac:dyDescent="0.25">
      <c r="A108" s="36" t="s">
        <v>302</v>
      </c>
      <c r="B108" s="61" t="s">
        <v>303</v>
      </c>
      <c r="C108" s="68">
        <v>108</v>
      </c>
    </row>
    <row r="109" spans="1:3" x14ac:dyDescent="0.25">
      <c r="A109" s="36" t="s">
        <v>304</v>
      </c>
      <c r="B109" s="61" t="s">
        <v>305</v>
      </c>
      <c r="C109" s="68">
        <v>87</v>
      </c>
    </row>
    <row r="110" spans="1:3" x14ac:dyDescent="0.25">
      <c r="A110" s="60" t="s">
        <v>306</v>
      </c>
      <c r="B110" s="61" t="s">
        <v>307</v>
      </c>
      <c r="C110" s="68">
        <v>80</v>
      </c>
    </row>
    <row r="111" spans="1:3" x14ac:dyDescent="0.25">
      <c r="A111" s="36" t="s">
        <v>308</v>
      </c>
      <c r="B111" s="61" t="s">
        <v>309</v>
      </c>
      <c r="C111" s="68">
        <v>18</v>
      </c>
    </row>
    <row r="112" spans="1:3" x14ac:dyDescent="0.25">
      <c r="A112" s="60" t="s">
        <v>310</v>
      </c>
      <c r="B112" s="61" t="s">
        <v>311</v>
      </c>
      <c r="C112" s="68">
        <v>220</v>
      </c>
    </row>
    <row r="113" spans="1:3" x14ac:dyDescent="0.25">
      <c r="A113" s="36" t="s">
        <v>312</v>
      </c>
      <c r="B113" s="61" t="s">
        <v>313</v>
      </c>
      <c r="C113" s="68">
        <v>30</v>
      </c>
    </row>
    <row r="114" spans="1:3" x14ac:dyDescent="0.25">
      <c r="A114" s="60" t="s">
        <v>314</v>
      </c>
      <c r="B114" s="66" t="s">
        <v>315</v>
      </c>
      <c r="C114" s="55">
        <v>602</v>
      </c>
    </row>
    <row r="115" spans="1:3" x14ac:dyDescent="0.25">
      <c r="A115" s="60" t="s">
        <v>316</v>
      </c>
      <c r="B115" s="61" t="s">
        <v>317</v>
      </c>
      <c r="C115" s="68">
        <v>85</v>
      </c>
    </row>
    <row r="116" spans="1:3" x14ac:dyDescent="0.25">
      <c r="A116" s="36" t="s">
        <v>318</v>
      </c>
      <c r="B116" s="61" t="s">
        <v>319</v>
      </c>
      <c r="C116" s="68">
        <v>89</v>
      </c>
    </row>
    <row r="117" spans="1:3" x14ac:dyDescent="0.25">
      <c r="A117" s="36" t="s">
        <v>320</v>
      </c>
      <c r="B117" s="61" t="s">
        <v>321</v>
      </c>
      <c r="C117" s="68">
        <v>65</v>
      </c>
    </row>
    <row r="118" spans="1:3" x14ac:dyDescent="0.25">
      <c r="A118" s="60" t="s">
        <v>322</v>
      </c>
      <c r="B118" s="61" t="s">
        <v>323</v>
      </c>
      <c r="C118" s="68">
        <v>126</v>
      </c>
    </row>
    <row r="119" spans="1:3" x14ac:dyDescent="0.25">
      <c r="A119" s="36" t="s">
        <v>324</v>
      </c>
      <c r="B119" s="61" t="s">
        <v>325</v>
      </c>
      <c r="C119" s="68">
        <v>78</v>
      </c>
    </row>
    <row r="120" spans="1:3" x14ac:dyDescent="0.25">
      <c r="A120" s="60" t="s">
        <v>326</v>
      </c>
      <c r="B120" s="61" t="s">
        <v>327</v>
      </c>
      <c r="C120" s="68">
        <v>109</v>
      </c>
    </row>
    <row r="121" spans="1:3" x14ac:dyDescent="0.25">
      <c r="A121" s="36" t="s">
        <v>328</v>
      </c>
      <c r="B121" s="61" t="s">
        <v>329</v>
      </c>
      <c r="C121" s="68">
        <v>50</v>
      </c>
    </row>
    <row r="122" spans="1:3" x14ac:dyDescent="0.25">
      <c r="A122" s="60" t="s">
        <v>330</v>
      </c>
      <c r="B122" s="66" t="s">
        <v>331</v>
      </c>
      <c r="C122" s="55">
        <v>462</v>
      </c>
    </row>
    <row r="123" spans="1:3" x14ac:dyDescent="0.25">
      <c r="A123" s="60" t="s">
        <v>332</v>
      </c>
      <c r="B123" s="61" t="s">
        <v>333</v>
      </c>
      <c r="C123" s="68">
        <v>73</v>
      </c>
    </row>
    <row r="124" spans="1:3" x14ac:dyDescent="0.25">
      <c r="A124" s="36" t="s">
        <v>334</v>
      </c>
      <c r="B124" s="61" t="s">
        <v>335</v>
      </c>
      <c r="C124" s="68">
        <v>65</v>
      </c>
    </row>
    <row r="125" spans="1:3" x14ac:dyDescent="0.25">
      <c r="A125" s="36" t="s">
        <v>336</v>
      </c>
      <c r="B125" s="61" t="s">
        <v>337</v>
      </c>
      <c r="C125" s="68">
        <v>74</v>
      </c>
    </row>
    <row r="126" spans="1:3" x14ac:dyDescent="0.25">
      <c r="A126" s="60" t="s">
        <v>338</v>
      </c>
      <c r="B126" s="61" t="s">
        <v>339</v>
      </c>
      <c r="C126" s="68">
        <v>45</v>
      </c>
    </row>
    <row r="127" spans="1:3" x14ac:dyDescent="0.25">
      <c r="A127" s="36" t="s">
        <v>340</v>
      </c>
      <c r="B127" s="61" t="s">
        <v>341</v>
      </c>
      <c r="C127" s="68">
        <v>61</v>
      </c>
    </row>
    <row r="128" spans="1:3" x14ac:dyDescent="0.25">
      <c r="A128" s="36" t="s">
        <v>342</v>
      </c>
      <c r="B128" s="61" t="s">
        <v>343</v>
      </c>
      <c r="C128" s="68">
        <v>108</v>
      </c>
    </row>
    <row r="129" spans="1:3" x14ac:dyDescent="0.25">
      <c r="A129" s="63" t="s">
        <v>344</v>
      </c>
      <c r="B129" s="64" t="s">
        <v>345</v>
      </c>
      <c r="C129" s="67">
        <v>36</v>
      </c>
    </row>
    <row r="130" spans="1:3" x14ac:dyDescent="0.25">
      <c r="A130" s="54" t="s">
        <v>346</v>
      </c>
      <c r="B130" s="66" t="s">
        <v>347</v>
      </c>
      <c r="C130" s="55">
        <v>3969</v>
      </c>
    </row>
    <row r="131" spans="1:3" x14ac:dyDescent="0.25">
      <c r="A131" s="60" t="s">
        <v>348</v>
      </c>
      <c r="B131" s="61" t="s">
        <v>349</v>
      </c>
      <c r="C131" s="68">
        <v>181</v>
      </c>
    </row>
    <row r="132" spans="1:3" x14ac:dyDescent="0.25">
      <c r="A132" s="36" t="s">
        <v>350</v>
      </c>
      <c r="B132" s="61" t="s">
        <v>351</v>
      </c>
      <c r="C132" s="68">
        <v>142</v>
      </c>
    </row>
    <row r="133" spans="1:3" x14ac:dyDescent="0.25">
      <c r="A133" s="36" t="s">
        <v>352</v>
      </c>
      <c r="B133" s="61" t="s">
        <v>353</v>
      </c>
      <c r="C133" s="68">
        <v>152</v>
      </c>
    </row>
    <row r="134" spans="1:3" x14ac:dyDescent="0.25">
      <c r="A134" s="60" t="s">
        <v>354</v>
      </c>
      <c r="B134" s="61" t="s">
        <v>355</v>
      </c>
      <c r="C134" s="68">
        <v>129</v>
      </c>
    </row>
    <row r="135" spans="1:3" x14ac:dyDescent="0.25">
      <c r="A135" s="60" t="s">
        <v>356</v>
      </c>
      <c r="B135" s="66" t="s">
        <v>357</v>
      </c>
      <c r="C135" s="55">
        <v>673</v>
      </c>
    </row>
    <row r="136" spans="1:3" x14ac:dyDescent="0.25">
      <c r="A136" s="60" t="s">
        <v>358</v>
      </c>
      <c r="B136" s="61" t="s">
        <v>359</v>
      </c>
      <c r="C136" s="68">
        <v>69</v>
      </c>
    </row>
    <row r="137" spans="1:3" x14ac:dyDescent="0.25">
      <c r="A137" s="36" t="s">
        <v>360</v>
      </c>
      <c r="B137" s="61" t="s">
        <v>361</v>
      </c>
      <c r="C137" s="68">
        <v>137</v>
      </c>
    </row>
    <row r="138" spans="1:3" x14ac:dyDescent="0.25">
      <c r="A138" s="36" t="s">
        <v>362</v>
      </c>
      <c r="B138" s="61" t="s">
        <v>363</v>
      </c>
      <c r="C138" s="68">
        <v>100</v>
      </c>
    </row>
    <row r="139" spans="1:3" x14ac:dyDescent="0.25">
      <c r="A139" s="60" t="s">
        <v>364</v>
      </c>
      <c r="B139" s="61" t="s">
        <v>365</v>
      </c>
      <c r="C139" s="68">
        <v>88</v>
      </c>
    </row>
    <row r="140" spans="1:3" x14ac:dyDescent="0.25">
      <c r="A140" s="36" t="s">
        <v>366</v>
      </c>
      <c r="B140" s="61" t="s">
        <v>367</v>
      </c>
      <c r="C140" s="68">
        <v>57</v>
      </c>
    </row>
    <row r="141" spans="1:3" x14ac:dyDescent="0.25">
      <c r="A141" s="60" t="s">
        <v>368</v>
      </c>
      <c r="B141" s="61" t="s">
        <v>369</v>
      </c>
      <c r="C141" s="68">
        <v>137</v>
      </c>
    </row>
    <row r="142" spans="1:3" x14ac:dyDescent="0.25">
      <c r="A142" s="60" t="s">
        <v>370</v>
      </c>
      <c r="B142" s="61" t="s">
        <v>371</v>
      </c>
      <c r="C142" s="68">
        <v>23</v>
      </c>
    </row>
    <row r="143" spans="1:3" x14ac:dyDescent="0.25">
      <c r="A143" s="36" t="s">
        <v>372</v>
      </c>
      <c r="B143" s="61" t="s">
        <v>373</v>
      </c>
      <c r="C143" s="68">
        <v>62</v>
      </c>
    </row>
    <row r="144" spans="1:3" x14ac:dyDescent="0.25">
      <c r="A144" s="60" t="s">
        <v>374</v>
      </c>
      <c r="B144" s="66" t="s">
        <v>375</v>
      </c>
      <c r="C144" s="55">
        <v>653</v>
      </c>
    </row>
    <row r="145" spans="1:3" x14ac:dyDescent="0.25">
      <c r="A145" s="60" t="s">
        <v>376</v>
      </c>
      <c r="B145" s="61" t="s">
        <v>377</v>
      </c>
      <c r="C145" s="68">
        <v>105</v>
      </c>
    </row>
    <row r="146" spans="1:3" x14ac:dyDescent="0.25">
      <c r="A146" s="36" t="s">
        <v>378</v>
      </c>
      <c r="B146" s="61" t="s">
        <v>379</v>
      </c>
      <c r="C146" s="68">
        <v>55</v>
      </c>
    </row>
    <row r="147" spans="1:3" x14ac:dyDescent="0.25">
      <c r="A147" s="36" t="s">
        <v>380</v>
      </c>
      <c r="B147" s="61" t="s">
        <v>381</v>
      </c>
      <c r="C147" s="68">
        <v>98</v>
      </c>
    </row>
    <row r="148" spans="1:3" x14ac:dyDescent="0.25">
      <c r="A148" s="60" t="s">
        <v>382</v>
      </c>
      <c r="B148" s="61" t="s">
        <v>383</v>
      </c>
      <c r="C148" s="68">
        <v>209</v>
      </c>
    </row>
    <row r="149" spans="1:3" x14ac:dyDescent="0.25">
      <c r="A149" s="36" t="s">
        <v>384</v>
      </c>
      <c r="B149" s="61" t="s">
        <v>385</v>
      </c>
      <c r="C149" s="68">
        <v>186</v>
      </c>
    </row>
    <row r="150" spans="1:3" x14ac:dyDescent="0.25">
      <c r="A150" s="60" t="s">
        <v>386</v>
      </c>
      <c r="B150" s="66" t="s">
        <v>387</v>
      </c>
      <c r="C150" s="69">
        <v>1584</v>
      </c>
    </row>
    <row r="151" spans="1:3" x14ac:dyDescent="0.25">
      <c r="A151" s="60" t="s">
        <v>388</v>
      </c>
      <c r="B151" s="61" t="s">
        <v>389</v>
      </c>
      <c r="C151" s="68">
        <v>493</v>
      </c>
    </row>
    <row r="152" spans="1:3" x14ac:dyDescent="0.25">
      <c r="A152" s="36" t="s">
        <v>390</v>
      </c>
      <c r="B152" s="61" t="s">
        <v>391</v>
      </c>
      <c r="C152" s="68">
        <v>228</v>
      </c>
    </row>
    <row r="153" spans="1:3" x14ac:dyDescent="0.25">
      <c r="A153" s="36" t="s">
        <v>392</v>
      </c>
      <c r="B153" s="61" t="s">
        <v>393</v>
      </c>
      <c r="C153" s="68">
        <v>170</v>
      </c>
    </row>
    <row r="154" spans="1:3" x14ac:dyDescent="0.25">
      <c r="A154" s="60" t="s">
        <v>394</v>
      </c>
      <c r="B154" s="61" t="s">
        <v>395</v>
      </c>
      <c r="C154" s="68">
        <v>172</v>
      </c>
    </row>
    <row r="155" spans="1:3" x14ac:dyDescent="0.25">
      <c r="A155" s="36" t="s">
        <v>396</v>
      </c>
      <c r="B155" s="61" t="s">
        <v>397</v>
      </c>
      <c r="C155" s="68">
        <v>233</v>
      </c>
    </row>
    <row r="156" spans="1:3" x14ac:dyDescent="0.25">
      <c r="A156" s="60" t="s">
        <v>398</v>
      </c>
      <c r="B156" s="61" t="s">
        <v>399</v>
      </c>
      <c r="C156" s="68">
        <v>152</v>
      </c>
    </row>
    <row r="157" spans="1:3" x14ac:dyDescent="0.25">
      <c r="A157" s="36" t="s">
        <v>400</v>
      </c>
      <c r="B157" s="61" t="s">
        <v>401</v>
      </c>
      <c r="C157" s="68">
        <v>136</v>
      </c>
    </row>
    <row r="158" spans="1:3" x14ac:dyDescent="0.25">
      <c r="A158" s="60" t="s">
        <v>402</v>
      </c>
      <c r="B158" s="66" t="s">
        <v>403</v>
      </c>
      <c r="C158" s="55">
        <v>455</v>
      </c>
    </row>
    <row r="159" spans="1:3" x14ac:dyDescent="0.25">
      <c r="A159" s="60" t="s">
        <v>404</v>
      </c>
      <c r="B159" s="61" t="s">
        <v>405</v>
      </c>
      <c r="C159" s="68">
        <v>118</v>
      </c>
    </row>
    <row r="160" spans="1:3" x14ac:dyDescent="0.25">
      <c r="A160" s="36" t="s">
        <v>406</v>
      </c>
      <c r="B160" s="61" t="s">
        <v>407</v>
      </c>
      <c r="C160" s="68">
        <v>55</v>
      </c>
    </row>
    <row r="161" spans="1:3" x14ac:dyDescent="0.25">
      <c r="A161" s="36" t="s">
        <v>408</v>
      </c>
      <c r="B161" s="61" t="s">
        <v>409</v>
      </c>
      <c r="C161" s="68">
        <v>95</v>
      </c>
    </row>
    <row r="162" spans="1:3" x14ac:dyDescent="0.25">
      <c r="A162" s="60" t="s">
        <v>410</v>
      </c>
      <c r="B162" s="61" t="s">
        <v>411</v>
      </c>
      <c r="C162" s="68">
        <v>45</v>
      </c>
    </row>
    <row r="163" spans="1:3" x14ac:dyDescent="0.25">
      <c r="A163" s="36" t="s">
        <v>412</v>
      </c>
      <c r="B163" s="61" t="s">
        <v>413</v>
      </c>
      <c r="C163" s="68">
        <v>104</v>
      </c>
    </row>
    <row r="164" spans="1:3" x14ac:dyDescent="0.25">
      <c r="A164" s="63" t="s">
        <v>414</v>
      </c>
      <c r="B164" s="64" t="s">
        <v>415</v>
      </c>
      <c r="C164" s="67">
        <v>38</v>
      </c>
    </row>
    <row r="165" spans="1:3" x14ac:dyDescent="0.25">
      <c r="A165" s="54" t="s">
        <v>416</v>
      </c>
      <c r="B165" s="66" t="s">
        <v>417</v>
      </c>
      <c r="C165" s="55">
        <v>4950</v>
      </c>
    </row>
    <row r="166" spans="1:3" x14ac:dyDescent="0.25">
      <c r="A166" s="60" t="s">
        <v>418</v>
      </c>
      <c r="B166" s="61" t="s">
        <v>419</v>
      </c>
      <c r="C166" s="68">
        <v>125</v>
      </c>
    </row>
    <row r="167" spans="1:3" x14ac:dyDescent="0.25">
      <c r="A167" s="36" t="s">
        <v>420</v>
      </c>
      <c r="B167" s="61" t="s">
        <v>421</v>
      </c>
      <c r="C167" s="68">
        <v>149</v>
      </c>
    </row>
    <row r="168" spans="1:3" x14ac:dyDescent="0.25">
      <c r="A168" s="36" t="s">
        <v>422</v>
      </c>
      <c r="B168" s="61" t="s">
        <v>423</v>
      </c>
      <c r="C168" s="68">
        <v>145</v>
      </c>
    </row>
    <row r="169" spans="1:3" x14ac:dyDescent="0.25">
      <c r="A169" s="36" t="s">
        <v>424</v>
      </c>
      <c r="B169" s="61" t="s">
        <v>425</v>
      </c>
      <c r="C169" s="68">
        <v>307</v>
      </c>
    </row>
    <row r="170" spans="1:3" x14ac:dyDescent="0.25">
      <c r="A170" s="36" t="s">
        <v>426</v>
      </c>
      <c r="B170" s="61" t="s">
        <v>427</v>
      </c>
      <c r="C170" s="68">
        <v>34</v>
      </c>
    </row>
    <row r="171" spans="1:3" x14ac:dyDescent="0.25">
      <c r="A171" s="60" t="s">
        <v>428</v>
      </c>
      <c r="B171" s="61" t="s">
        <v>429</v>
      </c>
      <c r="C171" s="68">
        <v>115</v>
      </c>
    </row>
    <row r="172" spans="1:3" x14ac:dyDescent="0.25">
      <c r="A172" s="60" t="s">
        <v>430</v>
      </c>
      <c r="B172" s="66" t="s">
        <v>431</v>
      </c>
      <c r="C172" s="55">
        <v>864</v>
      </c>
    </row>
    <row r="173" spans="1:3" x14ac:dyDescent="0.25">
      <c r="A173" s="60" t="s">
        <v>432</v>
      </c>
      <c r="B173" s="61" t="s">
        <v>433</v>
      </c>
      <c r="C173" s="68">
        <v>57</v>
      </c>
    </row>
    <row r="174" spans="1:3" x14ac:dyDescent="0.25">
      <c r="A174" s="36" t="s">
        <v>434</v>
      </c>
      <c r="B174" s="61" t="s">
        <v>435</v>
      </c>
      <c r="C174" s="68">
        <v>67</v>
      </c>
    </row>
    <row r="175" spans="1:3" x14ac:dyDescent="0.25">
      <c r="A175" s="36" t="s">
        <v>436</v>
      </c>
      <c r="B175" s="61" t="s">
        <v>437</v>
      </c>
      <c r="C175" s="68">
        <v>50</v>
      </c>
    </row>
    <row r="176" spans="1:3" x14ac:dyDescent="0.25">
      <c r="A176" s="60" t="s">
        <v>438</v>
      </c>
      <c r="B176" s="61" t="s">
        <v>439</v>
      </c>
      <c r="C176" s="68">
        <v>282</v>
      </c>
    </row>
    <row r="177" spans="1:3" x14ac:dyDescent="0.25">
      <c r="A177" s="36" t="s">
        <v>440</v>
      </c>
      <c r="B177" s="61" t="s">
        <v>441</v>
      </c>
      <c r="C177" s="68">
        <v>408</v>
      </c>
    </row>
    <row r="178" spans="1:3" x14ac:dyDescent="0.25">
      <c r="A178" s="60" t="s">
        <v>442</v>
      </c>
      <c r="B178" s="66" t="s">
        <v>443</v>
      </c>
      <c r="C178" s="55">
        <v>901</v>
      </c>
    </row>
    <row r="179" spans="1:3" x14ac:dyDescent="0.25">
      <c r="A179" s="60" t="s">
        <v>444</v>
      </c>
      <c r="B179" s="61" t="s">
        <v>445</v>
      </c>
      <c r="C179" s="68">
        <v>146</v>
      </c>
    </row>
    <row r="180" spans="1:3" x14ac:dyDescent="0.25">
      <c r="A180" s="36" t="s">
        <v>446</v>
      </c>
      <c r="B180" s="61" t="s">
        <v>447</v>
      </c>
      <c r="C180" s="68">
        <v>104</v>
      </c>
    </row>
    <row r="181" spans="1:3" x14ac:dyDescent="0.25">
      <c r="A181" s="36" t="s">
        <v>448</v>
      </c>
      <c r="B181" s="61" t="s">
        <v>449</v>
      </c>
      <c r="C181" s="68">
        <v>46</v>
      </c>
    </row>
    <row r="182" spans="1:3" x14ac:dyDescent="0.25">
      <c r="A182" s="60" t="s">
        <v>450</v>
      </c>
      <c r="B182" s="61" t="s">
        <v>451</v>
      </c>
      <c r="C182" s="68">
        <v>25</v>
      </c>
    </row>
    <row r="183" spans="1:3" x14ac:dyDescent="0.25">
      <c r="A183" s="36" t="s">
        <v>452</v>
      </c>
      <c r="B183" s="61" t="s">
        <v>453</v>
      </c>
      <c r="C183" s="68">
        <v>104</v>
      </c>
    </row>
    <row r="184" spans="1:3" x14ac:dyDescent="0.25">
      <c r="A184" s="60" t="s">
        <v>454</v>
      </c>
      <c r="B184" s="61" t="s">
        <v>455</v>
      </c>
      <c r="C184" s="68">
        <v>113</v>
      </c>
    </row>
    <row r="185" spans="1:3" x14ac:dyDescent="0.25">
      <c r="A185" s="36" t="s">
        <v>456</v>
      </c>
      <c r="B185" s="61" t="s">
        <v>457</v>
      </c>
      <c r="C185" s="68">
        <v>92</v>
      </c>
    </row>
    <row r="186" spans="1:3" x14ac:dyDescent="0.25">
      <c r="A186" s="36" t="s">
        <v>458</v>
      </c>
      <c r="B186" s="61" t="s">
        <v>459</v>
      </c>
      <c r="C186" s="68">
        <v>81</v>
      </c>
    </row>
    <row r="187" spans="1:3" x14ac:dyDescent="0.25">
      <c r="A187" s="60" t="s">
        <v>460</v>
      </c>
      <c r="B187" s="61" t="s">
        <v>461</v>
      </c>
      <c r="C187" s="68">
        <v>49</v>
      </c>
    </row>
    <row r="188" spans="1:3" x14ac:dyDescent="0.25">
      <c r="A188" s="36" t="s">
        <v>462</v>
      </c>
      <c r="B188" s="61" t="s">
        <v>463</v>
      </c>
      <c r="C188" s="68">
        <v>23</v>
      </c>
    </row>
    <row r="189" spans="1:3" x14ac:dyDescent="0.25">
      <c r="A189" s="60" t="s">
        <v>464</v>
      </c>
      <c r="B189" s="61" t="s">
        <v>465</v>
      </c>
      <c r="C189" s="68">
        <v>37</v>
      </c>
    </row>
    <row r="190" spans="1:3" x14ac:dyDescent="0.25">
      <c r="A190" s="36" t="s">
        <v>466</v>
      </c>
      <c r="B190" s="61" t="s">
        <v>467</v>
      </c>
      <c r="C190" s="68">
        <v>81</v>
      </c>
    </row>
    <row r="191" spans="1:3" x14ac:dyDescent="0.25">
      <c r="A191" s="60" t="s">
        <v>468</v>
      </c>
      <c r="B191" s="66" t="s">
        <v>469</v>
      </c>
      <c r="C191" s="55">
        <v>959</v>
      </c>
    </row>
    <row r="192" spans="1:3" x14ac:dyDescent="0.25">
      <c r="A192" s="60" t="s">
        <v>470</v>
      </c>
      <c r="B192" s="61" t="s">
        <v>471</v>
      </c>
      <c r="C192" s="68">
        <v>44</v>
      </c>
    </row>
    <row r="193" spans="1:3" x14ac:dyDescent="0.25">
      <c r="A193" s="36" t="s">
        <v>472</v>
      </c>
      <c r="B193" s="61" t="s">
        <v>473</v>
      </c>
      <c r="C193" s="68">
        <v>127</v>
      </c>
    </row>
    <row r="194" spans="1:3" x14ac:dyDescent="0.25">
      <c r="A194" s="36" t="s">
        <v>474</v>
      </c>
      <c r="B194" s="61" t="s">
        <v>475</v>
      </c>
      <c r="C194" s="68">
        <v>72</v>
      </c>
    </row>
    <row r="195" spans="1:3" x14ac:dyDescent="0.25">
      <c r="A195" s="60" t="s">
        <v>476</v>
      </c>
      <c r="B195" s="61" t="s">
        <v>477</v>
      </c>
      <c r="C195" s="68">
        <v>117</v>
      </c>
    </row>
    <row r="196" spans="1:3" x14ac:dyDescent="0.25">
      <c r="A196" s="36" t="s">
        <v>478</v>
      </c>
      <c r="B196" s="61" t="s">
        <v>479</v>
      </c>
      <c r="C196" s="68">
        <v>108</v>
      </c>
    </row>
    <row r="197" spans="1:3" x14ac:dyDescent="0.25">
      <c r="A197" s="60" t="s">
        <v>480</v>
      </c>
      <c r="B197" s="61" t="s">
        <v>481</v>
      </c>
      <c r="C197" s="68">
        <v>99</v>
      </c>
    </row>
    <row r="198" spans="1:3" x14ac:dyDescent="0.25">
      <c r="A198" s="36" t="s">
        <v>482</v>
      </c>
      <c r="B198" s="61" t="s">
        <v>483</v>
      </c>
      <c r="C198" s="68">
        <v>71</v>
      </c>
    </row>
    <row r="199" spans="1:3" x14ac:dyDescent="0.25">
      <c r="A199" s="36" t="s">
        <v>484</v>
      </c>
      <c r="B199" s="61" t="s">
        <v>485</v>
      </c>
      <c r="C199" s="68">
        <v>108</v>
      </c>
    </row>
    <row r="200" spans="1:3" x14ac:dyDescent="0.25">
      <c r="A200" s="60" t="s">
        <v>486</v>
      </c>
      <c r="B200" s="61" t="s">
        <v>487</v>
      </c>
      <c r="C200" s="68">
        <v>70</v>
      </c>
    </row>
    <row r="201" spans="1:3" x14ac:dyDescent="0.25">
      <c r="A201" s="36" t="s">
        <v>488</v>
      </c>
      <c r="B201" s="61" t="s">
        <v>489</v>
      </c>
      <c r="C201" s="68">
        <v>143</v>
      </c>
    </row>
    <row r="202" spans="1:3" x14ac:dyDescent="0.25">
      <c r="A202" s="60" t="s">
        <v>490</v>
      </c>
      <c r="B202" s="66" t="s">
        <v>491</v>
      </c>
      <c r="C202" s="55">
        <v>560</v>
      </c>
    </row>
    <row r="203" spans="1:3" x14ac:dyDescent="0.25">
      <c r="A203" s="60" t="s">
        <v>492</v>
      </c>
      <c r="B203" s="61" t="s">
        <v>493</v>
      </c>
      <c r="C203" s="68">
        <v>96</v>
      </c>
    </row>
    <row r="204" spans="1:3" x14ac:dyDescent="0.25">
      <c r="A204" s="36" t="s">
        <v>494</v>
      </c>
      <c r="B204" s="61" t="s">
        <v>495</v>
      </c>
      <c r="C204" s="68">
        <v>90</v>
      </c>
    </row>
    <row r="205" spans="1:3" x14ac:dyDescent="0.25">
      <c r="A205" s="36" t="s">
        <v>496</v>
      </c>
      <c r="B205" s="61" t="s">
        <v>497</v>
      </c>
      <c r="C205" s="68">
        <v>45</v>
      </c>
    </row>
    <row r="206" spans="1:3" x14ac:dyDescent="0.25">
      <c r="A206" s="60" t="s">
        <v>498</v>
      </c>
      <c r="B206" s="61" t="s">
        <v>499</v>
      </c>
      <c r="C206" s="68">
        <v>83</v>
      </c>
    </row>
    <row r="207" spans="1:3" x14ac:dyDescent="0.25">
      <c r="A207" s="36" t="s">
        <v>500</v>
      </c>
      <c r="B207" s="61" t="s">
        <v>501</v>
      </c>
      <c r="C207" s="68">
        <v>45</v>
      </c>
    </row>
    <row r="208" spans="1:3" x14ac:dyDescent="0.25">
      <c r="A208" s="60" t="s">
        <v>502</v>
      </c>
      <c r="B208" s="61" t="s">
        <v>503</v>
      </c>
      <c r="C208" s="68">
        <v>138</v>
      </c>
    </row>
    <row r="209" spans="1:3" x14ac:dyDescent="0.25">
      <c r="A209" s="60" t="s">
        <v>504</v>
      </c>
      <c r="B209" s="61" t="s">
        <v>505</v>
      </c>
      <c r="C209" s="68">
        <v>63</v>
      </c>
    </row>
    <row r="210" spans="1:3" x14ac:dyDescent="0.25">
      <c r="A210" s="60" t="s">
        <v>506</v>
      </c>
      <c r="B210" s="66" t="s">
        <v>507</v>
      </c>
      <c r="C210" s="55">
        <v>791</v>
      </c>
    </row>
    <row r="211" spans="1:3" x14ac:dyDescent="0.25">
      <c r="A211" s="60" t="s">
        <v>508</v>
      </c>
      <c r="B211" s="61" t="s">
        <v>509</v>
      </c>
      <c r="C211" s="68">
        <v>75</v>
      </c>
    </row>
    <row r="212" spans="1:3" x14ac:dyDescent="0.25">
      <c r="A212" s="36" t="s">
        <v>510</v>
      </c>
      <c r="B212" s="61" t="s">
        <v>511</v>
      </c>
      <c r="C212" s="68">
        <v>211</v>
      </c>
    </row>
    <row r="213" spans="1:3" x14ac:dyDescent="0.25">
      <c r="A213" s="36" t="s">
        <v>512</v>
      </c>
      <c r="B213" s="61" t="s">
        <v>513</v>
      </c>
      <c r="C213" s="68">
        <v>163</v>
      </c>
    </row>
    <row r="214" spans="1:3" x14ac:dyDescent="0.25">
      <c r="A214" s="60" t="s">
        <v>514</v>
      </c>
      <c r="B214" s="61" t="s">
        <v>515</v>
      </c>
      <c r="C214" s="68">
        <v>126</v>
      </c>
    </row>
    <row r="215" spans="1:3" x14ac:dyDescent="0.25">
      <c r="A215" s="63" t="s">
        <v>516</v>
      </c>
      <c r="B215" s="64" t="s">
        <v>517</v>
      </c>
      <c r="C215" s="67">
        <v>216</v>
      </c>
    </row>
    <row r="216" spans="1:3" x14ac:dyDescent="0.25">
      <c r="A216" s="54" t="s">
        <v>518</v>
      </c>
      <c r="B216" s="66" t="s">
        <v>519</v>
      </c>
      <c r="C216" s="55">
        <v>2389</v>
      </c>
    </row>
    <row r="217" spans="1:3" x14ac:dyDescent="0.25">
      <c r="A217" s="60" t="s">
        <v>520</v>
      </c>
      <c r="B217" s="66" t="s">
        <v>521</v>
      </c>
      <c r="C217" s="55">
        <v>699</v>
      </c>
    </row>
    <row r="218" spans="1:3" x14ac:dyDescent="0.25">
      <c r="A218" s="60" t="s">
        <v>522</v>
      </c>
      <c r="B218" s="61" t="s">
        <v>523</v>
      </c>
      <c r="C218" s="68">
        <v>43</v>
      </c>
    </row>
    <row r="219" spans="1:3" x14ac:dyDescent="0.25">
      <c r="A219" s="36" t="s">
        <v>524</v>
      </c>
      <c r="B219" s="61" t="s">
        <v>525</v>
      </c>
      <c r="C219" s="68">
        <v>34</v>
      </c>
    </row>
    <row r="220" spans="1:3" x14ac:dyDescent="0.25">
      <c r="A220" s="36" t="s">
        <v>526</v>
      </c>
      <c r="B220" s="61" t="s">
        <v>527</v>
      </c>
      <c r="C220" s="68">
        <v>11</v>
      </c>
    </row>
    <row r="221" spans="1:3" x14ac:dyDescent="0.25">
      <c r="A221" s="60" t="s">
        <v>528</v>
      </c>
      <c r="B221" s="61" t="s">
        <v>529</v>
      </c>
      <c r="C221" s="68">
        <v>78</v>
      </c>
    </row>
    <row r="222" spans="1:3" x14ac:dyDescent="0.25">
      <c r="A222" s="60" t="s">
        <v>530</v>
      </c>
      <c r="B222" s="61" t="s">
        <v>531</v>
      </c>
      <c r="C222" s="68">
        <v>29</v>
      </c>
    </row>
    <row r="223" spans="1:3" x14ac:dyDescent="0.25">
      <c r="A223" s="36" t="s">
        <v>532</v>
      </c>
      <c r="B223" s="61" t="s">
        <v>533</v>
      </c>
      <c r="C223" s="68">
        <v>36</v>
      </c>
    </row>
    <row r="224" spans="1:3" x14ac:dyDescent="0.25">
      <c r="A224" s="36" t="s">
        <v>534</v>
      </c>
      <c r="B224" s="61" t="s">
        <v>535</v>
      </c>
      <c r="C224" s="68">
        <v>21</v>
      </c>
    </row>
    <row r="225" spans="1:3" x14ac:dyDescent="0.25">
      <c r="A225" s="60" t="s">
        <v>536</v>
      </c>
      <c r="B225" s="61" t="s">
        <v>537</v>
      </c>
      <c r="C225" s="68">
        <v>79</v>
      </c>
    </row>
    <row r="226" spans="1:3" x14ac:dyDescent="0.25">
      <c r="A226" s="60" t="s">
        <v>538</v>
      </c>
      <c r="B226" s="61" t="s">
        <v>539</v>
      </c>
      <c r="C226" s="68">
        <v>26</v>
      </c>
    </row>
    <row r="227" spans="1:3" x14ac:dyDescent="0.25">
      <c r="A227" s="36" t="s">
        <v>540</v>
      </c>
      <c r="B227" s="61" t="s">
        <v>541</v>
      </c>
      <c r="C227" s="68">
        <v>103</v>
      </c>
    </row>
    <row r="228" spans="1:3" x14ac:dyDescent="0.25">
      <c r="A228" s="36" t="s">
        <v>542</v>
      </c>
      <c r="B228" s="61" t="s">
        <v>543</v>
      </c>
      <c r="C228" s="68">
        <v>77</v>
      </c>
    </row>
    <row r="229" spans="1:3" x14ac:dyDescent="0.25">
      <c r="A229" s="60" t="s">
        <v>544</v>
      </c>
      <c r="B229" s="61" t="s">
        <v>545</v>
      </c>
      <c r="C229" s="68">
        <v>43</v>
      </c>
    </row>
    <row r="230" spans="1:3" x14ac:dyDescent="0.25">
      <c r="A230" s="60" t="s">
        <v>546</v>
      </c>
      <c r="B230" s="61" t="s">
        <v>547</v>
      </c>
      <c r="C230" s="68">
        <v>61</v>
      </c>
    </row>
    <row r="231" spans="1:3" x14ac:dyDescent="0.25">
      <c r="A231" s="36" t="s">
        <v>548</v>
      </c>
      <c r="B231" s="61" t="s">
        <v>549</v>
      </c>
      <c r="C231" s="68">
        <v>58</v>
      </c>
    </row>
    <row r="232" spans="1:3" x14ac:dyDescent="0.25">
      <c r="A232" s="60" t="s">
        <v>550</v>
      </c>
      <c r="B232" s="66" t="s">
        <v>551</v>
      </c>
      <c r="C232" s="55">
        <v>1690</v>
      </c>
    </row>
    <row r="233" spans="1:3" x14ac:dyDescent="0.25">
      <c r="A233" s="60" t="s">
        <v>552</v>
      </c>
      <c r="B233" s="61" t="s">
        <v>553</v>
      </c>
      <c r="C233" s="68">
        <v>84</v>
      </c>
    </row>
    <row r="234" spans="1:3" x14ac:dyDescent="0.25">
      <c r="A234" s="36" t="s">
        <v>554</v>
      </c>
      <c r="B234" s="61" t="s">
        <v>555</v>
      </c>
      <c r="C234" s="68">
        <v>75</v>
      </c>
    </row>
    <row r="235" spans="1:3" x14ac:dyDescent="0.25">
      <c r="A235" s="36" t="s">
        <v>556</v>
      </c>
      <c r="B235" s="61" t="s">
        <v>557</v>
      </c>
      <c r="C235" s="68">
        <v>95</v>
      </c>
    </row>
    <row r="236" spans="1:3" x14ac:dyDescent="0.25">
      <c r="A236" s="60" t="s">
        <v>558</v>
      </c>
      <c r="B236" s="61" t="s">
        <v>559</v>
      </c>
      <c r="C236" s="68">
        <v>119</v>
      </c>
    </row>
    <row r="237" spans="1:3" x14ac:dyDescent="0.25">
      <c r="A237" s="60" t="s">
        <v>560</v>
      </c>
      <c r="B237" s="61" t="s">
        <v>561</v>
      </c>
      <c r="C237" s="68">
        <v>80</v>
      </c>
    </row>
    <row r="238" spans="1:3" x14ac:dyDescent="0.25">
      <c r="A238" s="36" t="s">
        <v>562</v>
      </c>
      <c r="B238" s="61" t="s">
        <v>563</v>
      </c>
      <c r="C238" s="68">
        <v>75</v>
      </c>
    </row>
    <row r="239" spans="1:3" x14ac:dyDescent="0.25">
      <c r="A239" s="36" t="s">
        <v>564</v>
      </c>
      <c r="B239" s="61" t="s">
        <v>565</v>
      </c>
      <c r="C239" s="68">
        <v>182</v>
      </c>
    </row>
    <row r="240" spans="1:3" x14ac:dyDescent="0.25">
      <c r="A240" s="60" t="s">
        <v>566</v>
      </c>
      <c r="B240" s="61" t="s">
        <v>567</v>
      </c>
      <c r="C240" s="68">
        <v>85</v>
      </c>
    </row>
    <row r="241" spans="1:3" x14ac:dyDescent="0.25">
      <c r="A241" s="60" t="s">
        <v>568</v>
      </c>
      <c r="B241" s="61" t="s">
        <v>569</v>
      </c>
      <c r="C241" s="68">
        <v>87</v>
      </c>
    </row>
    <row r="242" spans="1:3" x14ac:dyDescent="0.25">
      <c r="A242" s="36" t="s">
        <v>570</v>
      </c>
      <c r="B242" s="61" t="s">
        <v>571</v>
      </c>
      <c r="C242" s="68">
        <v>46</v>
      </c>
    </row>
    <row r="243" spans="1:3" x14ac:dyDescent="0.25">
      <c r="A243" s="36" t="s">
        <v>572</v>
      </c>
      <c r="B243" s="61" t="s">
        <v>573</v>
      </c>
      <c r="C243" s="68">
        <v>80</v>
      </c>
    </row>
    <row r="244" spans="1:3" x14ac:dyDescent="0.25">
      <c r="A244" s="60" t="s">
        <v>574</v>
      </c>
      <c r="B244" s="61" t="s">
        <v>575</v>
      </c>
      <c r="C244" s="68">
        <v>164</v>
      </c>
    </row>
    <row r="245" spans="1:3" x14ac:dyDescent="0.25">
      <c r="A245" s="60" t="s">
        <v>576</v>
      </c>
      <c r="B245" s="61" t="s">
        <v>577</v>
      </c>
      <c r="C245" s="68">
        <v>189</v>
      </c>
    </row>
    <row r="246" spans="1:3" x14ac:dyDescent="0.25">
      <c r="A246" s="36" t="s">
        <v>578</v>
      </c>
      <c r="B246" s="61" t="s">
        <v>579</v>
      </c>
      <c r="C246" s="68">
        <v>123</v>
      </c>
    </row>
    <row r="247" spans="1:3" x14ac:dyDescent="0.25">
      <c r="A247" s="36" t="s">
        <v>580</v>
      </c>
      <c r="B247" s="61" t="s">
        <v>581</v>
      </c>
      <c r="C247" s="68">
        <v>39</v>
      </c>
    </row>
    <row r="248" spans="1:3" x14ac:dyDescent="0.25">
      <c r="A248" s="60" t="s">
        <v>582</v>
      </c>
      <c r="B248" s="61" t="s">
        <v>583</v>
      </c>
      <c r="C248" s="68">
        <v>43</v>
      </c>
    </row>
    <row r="249" spans="1:3" x14ac:dyDescent="0.25">
      <c r="A249" s="60" t="s">
        <v>584</v>
      </c>
      <c r="B249" s="61" t="s">
        <v>585</v>
      </c>
      <c r="C249" s="68">
        <v>57</v>
      </c>
    </row>
    <row r="250" spans="1:3" x14ac:dyDescent="0.25">
      <c r="A250" s="60" t="s">
        <v>586</v>
      </c>
      <c r="B250" s="61" t="s">
        <v>587</v>
      </c>
      <c r="C250" s="68">
        <v>30</v>
      </c>
    </row>
    <row r="251" spans="1:3" x14ac:dyDescent="0.25">
      <c r="A251" s="63" t="s">
        <v>588</v>
      </c>
      <c r="B251" s="64" t="s">
        <v>589</v>
      </c>
      <c r="C251" s="67">
        <v>37</v>
      </c>
    </row>
    <row r="252" spans="1:3" x14ac:dyDescent="0.25">
      <c r="A252" s="54" t="s">
        <v>590</v>
      </c>
      <c r="B252" s="66" t="s">
        <v>591</v>
      </c>
      <c r="C252" s="55">
        <v>5888</v>
      </c>
    </row>
    <row r="253" spans="1:3" x14ac:dyDescent="0.25">
      <c r="A253" s="60" t="s">
        <v>592</v>
      </c>
      <c r="B253" s="61" t="s">
        <v>593</v>
      </c>
      <c r="C253" s="68">
        <v>107</v>
      </c>
    </row>
    <row r="254" spans="1:3" x14ac:dyDescent="0.25">
      <c r="A254" s="36" t="s">
        <v>594</v>
      </c>
      <c r="B254" s="61" t="s">
        <v>595</v>
      </c>
      <c r="C254" s="68">
        <v>78</v>
      </c>
    </row>
    <row r="255" spans="1:3" x14ac:dyDescent="0.25">
      <c r="A255" s="36" t="s">
        <v>596</v>
      </c>
      <c r="B255" s="61" t="s">
        <v>597</v>
      </c>
      <c r="C255" s="68">
        <v>447</v>
      </c>
    </row>
    <row r="256" spans="1:3" x14ac:dyDescent="0.25">
      <c r="A256" s="36" t="s">
        <v>598</v>
      </c>
      <c r="B256" s="61" t="s">
        <v>599</v>
      </c>
      <c r="C256" s="68">
        <v>84</v>
      </c>
    </row>
    <row r="257" spans="1:3" x14ac:dyDescent="0.25">
      <c r="A257" s="36" t="s">
        <v>600</v>
      </c>
      <c r="B257" s="61" t="s">
        <v>601</v>
      </c>
      <c r="C257" s="68">
        <v>122</v>
      </c>
    </row>
    <row r="258" spans="1:3" x14ac:dyDescent="0.25">
      <c r="A258" s="60" t="s">
        <v>602</v>
      </c>
      <c r="B258" s="61" t="s">
        <v>603</v>
      </c>
      <c r="C258" s="68">
        <v>321</v>
      </c>
    </row>
    <row r="259" spans="1:3" x14ac:dyDescent="0.25">
      <c r="A259" s="36" t="s">
        <v>604</v>
      </c>
      <c r="B259" s="61" t="s">
        <v>605</v>
      </c>
      <c r="C259" s="68">
        <v>78</v>
      </c>
    </row>
    <row r="260" spans="1:3" x14ac:dyDescent="0.25">
      <c r="A260" s="36" t="s">
        <v>606</v>
      </c>
      <c r="B260" s="61" t="s">
        <v>607</v>
      </c>
      <c r="C260" s="68">
        <v>84</v>
      </c>
    </row>
    <row r="261" spans="1:3" x14ac:dyDescent="0.25">
      <c r="A261" s="60" t="s">
        <v>608</v>
      </c>
      <c r="B261" s="61" t="s">
        <v>609</v>
      </c>
      <c r="C261" s="68">
        <v>169</v>
      </c>
    </row>
    <row r="262" spans="1:3" x14ac:dyDescent="0.25">
      <c r="A262" s="60" t="s">
        <v>610</v>
      </c>
      <c r="B262" s="61" t="s">
        <v>611</v>
      </c>
      <c r="C262" s="68">
        <v>100</v>
      </c>
    </row>
    <row r="263" spans="1:3" x14ac:dyDescent="0.25">
      <c r="A263" s="36" t="s">
        <v>612</v>
      </c>
      <c r="B263" s="61" t="s">
        <v>613</v>
      </c>
      <c r="C263" s="68">
        <v>202</v>
      </c>
    </row>
    <row r="264" spans="1:3" x14ac:dyDescent="0.25">
      <c r="A264" s="36" t="s">
        <v>614</v>
      </c>
      <c r="B264" s="61" t="s">
        <v>615</v>
      </c>
      <c r="C264" s="68">
        <v>100</v>
      </c>
    </row>
    <row r="265" spans="1:3" x14ac:dyDescent="0.25">
      <c r="A265" s="60" t="s">
        <v>616</v>
      </c>
      <c r="B265" s="61" t="s">
        <v>617</v>
      </c>
      <c r="C265" s="68">
        <v>117</v>
      </c>
    </row>
    <row r="266" spans="1:3" x14ac:dyDescent="0.25">
      <c r="A266" s="60" t="s">
        <v>618</v>
      </c>
      <c r="B266" s="66" t="s">
        <v>619</v>
      </c>
      <c r="C266" s="55">
        <v>192</v>
      </c>
    </row>
    <row r="267" spans="1:3" x14ac:dyDescent="0.25">
      <c r="A267" s="60" t="s">
        <v>620</v>
      </c>
      <c r="B267" s="61" t="s">
        <v>621</v>
      </c>
      <c r="C267" s="68">
        <v>17</v>
      </c>
    </row>
    <row r="268" spans="1:3" x14ac:dyDescent="0.25">
      <c r="A268" s="36" t="s">
        <v>622</v>
      </c>
      <c r="B268" s="61" t="s">
        <v>623</v>
      </c>
      <c r="C268" s="68">
        <v>8</v>
      </c>
    </row>
    <row r="269" spans="1:3" x14ac:dyDescent="0.25">
      <c r="A269" s="36" t="s">
        <v>624</v>
      </c>
      <c r="B269" s="61" t="s">
        <v>625</v>
      </c>
      <c r="C269" s="68">
        <v>50</v>
      </c>
    </row>
    <row r="270" spans="1:3" x14ac:dyDescent="0.25">
      <c r="A270" s="60" t="s">
        <v>626</v>
      </c>
      <c r="B270" s="61" t="s">
        <v>627</v>
      </c>
      <c r="C270" s="68">
        <v>12</v>
      </c>
    </row>
    <row r="271" spans="1:3" x14ac:dyDescent="0.25">
      <c r="A271" s="60" t="s">
        <v>628</v>
      </c>
      <c r="B271" s="61" t="s">
        <v>629</v>
      </c>
      <c r="C271" s="68">
        <v>105</v>
      </c>
    </row>
    <row r="272" spans="1:3" x14ac:dyDescent="0.25">
      <c r="A272" s="60" t="s">
        <v>630</v>
      </c>
      <c r="B272" s="66" t="s">
        <v>631</v>
      </c>
      <c r="C272" s="55">
        <v>867</v>
      </c>
    </row>
    <row r="273" spans="1:3" x14ac:dyDescent="0.25">
      <c r="A273" s="60" t="s">
        <v>632</v>
      </c>
      <c r="B273" s="61" t="s">
        <v>633</v>
      </c>
      <c r="C273" s="68">
        <v>134</v>
      </c>
    </row>
    <row r="274" spans="1:3" x14ac:dyDescent="0.25">
      <c r="A274" s="36" t="s">
        <v>634</v>
      </c>
      <c r="B274" s="61" t="s">
        <v>635</v>
      </c>
      <c r="C274" s="68">
        <v>105</v>
      </c>
    </row>
    <row r="275" spans="1:3" x14ac:dyDescent="0.25">
      <c r="A275" s="36" t="s">
        <v>636</v>
      </c>
      <c r="B275" s="61" t="s">
        <v>637</v>
      </c>
      <c r="C275" s="68">
        <v>84</v>
      </c>
    </row>
    <row r="276" spans="1:3" x14ac:dyDescent="0.25">
      <c r="A276" s="60" t="s">
        <v>638</v>
      </c>
      <c r="B276" s="61" t="s">
        <v>639</v>
      </c>
      <c r="C276" s="68">
        <v>68</v>
      </c>
    </row>
    <row r="277" spans="1:3" x14ac:dyDescent="0.25">
      <c r="A277" s="60" t="s">
        <v>640</v>
      </c>
      <c r="B277" s="61" t="s">
        <v>641</v>
      </c>
      <c r="C277" s="68">
        <v>7</v>
      </c>
    </row>
    <row r="278" spans="1:3" x14ac:dyDescent="0.25">
      <c r="A278" s="60" t="s">
        <v>642</v>
      </c>
      <c r="B278" s="61" t="s">
        <v>643</v>
      </c>
      <c r="C278" s="68">
        <v>60</v>
      </c>
    </row>
    <row r="279" spans="1:3" x14ac:dyDescent="0.25">
      <c r="A279" s="36" t="s">
        <v>644</v>
      </c>
      <c r="B279" s="61" t="s">
        <v>645</v>
      </c>
      <c r="C279" s="68">
        <v>42</v>
      </c>
    </row>
    <row r="280" spans="1:3" x14ac:dyDescent="0.25">
      <c r="A280" s="36" t="s">
        <v>646</v>
      </c>
      <c r="B280" s="61" t="s">
        <v>647</v>
      </c>
      <c r="C280" s="68">
        <v>103</v>
      </c>
    </row>
    <row r="281" spans="1:3" x14ac:dyDescent="0.25">
      <c r="A281" s="60" t="s">
        <v>648</v>
      </c>
      <c r="B281" s="61" t="s">
        <v>649</v>
      </c>
      <c r="C281" s="68">
        <v>54</v>
      </c>
    </row>
    <row r="282" spans="1:3" x14ac:dyDescent="0.25">
      <c r="A282" s="60" t="s">
        <v>650</v>
      </c>
      <c r="B282" s="61" t="s">
        <v>651</v>
      </c>
      <c r="C282" s="68">
        <v>94</v>
      </c>
    </row>
    <row r="283" spans="1:3" x14ac:dyDescent="0.25">
      <c r="A283" s="60" t="s">
        <v>652</v>
      </c>
      <c r="B283" s="61" t="s">
        <v>653</v>
      </c>
      <c r="C283" s="68">
        <v>116</v>
      </c>
    </row>
    <row r="284" spans="1:3" x14ac:dyDescent="0.25">
      <c r="A284" s="60" t="s">
        <v>654</v>
      </c>
      <c r="B284" s="66" t="s">
        <v>655</v>
      </c>
      <c r="C284" s="55">
        <v>942</v>
      </c>
    </row>
    <row r="285" spans="1:3" x14ac:dyDescent="0.25">
      <c r="A285" s="60" t="s">
        <v>656</v>
      </c>
      <c r="B285" s="61" t="s">
        <v>657</v>
      </c>
      <c r="C285" s="68">
        <v>52</v>
      </c>
    </row>
    <row r="286" spans="1:3" x14ac:dyDescent="0.25">
      <c r="A286" s="36" t="s">
        <v>658</v>
      </c>
      <c r="B286" s="61" t="s">
        <v>659</v>
      </c>
      <c r="C286" s="68">
        <v>87</v>
      </c>
    </row>
    <row r="287" spans="1:3" x14ac:dyDescent="0.25">
      <c r="A287" s="36" t="s">
        <v>660</v>
      </c>
      <c r="B287" s="61" t="s">
        <v>661</v>
      </c>
      <c r="C287" s="68">
        <v>130</v>
      </c>
    </row>
    <row r="288" spans="1:3" x14ac:dyDescent="0.25">
      <c r="A288" s="60" t="s">
        <v>662</v>
      </c>
      <c r="B288" s="61" t="s">
        <v>663</v>
      </c>
      <c r="C288" s="68">
        <v>29</v>
      </c>
    </row>
    <row r="289" spans="1:3" x14ac:dyDescent="0.25">
      <c r="A289" s="60" t="s">
        <v>664</v>
      </c>
      <c r="B289" s="61" t="s">
        <v>665</v>
      </c>
      <c r="C289" s="68">
        <v>49</v>
      </c>
    </row>
    <row r="290" spans="1:3" x14ac:dyDescent="0.25">
      <c r="A290" s="60" t="s">
        <v>666</v>
      </c>
      <c r="B290" s="61" t="s">
        <v>667</v>
      </c>
      <c r="C290" s="68">
        <v>40</v>
      </c>
    </row>
    <row r="291" spans="1:3" x14ac:dyDescent="0.25">
      <c r="A291" s="36" t="s">
        <v>668</v>
      </c>
      <c r="B291" s="61" t="s">
        <v>669</v>
      </c>
      <c r="C291" s="68">
        <v>142</v>
      </c>
    </row>
    <row r="292" spans="1:3" x14ac:dyDescent="0.25">
      <c r="A292" s="36" t="s">
        <v>670</v>
      </c>
      <c r="B292" s="61" t="s">
        <v>671</v>
      </c>
      <c r="C292" s="68">
        <v>87</v>
      </c>
    </row>
    <row r="293" spans="1:3" x14ac:dyDescent="0.25">
      <c r="A293" s="60" t="s">
        <v>672</v>
      </c>
      <c r="B293" s="61" t="s">
        <v>673</v>
      </c>
      <c r="C293" s="68">
        <v>110</v>
      </c>
    </row>
    <row r="294" spans="1:3" x14ac:dyDescent="0.25">
      <c r="A294" s="60" t="s">
        <v>674</v>
      </c>
      <c r="B294" s="61" t="s">
        <v>675</v>
      </c>
      <c r="C294" s="68">
        <v>29</v>
      </c>
    </row>
    <row r="295" spans="1:3" x14ac:dyDescent="0.25">
      <c r="A295" s="60" t="s">
        <v>676</v>
      </c>
      <c r="B295" s="61" t="s">
        <v>677</v>
      </c>
      <c r="C295" s="68">
        <v>126</v>
      </c>
    </row>
    <row r="296" spans="1:3" x14ac:dyDescent="0.25">
      <c r="A296" s="60" t="s">
        <v>678</v>
      </c>
      <c r="B296" s="61" t="s">
        <v>679</v>
      </c>
      <c r="C296" s="68">
        <v>61</v>
      </c>
    </row>
    <row r="297" spans="1:3" x14ac:dyDescent="0.25">
      <c r="A297" s="60" t="s">
        <v>680</v>
      </c>
      <c r="B297" s="66" t="s">
        <v>681</v>
      </c>
      <c r="C297" s="55">
        <v>616</v>
      </c>
    </row>
    <row r="298" spans="1:3" x14ac:dyDescent="0.25">
      <c r="A298" s="60" t="s">
        <v>682</v>
      </c>
      <c r="B298" s="61" t="s">
        <v>683</v>
      </c>
      <c r="C298" s="68">
        <v>229</v>
      </c>
    </row>
    <row r="299" spans="1:3" x14ac:dyDescent="0.25">
      <c r="A299" s="36" t="s">
        <v>684</v>
      </c>
      <c r="B299" s="61" t="s">
        <v>685</v>
      </c>
      <c r="C299" s="68">
        <v>69</v>
      </c>
    </row>
    <row r="300" spans="1:3" x14ac:dyDescent="0.25">
      <c r="A300" s="36" t="s">
        <v>686</v>
      </c>
      <c r="B300" s="61" t="s">
        <v>687</v>
      </c>
      <c r="C300" s="68">
        <v>89</v>
      </c>
    </row>
    <row r="301" spans="1:3" x14ac:dyDescent="0.25">
      <c r="A301" s="60" t="s">
        <v>688</v>
      </c>
      <c r="B301" s="61" t="s">
        <v>689</v>
      </c>
      <c r="C301" s="68">
        <v>123</v>
      </c>
    </row>
    <row r="302" spans="1:3" x14ac:dyDescent="0.25">
      <c r="A302" s="60" t="s">
        <v>690</v>
      </c>
      <c r="B302" s="61" t="s">
        <v>691</v>
      </c>
      <c r="C302" s="68">
        <v>106</v>
      </c>
    </row>
    <row r="303" spans="1:3" x14ac:dyDescent="0.25">
      <c r="A303" s="60" t="s">
        <v>692</v>
      </c>
      <c r="B303" s="66" t="s">
        <v>693</v>
      </c>
      <c r="C303" s="55">
        <v>731</v>
      </c>
    </row>
    <row r="304" spans="1:3" x14ac:dyDescent="0.25">
      <c r="A304" s="60" t="s">
        <v>694</v>
      </c>
      <c r="B304" s="61" t="s">
        <v>695</v>
      </c>
      <c r="C304" s="68">
        <v>104</v>
      </c>
    </row>
    <row r="305" spans="1:3" x14ac:dyDescent="0.25">
      <c r="A305" s="36" t="s">
        <v>696</v>
      </c>
      <c r="B305" s="61" t="s">
        <v>697</v>
      </c>
      <c r="C305" s="68">
        <v>17</v>
      </c>
    </row>
    <row r="306" spans="1:3" x14ac:dyDescent="0.25">
      <c r="A306" s="36" t="s">
        <v>698</v>
      </c>
      <c r="B306" s="61" t="s">
        <v>699</v>
      </c>
      <c r="C306" s="68">
        <v>94</v>
      </c>
    </row>
    <row r="307" spans="1:3" x14ac:dyDescent="0.25">
      <c r="A307" s="60" t="s">
        <v>700</v>
      </c>
      <c r="B307" s="61" t="s">
        <v>701</v>
      </c>
      <c r="C307" s="68">
        <v>57</v>
      </c>
    </row>
    <row r="308" spans="1:3" x14ac:dyDescent="0.25">
      <c r="A308" s="60" t="s">
        <v>702</v>
      </c>
      <c r="B308" s="61" t="s">
        <v>703</v>
      </c>
      <c r="C308" s="68">
        <v>69</v>
      </c>
    </row>
    <row r="309" spans="1:3" x14ac:dyDescent="0.25">
      <c r="A309" s="36" t="s">
        <v>704</v>
      </c>
      <c r="B309" s="61" t="s">
        <v>705</v>
      </c>
      <c r="C309" s="68">
        <v>113</v>
      </c>
    </row>
    <row r="310" spans="1:3" x14ac:dyDescent="0.25">
      <c r="A310" s="36" t="s">
        <v>706</v>
      </c>
      <c r="B310" s="61" t="s">
        <v>707</v>
      </c>
      <c r="C310" s="68">
        <v>56</v>
      </c>
    </row>
    <row r="311" spans="1:3" x14ac:dyDescent="0.25">
      <c r="A311" s="60" t="s">
        <v>708</v>
      </c>
      <c r="B311" s="61" t="s">
        <v>709</v>
      </c>
      <c r="C311" s="68">
        <v>79</v>
      </c>
    </row>
    <row r="312" spans="1:3" x14ac:dyDescent="0.25">
      <c r="A312" s="60" t="s">
        <v>710</v>
      </c>
      <c r="B312" s="61" t="s">
        <v>711</v>
      </c>
      <c r="C312" s="68">
        <v>33</v>
      </c>
    </row>
    <row r="313" spans="1:3" x14ac:dyDescent="0.25">
      <c r="A313" s="36" t="s">
        <v>712</v>
      </c>
      <c r="B313" s="61" t="s">
        <v>713</v>
      </c>
      <c r="C313" s="68">
        <v>60</v>
      </c>
    </row>
    <row r="314" spans="1:3" x14ac:dyDescent="0.25">
      <c r="A314" s="36" t="s">
        <v>714</v>
      </c>
      <c r="B314" s="61" t="s">
        <v>715</v>
      </c>
      <c r="C314" s="68">
        <v>49</v>
      </c>
    </row>
    <row r="315" spans="1:3" x14ac:dyDescent="0.25">
      <c r="A315" s="60" t="s">
        <v>716</v>
      </c>
      <c r="B315" s="66" t="s">
        <v>717</v>
      </c>
      <c r="C315" s="55">
        <v>531</v>
      </c>
    </row>
    <row r="316" spans="1:3" x14ac:dyDescent="0.25">
      <c r="A316" s="60" t="s">
        <v>718</v>
      </c>
      <c r="B316" s="61" t="s">
        <v>719</v>
      </c>
      <c r="C316" s="68">
        <v>44</v>
      </c>
    </row>
    <row r="317" spans="1:3" x14ac:dyDescent="0.25">
      <c r="A317" s="36" t="s">
        <v>720</v>
      </c>
      <c r="B317" s="61" t="s">
        <v>721</v>
      </c>
      <c r="C317" s="68">
        <v>37</v>
      </c>
    </row>
    <row r="318" spans="1:3" x14ac:dyDescent="0.25">
      <c r="A318" s="36" t="s">
        <v>722</v>
      </c>
      <c r="B318" s="61" t="s">
        <v>723</v>
      </c>
      <c r="C318" s="68">
        <v>59</v>
      </c>
    </row>
    <row r="319" spans="1:3" x14ac:dyDescent="0.25">
      <c r="A319" s="60" t="s">
        <v>724</v>
      </c>
      <c r="B319" s="61" t="s">
        <v>725</v>
      </c>
      <c r="C319" s="68">
        <v>137</v>
      </c>
    </row>
    <row r="320" spans="1:3" x14ac:dyDescent="0.25">
      <c r="A320" s="36" t="s">
        <v>726</v>
      </c>
      <c r="B320" s="61" t="s">
        <v>727</v>
      </c>
      <c r="C320" s="68">
        <v>87</v>
      </c>
    </row>
    <row r="321" spans="1:3" x14ac:dyDescent="0.25">
      <c r="A321" s="60" t="s">
        <v>728</v>
      </c>
      <c r="B321" s="61" t="s">
        <v>729</v>
      </c>
      <c r="C321" s="68">
        <v>125</v>
      </c>
    </row>
    <row r="322" spans="1:3" x14ac:dyDescent="0.25">
      <c r="A322" s="63" t="s">
        <v>730</v>
      </c>
      <c r="B322" s="64" t="s">
        <v>731</v>
      </c>
      <c r="C322" s="67">
        <v>42</v>
      </c>
    </row>
    <row r="323" spans="1:3" x14ac:dyDescent="0.25">
      <c r="A323" s="54" t="s">
        <v>732</v>
      </c>
      <c r="B323" s="66" t="s">
        <v>733</v>
      </c>
      <c r="C323" s="55">
        <v>3556</v>
      </c>
    </row>
    <row r="324" spans="1:3" x14ac:dyDescent="0.25">
      <c r="A324" s="60" t="s">
        <v>734</v>
      </c>
      <c r="B324" s="61" t="s">
        <v>735</v>
      </c>
      <c r="C324" s="68">
        <v>99</v>
      </c>
    </row>
    <row r="325" spans="1:3" x14ac:dyDescent="0.25">
      <c r="A325" s="36" t="s">
        <v>736</v>
      </c>
      <c r="B325" s="61" t="s">
        <v>737</v>
      </c>
      <c r="C325" s="68">
        <v>158</v>
      </c>
    </row>
    <row r="326" spans="1:3" x14ac:dyDescent="0.25">
      <c r="A326" s="36" t="s">
        <v>738</v>
      </c>
      <c r="B326" s="61" t="s">
        <v>739</v>
      </c>
      <c r="C326" s="68">
        <v>254</v>
      </c>
    </row>
    <row r="327" spans="1:3" x14ac:dyDescent="0.25">
      <c r="A327" s="36" t="s">
        <v>740</v>
      </c>
      <c r="B327" s="61" t="s">
        <v>741</v>
      </c>
      <c r="C327" s="68">
        <v>342</v>
      </c>
    </row>
    <row r="328" spans="1:3" x14ac:dyDescent="0.25">
      <c r="A328" s="36" t="s">
        <v>742</v>
      </c>
      <c r="B328" s="61" t="s">
        <v>743</v>
      </c>
      <c r="C328" s="68">
        <v>177</v>
      </c>
    </row>
    <row r="329" spans="1:3" x14ac:dyDescent="0.25">
      <c r="A329" s="60" t="s">
        <v>744</v>
      </c>
      <c r="B329" s="61" t="s">
        <v>745</v>
      </c>
      <c r="C329" s="68">
        <v>0</v>
      </c>
    </row>
    <row r="330" spans="1:3" x14ac:dyDescent="0.25">
      <c r="A330" s="36" t="s">
        <v>746</v>
      </c>
      <c r="B330" s="61" t="s">
        <v>747</v>
      </c>
      <c r="C330" s="68">
        <v>171</v>
      </c>
    </row>
    <row r="331" spans="1:3" x14ac:dyDescent="0.25">
      <c r="A331" s="36" t="s">
        <v>748</v>
      </c>
      <c r="B331" s="61" t="s">
        <v>749</v>
      </c>
      <c r="C331" s="68">
        <v>139</v>
      </c>
    </row>
    <row r="332" spans="1:3" x14ac:dyDescent="0.25">
      <c r="A332" s="60" t="s">
        <v>750</v>
      </c>
      <c r="B332" s="61" t="s">
        <v>751</v>
      </c>
      <c r="C332" s="68">
        <v>302</v>
      </c>
    </row>
    <row r="333" spans="1:3" x14ac:dyDescent="0.25">
      <c r="A333" s="36" t="s">
        <v>752</v>
      </c>
      <c r="B333" s="61" t="s">
        <v>753</v>
      </c>
      <c r="C333" s="68">
        <v>161</v>
      </c>
    </row>
    <row r="334" spans="1:3" x14ac:dyDescent="0.25">
      <c r="A334" s="36" t="s">
        <v>754</v>
      </c>
      <c r="B334" s="61" t="s">
        <v>755</v>
      </c>
      <c r="C334" s="68">
        <v>34</v>
      </c>
    </row>
    <row r="335" spans="1:3" x14ac:dyDescent="0.25">
      <c r="A335" s="60" t="s">
        <v>756</v>
      </c>
      <c r="B335" s="61" t="s">
        <v>757</v>
      </c>
      <c r="C335" s="68">
        <v>336</v>
      </c>
    </row>
    <row r="336" spans="1:3" x14ac:dyDescent="0.25">
      <c r="A336" s="60" t="s">
        <v>758</v>
      </c>
      <c r="B336" s="66" t="s">
        <v>759</v>
      </c>
      <c r="C336" s="55">
        <v>480</v>
      </c>
    </row>
    <row r="337" spans="1:3" x14ac:dyDescent="0.25">
      <c r="A337" s="60" t="s">
        <v>760</v>
      </c>
      <c r="B337" s="61" t="s">
        <v>761</v>
      </c>
      <c r="C337" s="68">
        <v>103</v>
      </c>
    </row>
    <row r="338" spans="1:3" x14ac:dyDescent="0.25">
      <c r="A338" s="36" t="s">
        <v>762</v>
      </c>
      <c r="B338" s="61" t="s">
        <v>763</v>
      </c>
      <c r="C338" s="68">
        <v>130</v>
      </c>
    </row>
    <row r="339" spans="1:3" x14ac:dyDescent="0.25">
      <c r="A339" s="36" t="s">
        <v>764</v>
      </c>
      <c r="B339" s="61" t="s">
        <v>765</v>
      </c>
      <c r="C339" s="68">
        <v>25</v>
      </c>
    </row>
    <row r="340" spans="1:3" x14ac:dyDescent="0.25">
      <c r="A340" s="60" t="s">
        <v>766</v>
      </c>
      <c r="B340" s="61" t="s">
        <v>767</v>
      </c>
      <c r="C340" s="68">
        <v>51</v>
      </c>
    </row>
    <row r="341" spans="1:3" x14ac:dyDescent="0.25">
      <c r="A341" s="60" t="s">
        <v>768</v>
      </c>
      <c r="B341" s="61" t="s">
        <v>769</v>
      </c>
      <c r="C341" s="68">
        <v>59</v>
      </c>
    </row>
    <row r="342" spans="1:3" x14ac:dyDescent="0.25">
      <c r="A342" s="36" t="s">
        <v>770</v>
      </c>
      <c r="B342" s="61" t="s">
        <v>771</v>
      </c>
      <c r="C342" s="68">
        <v>71</v>
      </c>
    </row>
    <row r="343" spans="1:3" x14ac:dyDescent="0.25">
      <c r="A343" s="36" t="s">
        <v>772</v>
      </c>
      <c r="B343" s="61" t="s">
        <v>773</v>
      </c>
      <c r="C343" s="68">
        <v>32</v>
      </c>
    </row>
    <row r="344" spans="1:3" x14ac:dyDescent="0.25">
      <c r="A344" s="60" t="s">
        <v>774</v>
      </c>
      <c r="B344" s="61" t="s">
        <v>775</v>
      </c>
      <c r="C344" s="68">
        <v>9</v>
      </c>
    </row>
    <row r="345" spans="1:3" x14ac:dyDescent="0.25">
      <c r="A345" s="60" t="s">
        <v>776</v>
      </c>
      <c r="B345" s="66" t="s">
        <v>777</v>
      </c>
      <c r="C345" s="55">
        <v>602</v>
      </c>
    </row>
    <row r="346" spans="1:3" x14ac:dyDescent="0.25">
      <c r="A346" s="60" t="s">
        <v>778</v>
      </c>
      <c r="B346" s="61" t="s">
        <v>779</v>
      </c>
      <c r="C346" s="68">
        <v>95</v>
      </c>
    </row>
    <row r="347" spans="1:3" x14ac:dyDescent="0.25">
      <c r="A347" s="36" t="s">
        <v>780</v>
      </c>
      <c r="B347" s="61" t="s">
        <v>781</v>
      </c>
      <c r="C347" s="68">
        <v>119</v>
      </c>
    </row>
    <row r="348" spans="1:3" x14ac:dyDescent="0.25">
      <c r="A348" s="36" t="s">
        <v>782</v>
      </c>
      <c r="B348" s="61" t="s">
        <v>783</v>
      </c>
      <c r="C348" s="68">
        <v>26</v>
      </c>
    </row>
    <row r="349" spans="1:3" x14ac:dyDescent="0.25">
      <c r="A349" s="60" t="s">
        <v>784</v>
      </c>
      <c r="B349" s="61" t="s">
        <v>785</v>
      </c>
      <c r="C349" s="68">
        <v>104</v>
      </c>
    </row>
    <row r="350" spans="1:3" x14ac:dyDescent="0.25">
      <c r="A350" s="60" t="s">
        <v>786</v>
      </c>
      <c r="B350" s="61" t="s">
        <v>787</v>
      </c>
      <c r="C350" s="68">
        <v>126</v>
      </c>
    </row>
    <row r="351" spans="1:3" x14ac:dyDescent="0.25">
      <c r="A351" s="36" t="s">
        <v>788</v>
      </c>
      <c r="B351" s="61" t="s">
        <v>789</v>
      </c>
      <c r="C351" s="68">
        <v>132</v>
      </c>
    </row>
    <row r="352" spans="1:3" x14ac:dyDescent="0.25">
      <c r="A352" s="60" t="s">
        <v>790</v>
      </c>
      <c r="B352" s="66" t="s">
        <v>791</v>
      </c>
      <c r="C352" s="55">
        <v>301</v>
      </c>
    </row>
    <row r="353" spans="1:3" x14ac:dyDescent="0.25">
      <c r="A353" s="60" t="s">
        <v>792</v>
      </c>
      <c r="B353" s="61" t="s">
        <v>793</v>
      </c>
      <c r="C353" s="68">
        <v>62</v>
      </c>
    </row>
    <row r="354" spans="1:3" x14ac:dyDescent="0.25">
      <c r="A354" s="36" t="s">
        <v>794</v>
      </c>
      <c r="B354" s="61" t="s">
        <v>795</v>
      </c>
      <c r="C354" s="68">
        <v>66</v>
      </c>
    </row>
    <row r="355" spans="1:3" x14ac:dyDescent="0.25">
      <c r="A355" s="36" t="s">
        <v>796</v>
      </c>
      <c r="B355" s="61" t="s">
        <v>797</v>
      </c>
      <c r="C355" s="68">
        <v>86</v>
      </c>
    </row>
    <row r="356" spans="1:3" x14ac:dyDescent="0.25">
      <c r="A356" s="63" t="s">
        <v>798</v>
      </c>
      <c r="B356" s="64" t="s">
        <v>799</v>
      </c>
      <c r="C356" s="67">
        <v>87</v>
      </c>
    </row>
    <row r="357" spans="1:3" x14ac:dyDescent="0.25">
      <c r="A357" s="54" t="s">
        <v>800</v>
      </c>
      <c r="B357" s="66" t="s">
        <v>801</v>
      </c>
      <c r="C357" s="55">
        <v>2409</v>
      </c>
    </row>
    <row r="358" spans="1:3" x14ac:dyDescent="0.25">
      <c r="A358" s="60" t="s">
        <v>802</v>
      </c>
      <c r="B358" s="61" t="s">
        <v>803</v>
      </c>
      <c r="C358" s="68">
        <v>129</v>
      </c>
    </row>
    <row r="359" spans="1:3" x14ac:dyDescent="0.25">
      <c r="A359" s="36" t="s">
        <v>804</v>
      </c>
      <c r="B359" s="61" t="s">
        <v>805</v>
      </c>
      <c r="C359" s="68">
        <v>143</v>
      </c>
    </row>
    <row r="360" spans="1:3" x14ac:dyDescent="0.25">
      <c r="A360" s="36" t="s">
        <v>806</v>
      </c>
      <c r="B360" s="61" t="s">
        <v>807</v>
      </c>
      <c r="C360" s="68">
        <v>28</v>
      </c>
    </row>
    <row r="361" spans="1:3" x14ac:dyDescent="0.25">
      <c r="A361" s="36" t="s">
        <v>808</v>
      </c>
      <c r="B361" s="61" t="s">
        <v>809</v>
      </c>
      <c r="C361" s="68">
        <v>26</v>
      </c>
    </row>
    <row r="362" spans="1:3" x14ac:dyDescent="0.25">
      <c r="A362" s="36" t="s">
        <v>810</v>
      </c>
      <c r="B362" s="61" t="s">
        <v>811</v>
      </c>
      <c r="C362" s="68">
        <v>203</v>
      </c>
    </row>
    <row r="363" spans="1:3" x14ac:dyDescent="0.25">
      <c r="A363" s="36" t="s">
        <v>812</v>
      </c>
      <c r="B363" s="61" t="s">
        <v>813</v>
      </c>
      <c r="C363" s="68">
        <v>24</v>
      </c>
    </row>
    <row r="364" spans="1:3" x14ac:dyDescent="0.25">
      <c r="A364" s="36" t="s">
        <v>814</v>
      </c>
      <c r="B364" s="61" t="s">
        <v>815</v>
      </c>
      <c r="C364" s="68">
        <v>64</v>
      </c>
    </row>
    <row r="365" spans="1:3" x14ac:dyDescent="0.25">
      <c r="A365" s="36" t="s">
        <v>816</v>
      </c>
      <c r="B365" s="61" t="s">
        <v>817</v>
      </c>
      <c r="C365" s="68">
        <v>101</v>
      </c>
    </row>
    <row r="366" spans="1:3" x14ac:dyDescent="0.25">
      <c r="A366" s="36" t="s">
        <v>818</v>
      </c>
      <c r="B366" s="61" t="s">
        <v>819</v>
      </c>
      <c r="C366" s="68">
        <v>23</v>
      </c>
    </row>
    <row r="367" spans="1:3" x14ac:dyDescent="0.25">
      <c r="A367" s="36" t="s">
        <v>820</v>
      </c>
      <c r="B367" s="61" t="s">
        <v>821</v>
      </c>
      <c r="C367" s="68">
        <v>28</v>
      </c>
    </row>
    <row r="368" spans="1:3" x14ac:dyDescent="0.25">
      <c r="A368" s="36" t="s">
        <v>822</v>
      </c>
      <c r="B368" s="61" t="s">
        <v>823</v>
      </c>
      <c r="C368" s="68">
        <v>40</v>
      </c>
    </row>
    <row r="369" spans="1:3" x14ac:dyDescent="0.25">
      <c r="A369" s="36" t="s">
        <v>824</v>
      </c>
      <c r="B369" s="61" t="s">
        <v>825</v>
      </c>
      <c r="C369" s="68">
        <v>10</v>
      </c>
    </row>
    <row r="370" spans="1:3" x14ac:dyDescent="0.25">
      <c r="A370" s="36" t="s">
        <v>826</v>
      </c>
      <c r="B370" s="61" t="s">
        <v>827</v>
      </c>
      <c r="C370" s="68">
        <v>80</v>
      </c>
    </row>
    <row r="371" spans="1:3" x14ac:dyDescent="0.25">
      <c r="A371" s="36" t="s">
        <v>828</v>
      </c>
      <c r="B371" s="61" t="s">
        <v>829</v>
      </c>
      <c r="C371" s="68">
        <v>150</v>
      </c>
    </row>
    <row r="372" spans="1:3" x14ac:dyDescent="0.25">
      <c r="A372" s="36" t="s">
        <v>830</v>
      </c>
      <c r="B372" s="61" t="s">
        <v>831</v>
      </c>
      <c r="C372" s="68">
        <v>348</v>
      </c>
    </row>
    <row r="373" spans="1:3" x14ac:dyDescent="0.25">
      <c r="A373" s="36" t="s">
        <v>832</v>
      </c>
      <c r="B373" s="61" t="s">
        <v>833</v>
      </c>
      <c r="C373" s="68">
        <v>110</v>
      </c>
    </row>
    <row r="374" spans="1:3" x14ac:dyDescent="0.25">
      <c r="A374" s="36" t="s">
        <v>834</v>
      </c>
      <c r="B374" s="61" t="s">
        <v>835</v>
      </c>
      <c r="C374" s="68">
        <v>5</v>
      </c>
    </row>
    <row r="375" spans="1:3" x14ac:dyDescent="0.25">
      <c r="A375" s="36" t="s">
        <v>836</v>
      </c>
      <c r="B375" s="61" t="s">
        <v>837</v>
      </c>
      <c r="C375" s="68">
        <v>64</v>
      </c>
    </row>
    <row r="376" spans="1:3" x14ac:dyDescent="0.25">
      <c r="A376" s="36" t="s">
        <v>838</v>
      </c>
      <c r="B376" s="61" t="s">
        <v>839</v>
      </c>
      <c r="C376" s="68">
        <v>24</v>
      </c>
    </row>
    <row r="377" spans="1:3" x14ac:dyDescent="0.25">
      <c r="A377" s="36" t="s">
        <v>840</v>
      </c>
      <c r="B377" s="61" t="s">
        <v>841</v>
      </c>
      <c r="C377" s="68">
        <v>5</v>
      </c>
    </row>
    <row r="378" spans="1:3" x14ac:dyDescent="0.25">
      <c r="A378" s="36" t="s">
        <v>842</v>
      </c>
      <c r="B378" s="61" t="s">
        <v>843</v>
      </c>
      <c r="C378" s="68">
        <v>15</v>
      </c>
    </row>
    <row r="379" spans="1:3" x14ac:dyDescent="0.25">
      <c r="A379" s="36" t="s">
        <v>844</v>
      </c>
      <c r="B379" s="61" t="s">
        <v>845</v>
      </c>
      <c r="C379" s="68">
        <v>123</v>
      </c>
    </row>
    <row r="380" spans="1:3" x14ac:dyDescent="0.25">
      <c r="A380" s="60" t="s">
        <v>846</v>
      </c>
      <c r="B380" s="61" t="s">
        <v>847</v>
      </c>
      <c r="C380" s="55">
        <v>19</v>
      </c>
    </row>
    <row r="381" spans="1:3" x14ac:dyDescent="0.25">
      <c r="A381" s="36" t="s">
        <v>848</v>
      </c>
      <c r="B381" s="61" t="s">
        <v>849</v>
      </c>
      <c r="C381" s="68">
        <v>133</v>
      </c>
    </row>
    <row r="382" spans="1:3" x14ac:dyDescent="0.25">
      <c r="A382" s="36" t="s">
        <v>850</v>
      </c>
      <c r="B382" s="61" t="s">
        <v>851</v>
      </c>
      <c r="C382" s="68">
        <v>119</v>
      </c>
    </row>
    <row r="383" spans="1:3" x14ac:dyDescent="0.25">
      <c r="A383" s="36" t="s">
        <v>852</v>
      </c>
      <c r="B383" s="61" t="s">
        <v>853</v>
      </c>
      <c r="C383" s="68">
        <v>43</v>
      </c>
    </row>
    <row r="384" spans="1:3" x14ac:dyDescent="0.25">
      <c r="A384" s="36" t="s">
        <v>854</v>
      </c>
      <c r="B384" s="61" t="s">
        <v>855</v>
      </c>
      <c r="C384" s="68">
        <v>4</v>
      </c>
    </row>
    <row r="385" spans="1:3" x14ac:dyDescent="0.25">
      <c r="A385" s="36" t="s">
        <v>856</v>
      </c>
      <c r="B385" s="61" t="s">
        <v>857</v>
      </c>
      <c r="C385" s="68">
        <v>33</v>
      </c>
    </row>
    <row r="386" spans="1:3" x14ac:dyDescent="0.25">
      <c r="A386" s="36" t="s">
        <v>858</v>
      </c>
      <c r="B386" s="61" t="s">
        <v>859</v>
      </c>
      <c r="C386" s="68">
        <v>153</v>
      </c>
    </row>
    <row r="387" spans="1:3" x14ac:dyDescent="0.25">
      <c r="A387" s="36" t="s">
        <v>860</v>
      </c>
      <c r="B387" s="61" t="s">
        <v>861</v>
      </c>
      <c r="C387" s="68">
        <v>61</v>
      </c>
    </row>
    <row r="388" spans="1:3" x14ac:dyDescent="0.25">
      <c r="A388" s="36" t="s">
        <v>862</v>
      </c>
      <c r="B388" s="61" t="s">
        <v>863</v>
      </c>
      <c r="C388" s="68">
        <v>20</v>
      </c>
    </row>
    <row r="389" spans="1:3" x14ac:dyDescent="0.25">
      <c r="A389" s="63" t="s">
        <v>864</v>
      </c>
      <c r="B389" s="64" t="s">
        <v>865</v>
      </c>
      <c r="C389" s="70">
        <v>81</v>
      </c>
    </row>
    <row r="390" spans="1:3" x14ac:dyDescent="0.25">
      <c r="A390" s="54" t="s">
        <v>866</v>
      </c>
      <c r="B390" s="66" t="s">
        <v>867</v>
      </c>
      <c r="C390" s="71">
        <v>1508</v>
      </c>
    </row>
    <row r="391" spans="1:3" x14ac:dyDescent="0.25">
      <c r="A391" s="60" t="s">
        <v>868</v>
      </c>
      <c r="B391" s="61" t="s">
        <v>869</v>
      </c>
      <c r="C391" s="68">
        <v>17</v>
      </c>
    </row>
    <row r="392" spans="1:3" x14ac:dyDescent="0.25">
      <c r="A392" s="36" t="s">
        <v>870</v>
      </c>
      <c r="B392" s="61" t="s">
        <v>871</v>
      </c>
      <c r="C392" s="68">
        <v>80</v>
      </c>
    </row>
    <row r="393" spans="1:3" x14ac:dyDescent="0.25">
      <c r="A393" s="36" t="s">
        <v>872</v>
      </c>
      <c r="B393" s="61" t="s">
        <v>873</v>
      </c>
      <c r="C393" s="68">
        <v>55</v>
      </c>
    </row>
    <row r="394" spans="1:3" x14ac:dyDescent="0.25">
      <c r="A394" s="36" t="s">
        <v>874</v>
      </c>
      <c r="B394" s="61" t="s">
        <v>875</v>
      </c>
      <c r="C394" s="68">
        <v>212</v>
      </c>
    </row>
    <row r="395" spans="1:3" x14ac:dyDescent="0.25">
      <c r="A395" s="36" t="s">
        <v>876</v>
      </c>
      <c r="B395" s="61" t="s">
        <v>877</v>
      </c>
      <c r="C395" s="68">
        <v>53</v>
      </c>
    </row>
    <row r="396" spans="1:3" x14ac:dyDescent="0.25">
      <c r="A396" s="36" t="s">
        <v>878</v>
      </c>
      <c r="B396" s="61" t="s">
        <v>879</v>
      </c>
      <c r="C396" s="68">
        <v>19</v>
      </c>
    </row>
    <row r="397" spans="1:3" x14ac:dyDescent="0.25">
      <c r="A397" s="36" t="s">
        <v>880</v>
      </c>
      <c r="B397" s="61" t="s">
        <v>881</v>
      </c>
      <c r="C397" s="68">
        <v>33</v>
      </c>
    </row>
    <row r="398" spans="1:3" x14ac:dyDescent="0.25">
      <c r="A398" s="36" t="s">
        <v>882</v>
      </c>
      <c r="B398" s="61" t="s">
        <v>883</v>
      </c>
      <c r="C398" s="68">
        <v>59</v>
      </c>
    </row>
    <row r="399" spans="1:3" x14ac:dyDescent="0.25">
      <c r="A399" s="36" t="s">
        <v>884</v>
      </c>
      <c r="B399" s="61" t="s">
        <v>885</v>
      </c>
      <c r="C399" s="68">
        <v>139</v>
      </c>
    </row>
    <row r="400" spans="1:3" x14ac:dyDescent="0.25">
      <c r="A400" s="36" t="s">
        <v>886</v>
      </c>
      <c r="B400" s="61" t="s">
        <v>887</v>
      </c>
      <c r="C400" s="68">
        <v>77</v>
      </c>
    </row>
    <row r="401" spans="1:3" x14ac:dyDescent="0.25">
      <c r="A401" s="36" t="s">
        <v>888</v>
      </c>
      <c r="B401" s="61" t="s">
        <v>889</v>
      </c>
      <c r="C401" s="68">
        <v>49</v>
      </c>
    </row>
    <row r="402" spans="1:3" x14ac:dyDescent="0.25">
      <c r="A402" s="36" t="s">
        <v>890</v>
      </c>
      <c r="B402" s="61" t="s">
        <v>891</v>
      </c>
      <c r="C402" s="68">
        <v>13</v>
      </c>
    </row>
    <row r="403" spans="1:3" x14ac:dyDescent="0.25">
      <c r="A403" s="36" t="s">
        <v>892</v>
      </c>
      <c r="B403" s="61" t="s">
        <v>893</v>
      </c>
      <c r="C403" s="68">
        <v>43</v>
      </c>
    </row>
    <row r="404" spans="1:3" x14ac:dyDescent="0.25">
      <c r="A404" s="36" t="s">
        <v>894</v>
      </c>
      <c r="B404" s="61" t="s">
        <v>895</v>
      </c>
      <c r="C404" s="68">
        <v>38</v>
      </c>
    </row>
    <row r="405" spans="1:3" x14ac:dyDescent="0.25">
      <c r="A405" s="36" t="s">
        <v>896</v>
      </c>
      <c r="B405" s="61" t="s">
        <v>897</v>
      </c>
      <c r="C405" s="68">
        <v>70</v>
      </c>
    </row>
    <row r="406" spans="1:3" x14ac:dyDescent="0.25">
      <c r="A406" s="36" t="s">
        <v>898</v>
      </c>
      <c r="B406" s="61" t="s">
        <v>899</v>
      </c>
      <c r="C406" s="68">
        <v>78</v>
      </c>
    </row>
    <row r="407" spans="1:3" x14ac:dyDescent="0.25">
      <c r="A407" s="36" t="s">
        <v>900</v>
      </c>
      <c r="B407" s="61" t="s">
        <v>901</v>
      </c>
      <c r="C407" s="68">
        <v>87</v>
      </c>
    </row>
    <row r="408" spans="1:3" x14ac:dyDescent="0.25">
      <c r="A408" s="36" t="s">
        <v>902</v>
      </c>
      <c r="B408" s="61" t="s">
        <v>903</v>
      </c>
      <c r="C408" s="68">
        <v>94</v>
      </c>
    </row>
    <row r="409" spans="1:3" x14ac:dyDescent="0.25">
      <c r="A409" s="36" t="s">
        <v>904</v>
      </c>
      <c r="B409" s="61" t="s">
        <v>905</v>
      </c>
      <c r="C409" s="68">
        <v>105</v>
      </c>
    </row>
    <row r="410" spans="1:3" x14ac:dyDescent="0.25">
      <c r="A410" s="36" t="s">
        <v>906</v>
      </c>
      <c r="B410" s="61" t="s">
        <v>907</v>
      </c>
      <c r="C410" s="68">
        <v>38</v>
      </c>
    </row>
    <row r="411" spans="1:3" x14ac:dyDescent="0.25">
      <c r="A411" s="36" t="s">
        <v>908</v>
      </c>
      <c r="B411" s="61" t="s">
        <v>909</v>
      </c>
      <c r="C411" s="68">
        <v>19</v>
      </c>
    </row>
    <row r="412" spans="1:3" x14ac:dyDescent="0.25">
      <c r="A412" s="63" t="s">
        <v>910</v>
      </c>
      <c r="B412" s="64" t="s">
        <v>911</v>
      </c>
      <c r="C412" s="67">
        <v>130</v>
      </c>
    </row>
    <row r="413" spans="1:3" x14ac:dyDescent="0.25">
      <c r="A413" s="60" t="s">
        <v>912</v>
      </c>
      <c r="B413" s="66" t="s">
        <v>913</v>
      </c>
      <c r="C413" s="55">
        <v>738</v>
      </c>
    </row>
    <row r="414" spans="1:3" x14ac:dyDescent="0.25">
      <c r="A414" s="60" t="s">
        <v>914</v>
      </c>
      <c r="B414" s="61" t="s">
        <v>915</v>
      </c>
      <c r="C414" s="68">
        <v>81</v>
      </c>
    </row>
    <row r="415" spans="1:3" x14ac:dyDescent="0.25">
      <c r="A415" s="36" t="s">
        <v>916</v>
      </c>
      <c r="B415" s="61" t="s">
        <v>917</v>
      </c>
      <c r="C415" s="68">
        <v>46</v>
      </c>
    </row>
    <row r="416" spans="1:3" x14ac:dyDescent="0.25">
      <c r="A416" s="36" t="s">
        <v>918</v>
      </c>
      <c r="B416" s="61" t="s">
        <v>919</v>
      </c>
      <c r="C416" s="68">
        <v>68</v>
      </c>
    </row>
    <row r="417" spans="1:3" x14ac:dyDescent="0.25">
      <c r="A417" s="36" t="s">
        <v>920</v>
      </c>
      <c r="B417" s="61" t="s">
        <v>921</v>
      </c>
      <c r="C417" s="68">
        <v>158</v>
      </c>
    </row>
    <row r="418" spans="1:3" x14ac:dyDescent="0.25">
      <c r="A418" s="36" t="s">
        <v>922</v>
      </c>
      <c r="B418" s="61" t="s">
        <v>923</v>
      </c>
      <c r="C418" s="68">
        <v>35</v>
      </c>
    </row>
    <row r="419" spans="1:3" x14ac:dyDescent="0.25">
      <c r="A419" s="36" t="s">
        <v>924</v>
      </c>
      <c r="B419" s="61" t="s">
        <v>925</v>
      </c>
      <c r="C419" s="68">
        <v>47</v>
      </c>
    </row>
    <row r="420" spans="1:3" x14ac:dyDescent="0.25">
      <c r="A420" s="36" t="s">
        <v>926</v>
      </c>
      <c r="B420" s="61" t="s">
        <v>927</v>
      </c>
      <c r="C420" s="68">
        <v>26</v>
      </c>
    </row>
    <row r="421" spans="1:3" x14ac:dyDescent="0.25">
      <c r="A421" s="36" t="s">
        <v>928</v>
      </c>
      <c r="B421" s="61" t="s">
        <v>929</v>
      </c>
      <c r="C421" s="68">
        <v>92</v>
      </c>
    </row>
    <row r="422" spans="1:3" x14ac:dyDescent="0.25">
      <c r="A422" s="36" t="s">
        <v>930</v>
      </c>
      <c r="B422" s="61" t="s">
        <v>931</v>
      </c>
      <c r="C422" s="68">
        <v>56</v>
      </c>
    </row>
    <row r="423" spans="1:3" x14ac:dyDescent="0.25">
      <c r="A423" s="36" t="s">
        <v>932</v>
      </c>
      <c r="B423" s="61" t="s">
        <v>933</v>
      </c>
      <c r="C423" s="68">
        <v>66</v>
      </c>
    </row>
    <row r="424" spans="1:3" x14ac:dyDescent="0.25">
      <c r="A424" s="36" t="s">
        <v>934</v>
      </c>
      <c r="B424" s="61" t="s">
        <v>935</v>
      </c>
      <c r="C424" s="72">
        <v>63</v>
      </c>
    </row>
    <row r="425" spans="1:3" x14ac:dyDescent="0.25">
      <c r="A425" s="36"/>
      <c r="B425" s="61"/>
    </row>
    <row r="426" spans="1:3" x14ac:dyDescent="0.25">
      <c r="A426" s="36"/>
      <c r="B426" s="61"/>
    </row>
    <row r="427" spans="1:3" x14ac:dyDescent="0.25">
      <c r="A427" s="36"/>
      <c r="B427" s="61"/>
    </row>
    <row r="428" spans="1:3" x14ac:dyDescent="0.25">
      <c r="A428" s="36"/>
      <c r="B428" s="61"/>
    </row>
    <row r="429" spans="1:3" x14ac:dyDescent="0.25">
      <c r="A429" s="36"/>
      <c r="B429" s="61"/>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6628F-7264-43C7-8200-35053F218E56}">
  <dimension ref="A1:E427"/>
  <sheetViews>
    <sheetView workbookViewId="0"/>
  </sheetViews>
  <sheetFormatPr defaultColWidth="9.44140625" defaultRowHeight="14.4" x14ac:dyDescent="0.3"/>
  <cols>
    <col min="1" max="1" width="19.77734375" customWidth="1"/>
    <col min="2" max="2" width="37.5546875" customWidth="1"/>
    <col min="3" max="3" width="19.77734375" customWidth="1"/>
    <col min="4" max="4" width="18.33203125" customWidth="1"/>
    <col min="5" max="5" width="9.44140625" customWidth="1"/>
  </cols>
  <sheetData>
    <row r="1" spans="1:5" ht="19.2" x14ac:dyDescent="0.35">
      <c r="A1" s="28" t="s">
        <v>31</v>
      </c>
      <c r="B1" s="29"/>
    </row>
    <row r="2" spans="1:5" ht="15.6" x14ac:dyDescent="0.3">
      <c r="A2" s="30" t="s">
        <v>62</v>
      </c>
    </row>
    <row r="3" spans="1:5" ht="15" thickBot="1" x14ac:dyDescent="0.35">
      <c r="A3" s="52" t="s">
        <v>91</v>
      </c>
      <c r="B3" s="52" t="s">
        <v>92</v>
      </c>
      <c r="C3" s="53" t="s">
        <v>936</v>
      </c>
    </row>
    <row r="4" spans="1:5" x14ac:dyDescent="0.3">
      <c r="A4" s="54" t="s">
        <v>94</v>
      </c>
      <c r="B4" s="54" t="s">
        <v>95</v>
      </c>
      <c r="C4" s="73">
        <v>14913145.789999999</v>
      </c>
      <c r="D4" s="74"/>
      <c r="E4" s="74"/>
    </row>
    <row r="5" spans="1:5" x14ac:dyDescent="0.3">
      <c r="A5" s="54" t="s">
        <v>96</v>
      </c>
      <c r="B5" s="56" t="s">
        <v>97</v>
      </c>
      <c r="C5" s="73">
        <v>14625595.789999999</v>
      </c>
      <c r="D5" s="74"/>
    </row>
    <row r="6" spans="1:5" x14ac:dyDescent="0.3">
      <c r="A6" s="57" t="s">
        <v>98</v>
      </c>
      <c r="B6" s="58" t="s">
        <v>99</v>
      </c>
      <c r="C6" s="75">
        <v>13131373.560000001</v>
      </c>
    </row>
    <row r="7" spans="1:5" x14ac:dyDescent="0.3">
      <c r="A7" s="54" t="s">
        <v>100</v>
      </c>
      <c r="B7" s="56" t="s">
        <v>101</v>
      </c>
      <c r="C7" s="73">
        <v>664391.92000000004</v>
      </c>
    </row>
    <row r="8" spans="1:5" x14ac:dyDescent="0.3">
      <c r="A8" s="60" t="s">
        <v>102</v>
      </c>
      <c r="B8" s="61" t="s">
        <v>103</v>
      </c>
      <c r="C8" s="76">
        <v>132829.70000000001</v>
      </c>
    </row>
    <row r="9" spans="1:5" x14ac:dyDescent="0.3">
      <c r="A9" s="60" t="s">
        <v>104</v>
      </c>
      <c r="B9" s="61" t="s">
        <v>105</v>
      </c>
      <c r="C9" s="76">
        <v>37432.5</v>
      </c>
    </row>
    <row r="10" spans="1:5" x14ac:dyDescent="0.3">
      <c r="A10" s="60" t="s">
        <v>106</v>
      </c>
      <c r="B10" s="61" t="s">
        <v>107</v>
      </c>
      <c r="C10" s="76">
        <v>14867.22</v>
      </c>
    </row>
    <row r="11" spans="1:5" x14ac:dyDescent="0.3">
      <c r="A11" s="36" t="s">
        <v>108</v>
      </c>
      <c r="B11" s="61" t="s">
        <v>109</v>
      </c>
      <c r="C11" s="76">
        <v>31750</v>
      </c>
    </row>
    <row r="12" spans="1:5" x14ac:dyDescent="0.3">
      <c r="A12" s="36" t="s">
        <v>110</v>
      </c>
      <c r="B12" s="61" t="s">
        <v>111</v>
      </c>
      <c r="C12" s="76">
        <v>82060</v>
      </c>
    </row>
    <row r="13" spans="1:5" x14ac:dyDescent="0.3">
      <c r="A13" s="36" t="s">
        <v>112</v>
      </c>
      <c r="B13" s="61" t="s">
        <v>113</v>
      </c>
      <c r="C13" s="76">
        <v>13175</v>
      </c>
    </row>
    <row r="14" spans="1:5" x14ac:dyDescent="0.3">
      <c r="A14" s="36" t="s">
        <v>114</v>
      </c>
      <c r="B14" s="61" t="s">
        <v>115</v>
      </c>
      <c r="C14" s="76">
        <v>85144.320000000007</v>
      </c>
    </row>
    <row r="15" spans="1:5" x14ac:dyDescent="0.3">
      <c r="A15" s="36" t="s">
        <v>116</v>
      </c>
      <c r="B15" s="56" t="s">
        <v>117</v>
      </c>
      <c r="C15" s="73">
        <v>267133.18</v>
      </c>
      <c r="D15" s="74"/>
    </row>
    <row r="16" spans="1:5" x14ac:dyDescent="0.3">
      <c r="A16" s="60" t="s">
        <v>118</v>
      </c>
      <c r="B16" s="61" t="s">
        <v>119</v>
      </c>
      <c r="C16" s="76">
        <v>56054.55</v>
      </c>
    </row>
    <row r="17" spans="1:3" x14ac:dyDescent="0.3">
      <c r="A17" s="36" t="s">
        <v>120</v>
      </c>
      <c r="B17" s="61" t="s">
        <v>121</v>
      </c>
      <c r="C17" s="76">
        <v>54956.82</v>
      </c>
    </row>
    <row r="18" spans="1:3" x14ac:dyDescent="0.3">
      <c r="A18" s="36" t="s">
        <v>122</v>
      </c>
      <c r="B18" s="61" t="s">
        <v>123</v>
      </c>
      <c r="C18" s="76">
        <v>51090</v>
      </c>
    </row>
    <row r="19" spans="1:3" x14ac:dyDescent="0.3">
      <c r="A19" s="60" t="s">
        <v>124</v>
      </c>
      <c r="B19" s="61" t="s">
        <v>125</v>
      </c>
      <c r="C19" s="76">
        <v>35850</v>
      </c>
    </row>
    <row r="20" spans="1:3" x14ac:dyDescent="0.3">
      <c r="A20" s="63" t="s">
        <v>126</v>
      </c>
      <c r="B20" s="64" t="s">
        <v>127</v>
      </c>
      <c r="C20" s="77">
        <v>69181.820000000007</v>
      </c>
    </row>
    <row r="21" spans="1:3" x14ac:dyDescent="0.3">
      <c r="A21" s="54" t="s">
        <v>128</v>
      </c>
      <c r="B21" s="56" t="s">
        <v>129</v>
      </c>
      <c r="C21" s="73">
        <v>1696414.28</v>
      </c>
    </row>
    <row r="22" spans="1:3" x14ac:dyDescent="0.3">
      <c r="A22" s="60" t="s">
        <v>130</v>
      </c>
      <c r="B22" s="61" t="s">
        <v>131</v>
      </c>
      <c r="C22" s="76">
        <v>29150.65</v>
      </c>
    </row>
    <row r="23" spans="1:3" x14ac:dyDescent="0.3">
      <c r="A23" s="60" t="s">
        <v>132</v>
      </c>
      <c r="B23" s="61" t="s">
        <v>133</v>
      </c>
      <c r="C23" s="76">
        <v>24650</v>
      </c>
    </row>
    <row r="24" spans="1:3" x14ac:dyDescent="0.3">
      <c r="A24" s="60" t="s">
        <v>134</v>
      </c>
      <c r="B24" s="61" t="s">
        <v>135</v>
      </c>
      <c r="C24" s="76">
        <v>89200</v>
      </c>
    </row>
    <row r="25" spans="1:3" x14ac:dyDescent="0.3">
      <c r="A25" s="36" t="s">
        <v>136</v>
      </c>
      <c r="B25" s="61" t="s">
        <v>137</v>
      </c>
      <c r="C25" s="76">
        <v>120265.96</v>
      </c>
    </row>
    <row r="26" spans="1:3" x14ac:dyDescent="0.3">
      <c r="A26" s="36" t="s">
        <v>138</v>
      </c>
      <c r="B26" s="61" t="s">
        <v>139</v>
      </c>
      <c r="C26" s="76">
        <v>40000</v>
      </c>
    </row>
    <row r="27" spans="1:3" x14ac:dyDescent="0.3">
      <c r="A27" s="36" t="s">
        <v>140</v>
      </c>
      <c r="B27" s="61" t="s">
        <v>141</v>
      </c>
      <c r="C27" s="76">
        <v>106998.33</v>
      </c>
    </row>
    <row r="28" spans="1:3" x14ac:dyDescent="0.3">
      <c r="A28" s="36" t="s">
        <v>142</v>
      </c>
      <c r="B28" s="61" t="s">
        <v>143</v>
      </c>
      <c r="C28" s="73">
        <v>99008.33</v>
      </c>
    </row>
    <row r="29" spans="1:3" x14ac:dyDescent="0.3">
      <c r="A29" s="36" t="s">
        <v>144</v>
      </c>
      <c r="B29" s="56" t="s">
        <v>145</v>
      </c>
      <c r="C29" s="76">
        <v>11316.67</v>
      </c>
    </row>
    <row r="30" spans="1:3" x14ac:dyDescent="0.3">
      <c r="A30" s="60" t="s">
        <v>146</v>
      </c>
      <c r="B30" s="61" t="s">
        <v>147</v>
      </c>
      <c r="C30" s="76">
        <v>6550</v>
      </c>
    </row>
    <row r="31" spans="1:3" x14ac:dyDescent="0.3">
      <c r="A31" s="36" t="s">
        <v>148</v>
      </c>
      <c r="B31" s="61" t="s">
        <v>149</v>
      </c>
      <c r="C31" s="76">
        <v>32341.67</v>
      </c>
    </row>
    <row r="32" spans="1:3" x14ac:dyDescent="0.3">
      <c r="A32" s="36" t="s">
        <v>150</v>
      </c>
      <c r="B32" s="61" t="s">
        <v>151</v>
      </c>
      <c r="C32" s="76">
        <v>5300</v>
      </c>
    </row>
    <row r="33" spans="1:3" x14ac:dyDescent="0.3">
      <c r="A33" s="60" t="s">
        <v>152</v>
      </c>
      <c r="B33" s="61" t="s">
        <v>153</v>
      </c>
      <c r="C33" s="76">
        <v>11733.33</v>
      </c>
    </row>
    <row r="34" spans="1:3" x14ac:dyDescent="0.3">
      <c r="A34" s="36" t="s">
        <v>154</v>
      </c>
      <c r="B34" s="61" t="s">
        <v>155</v>
      </c>
      <c r="C34" s="76">
        <v>31766.67</v>
      </c>
    </row>
    <row r="35" spans="1:3" x14ac:dyDescent="0.3">
      <c r="A35" s="60" t="s">
        <v>156</v>
      </c>
      <c r="B35" s="66" t="s">
        <v>157</v>
      </c>
      <c r="C35" s="73">
        <v>668512.37</v>
      </c>
    </row>
    <row r="36" spans="1:3" x14ac:dyDescent="0.3">
      <c r="A36" s="60" t="s">
        <v>158</v>
      </c>
      <c r="B36" s="61" t="s">
        <v>159</v>
      </c>
      <c r="C36" s="76">
        <v>50395.45</v>
      </c>
    </row>
    <row r="37" spans="1:3" x14ac:dyDescent="0.3">
      <c r="A37" s="36" t="s">
        <v>160</v>
      </c>
      <c r="B37" s="61" t="s">
        <v>161</v>
      </c>
      <c r="C37" s="76">
        <v>47700</v>
      </c>
    </row>
    <row r="38" spans="1:3" x14ac:dyDescent="0.3">
      <c r="A38" s="36" t="s">
        <v>162</v>
      </c>
      <c r="B38" s="61" t="s">
        <v>163</v>
      </c>
      <c r="C38" s="76">
        <v>100880</v>
      </c>
    </row>
    <row r="39" spans="1:3" x14ac:dyDescent="0.3">
      <c r="A39" s="60" t="s">
        <v>164</v>
      </c>
      <c r="B39" s="61" t="s">
        <v>165</v>
      </c>
      <c r="C39" s="76">
        <v>51316.67</v>
      </c>
    </row>
    <row r="40" spans="1:3" x14ac:dyDescent="0.3">
      <c r="A40" s="36" t="s">
        <v>166</v>
      </c>
      <c r="B40" s="61" t="s">
        <v>167</v>
      </c>
      <c r="C40" s="76">
        <v>60000</v>
      </c>
    </row>
    <row r="41" spans="1:3" x14ac:dyDescent="0.3">
      <c r="A41" s="60" t="s">
        <v>168</v>
      </c>
      <c r="B41" s="61" t="s">
        <v>169</v>
      </c>
      <c r="C41" s="76">
        <v>63456.25</v>
      </c>
    </row>
    <row r="42" spans="1:3" x14ac:dyDescent="0.3">
      <c r="A42" s="36" t="s">
        <v>170</v>
      </c>
      <c r="B42" s="61" t="s">
        <v>171</v>
      </c>
      <c r="C42" s="76">
        <v>81494</v>
      </c>
    </row>
    <row r="43" spans="1:3" x14ac:dyDescent="0.3">
      <c r="A43" s="36" t="s">
        <v>172</v>
      </c>
      <c r="B43" s="61" t="s">
        <v>173</v>
      </c>
      <c r="C43" s="76">
        <v>47266.67</v>
      </c>
    </row>
    <row r="44" spans="1:3" x14ac:dyDescent="0.3">
      <c r="A44" s="60" t="s">
        <v>174</v>
      </c>
      <c r="B44" s="61" t="s">
        <v>175</v>
      </c>
      <c r="C44" s="76">
        <v>102376.67</v>
      </c>
    </row>
    <row r="45" spans="1:3" x14ac:dyDescent="0.3">
      <c r="A45" s="36" t="s">
        <v>176</v>
      </c>
      <c r="B45" s="61" t="s">
        <v>177</v>
      </c>
      <c r="C45" s="76">
        <v>63626.67</v>
      </c>
    </row>
    <row r="46" spans="1:3" x14ac:dyDescent="0.3">
      <c r="A46" s="60" t="s">
        <v>178</v>
      </c>
      <c r="B46" s="66" t="s">
        <v>179</v>
      </c>
      <c r="C46" s="73">
        <v>320653.64</v>
      </c>
    </row>
    <row r="47" spans="1:3" x14ac:dyDescent="0.3">
      <c r="A47" s="60" t="s">
        <v>180</v>
      </c>
      <c r="B47" s="61" t="s">
        <v>181</v>
      </c>
      <c r="C47" s="76">
        <v>14235.71</v>
      </c>
    </row>
    <row r="48" spans="1:3" x14ac:dyDescent="0.3">
      <c r="A48" s="36" t="s">
        <v>182</v>
      </c>
      <c r="B48" s="61" t="s">
        <v>183</v>
      </c>
      <c r="C48" s="76">
        <v>31151.26</v>
      </c>
    </row>
    <row r="49" spans="1:3" x14ac:dyDescent="0.3">
      <c r="A49" s="36" t="s">
        <v>184</v>
      </c>
      <c r="B49" s="61" t="s">
        <v>185</v>
      </c>
      <c r="C49" s="76">
        <v>14750</v>
      </c>
    </row>
    <row r="50" spans="1:3" x14ac:dyDescent="0.3">
      <c r="A50" s="60" t="s">
        <v>186</v>
      </c>
      <c r="B50" s="61" t="s">
        <v>187</v>
      </c>
      <c r="C50" s="76">
        <v>30050</v>
      </c>
    </row>
    <row r="51" spans="1:3" x14ac:dyDescent="0.3">
      <c r="A51" s="36" t="s">
        <v>188</v>
      </c>
      <c r="B51" s="61" t="s">
        <v>189</v>
      </c>
      <c r="C51" s="76">
        <v>33175</v>
      </c>
    </row>
    <row r="52" spans="1:3" x14ac:dyDescent="0.3">
      <c r="A52" s="60" t="s">
        <v>190</v>
      </c>
      <c r="B52" s="61" t="s">
        <v>191</v>
      </c>
      <c r="C52" s="76">
        <v>20800</v>
      </c>
    </row>
    <row r="53" spans="1:3" x14ac:dyDescent="0.3">
      <c r="A53" s="36" t="s">
        <v>192</v>
      </c>
      <c r="B53" s="61" t="s">
        <v>193</v>
      </c>
      <c r="C53" s="76">
        <v>44250</v>
      </c>
    </row>
    <row r="54" spans="1:3" x14ac:dyDescent="0.3">
      <c r="A54" s="36" t="s">
        <v>194</v>
      </c>
      <c r="B54" s="61" t="s">
        <v>195</v>
      </c>
      <c r="C54" s="76">
        <v>11800</v>
      </c>
    </row>
    <row r="55" spans="1:3" x14ac:dyDescent="0.3">
      <c r="A55" s="60" t="s">
        <v>196</v>
      </c>
      <c r="B55" s="61" t="s">
        <v>197</v>
      </c>
      <c r="C55" s="76">
        <v>24500</v>
      </c>
    </row>
    <row r="56" spans="1:3" x14ac:dyDescent="0.3">
      <c r="A56" s="36" t="s">
        <v>198</v>
      </c>
      <c r="B56" s="61" t="s">
        <v>199</v>
      </c>
      <c r="C56" s="76">
        <v>40950</v>
      </c>
    </row>
    <row r="57" spans="1:3" x14ac:dyDescent="0.3">
      <c r="A57" s="60" t="s">
        <v>200</v>
      </c>
      <c r="B57" s="61" t="s">
        <v>201</v>
      </c>
      <c r="C57" s="76">
        <v>38975</v>
      </c>
    </row>
    <row r="58" spans="1:3" x14ac:dyDescent="0.3">
      <c r="A58" s="36" t="s">
        <v>202</v>
      </c>
      <c r="B58" s="61" t="s">
        <v>203</v>
      </c>
      <c r="C58" s="76">
        <v>16016.67</v>
      </c>
    </row>
    <row r="59" spans="1:3" x14ac:dyDescent="0.3">
      <c r="A59" s="60" t="s">
        <v>204</v>
      </c>
      <c r="B59" s="66" t="s">
        <v>205</v>
      </c>
      <c r="C59" s="73">
        <v>197975</v>
      </c>
    </row>
    <row r="60" spans="1:3" x14ac:dyDescent="0.3">
      <c r="A60" s="60" t="s">
        <v>206</v>
      </c>
      <c r="B60" s="61" t="s">
        <v>207</v>
      </c>
      <c r="C60" s="76">
        <v>18877.27</v>
      </c>
    </row>
    <row r="61" spans="1:3" x14ac:dyDescent="0.3">
      <c r="A61" s="36" t="s">
        <v>208</v>
      </c>
      <c r="B61" s="61" t="s">
        <v>209</v>
      </c>
      <c r="C61" s="76">
        <v>63856.06</v>
      </c>
    </row>
    <row r="62" spans="1:3" x14ac:dyDescent="0.3">
      <c r="A62" s="36" t="s">
        <v>210</v>
      </c>
      <c r="B62" s="61" t="s">
        <v>211</v>
      </c>
      <c r="C62" s="76">
        <v>22300</v>
      </c>
    </row>
    <row r="63" spans="1:3" x14ac:dyDescent="0.3">
      <c r="A63" s="60" t="s">
        <v>212</v>
      </c>
      <c r="B63" s="61" t="s">
        <v>213</v>
      </c>
      <c r="C63" s="76">
        <v>45541.67</v>
      </c>
    </row>
    <row r="64" spans="1:3" x14ac:dyDescent="0.3">
      <c r="A64" s="63" t="s">
        <v>214</v>
      </c>
      <c r="B64" s="64" t="s">
        <v>215</v>
      </c>
      <c r="C64" s="78">
        <v>47400</v>
      </c>
    </row>
    <row r="65" spans="1:3" x14ac:dyDescent="0.3">
      <c r="A65" s="54" t="s">
        <v>216</v>
      </c>
      <c r="B65" s="66" t="s">
        <v>217</v>
      </c>
      <c r="C65" s="73">
        <v>1571201.95</v>
      </c>
    </row>
    <row r="66" spans="1:3" x14ac:dyDescent="0.3">
      <c r="A66" s="60" t="s">
        <v>218</v>
      </c>
      <c r="B66" s="61" t="s">
        <v>219</v>
      </c>
      <c r="C66" s="37">
        <v>76748.47</v>
      </c>
    </row>
    <row r="67" spans="1:3" x14ac:dyDescent="0.3">
      <c r="A67" s="36" t="s">
        <v>220</v>
      </c>
      <c r="B67" s="61" t="s">
        <v>221</v>
      </c>
      <c r="C67" s="37">
        <v>77259.710000000006</v>
      </c>
    </row>
    <row r="68" spans="1:3" x14ac:dyDescent="0.3">
      <c r="A68" s="36" t="s">
        <v>222</v>
      </c>
      <c r="B68" s="61" t="s">
        <v>223</v>
      </c>
      <c r="C68" s="37">
        <v>48633.33</v>
      </c>
    </row>
    <row r="69" spans="1:3" x14ac:dyDescent="0.3">
      <c r="A69" s="60" t="s">
        <v>224</v>
      </c>
      <c r="B69" s="61" t="s">
        <v>225</v>
      </c>
      <c r="C69" s="37">
        <v>33475</v>
      </c>
    </row>
    <row r="70" spans="1:3" x14ac:dyDescent="0.3">
      <c r="A70" s="36" t="s">
        <v>226</v>
      </c>
      <c r="B70" s="61" t="s">
        <v>227</v>
      </c>
      <c r="C70" s="37">
        <v>47150</v>
      </c>
    </row>
    <row r="71" spans="1:3" x14ac:dyDescent="0.3">
      <c r="A71" s="60" t="s">
        <v>228</v>
      </c>
      <c r="B71" s="66" t="s">
        <v>229</v>
      </c>
      <c r="C71" s="73">
        <v>200549.89</v>
      </c>
    </row>
    <row r="72" spans="1:3" x14ac:dyDescent="0.3">
      <c r="A72" s="60" t="s">
        <v>230</v>
      </c>
      <c r="B72" s="61" t="s">
        <v>231</v>
      </c>
      <c r="C72" s="37">
        <v>24027.27</v>
      </c>
    </row>
    <row r="73" spans="1:3" x14ac:dyDescent="0.3">
      <c r="A73" s="36" t="s">
        <v>232</v>
      </c>
      <c r="B73" s="61" t="s">
        <v>233</v>
      </c>
      <c r="C73" s="37">
        <v>35962.5</v>
      </c>
    </row>
    <row r="74" spans="1:3" x14ac:dyDescent="0.3">
      <c r="A74" s="36" t="s">
        <v>234</v>
      </c>
      <c r="B74" s="61" t="s">
        <v>235</v>
      </c>
      <c r="C74" s="37">
        <v>59787.5</v>
      </c>
    </row>
    <row r="75" spans="1:3" x14ac:dyDescent="0.3">
      <c r="A75" s="60" t="s">
        <v>236</v>
      </c>
      <c r="B75" s="61" t="s">
        <v>237</v>
      </c>
      <c r="C75" s="37">
        <v>24400</v>
      </c>
    </row>
    <row r="76" spans="1:3" x14ac:dyDescent="0.3">
      <c r="A76" s="36" t="s">
        <v>238</v>
      </c>
      <c r="B76" s="61" t="s">
        <v>239</v>
      </c>
      <c r="C76" s="37">
        <v>24483.33</v>
      </c>
    </row>
    <row r="77" spans="1:3" x14ac:dyDescent="0.3">
      <c r="A77" s="60" t="s">
        <v>240</v>
      </c>
      <c r="B77" s="61" t="s">
        <v>241</v>
      </c>
      <c r="C77" s="37">
        <v>11014.29</v>
      </c>
    </row>
    <row r="78" spans="1:3" x14ac:dyDescent="0.3">
      <c r="A78" s="36" t="s">
        <v>242</v>
      </c>
      <c r="B78" s="61" t="s">
        <v>243</v>
      </c>
      <c r="C78" s="37">
        <v>20875</v>
      </c>
    </row>
    <row r="79" spans="1:3" x14ac:dyDescent="0.3">
      <c r="A79" s="60" t="s">
        <v>244</v>
      </c>
      <c r="B79" s="66" t="s">
        <v>245</v>
      </c>
      <c r="C79" s="73">
        <v>359064.07</v>
      </c>
    </row>
    <row r="80" spans="1:3" x14ac:dyDescent="0.3">
      <c r="A80" s="60" t="s">
        <v>246</v>
      </c>
      <c r="B80" s="61" t="s">
        <v>247</v>
      </c>
      <c r="C80" s="37">
        <v>75900</v>
      </c>
    </row>
    <row r="81" spans="1:3" x14ac:dyDescent="0.3">
      <c r="A81" s="36" t="s">
        <v>248</v>
      </c>
      <c r="B81" s="61" t="s">
        <v>249</v>
      </c>
      <c r="C81" s="37">
        <v>61628.85</v>
      </c>
    </row>
    <row r="82" spans="1:3" x14ac:dyDescent="0.3">
      <c r="A82" s="36" t="s">
        <v>250</v>
      </c>
      <c r="B82" s="61" t="s">
        <v>251</v>
      </c>
      <c r="C82" s="37">
        <v>71183.33</v>
      </c>
    </row>
    <row r="83" spans="1:3" x14ac:dyDescent="0.3">
      <c r="A83" s="60" t="s">
        <v>252</v>
      </c>
      <c r="B83" s="61" t="s">
        <v>253</v>
      </c>
      <c r="C83" s="37">
        <v>150351.89000000001</v>
      </c>
    </row>
    <row r="84" spans="1:3" x14ac:dyDescent="0.3">
      <c r="A84" s="60" t="s">
        <v>254</v>
      </c>
      <c r="B84" s="66" t="s">
        <v>255</v>
      </c>
      <c r="C84" s="73">
        <v>728321.47</v>
      </c>
    </row>
    <row r="85" spans="1:3" x14ac:dyDescent="0.3">
      <c r="A85" s="60" t="s">
        <v>256</v>
      </c>
      <c r="B85" s="61" t="s">
        <v>257</v>
      </c>
      <c r="C85" s="37">
        <v>116851.14</v>
      </c>
    </row>
    <row r="86" spans="1:3" x14ac:dyDescent="0.3">
      <c r="A86" s="36" t="s">
        <v>258</v>
      </c>
      <c r="B86" s="61" t="s">
        <v>259</v>
      </c>
      <c r="C86" s="37">
        <v>84300</v>
      </c>
    </row>
    <row r="87" spans="1:3" x14ac:dyDescent="0.3">
      <c r="A87" s="36" t="s">
        <v>260</v>
      </c>
      <c r="B87" s="61" t="s">
        <v>261</v>
      </c>
      <c r="C87" s="37">
        <v>122771.61</v>
      </c>
    </row>
    <row r="88" spans="1:3" x14ac:dyDescent="0.3">
      <c r="A88" s="60" t="s">
        <v>262</v>
      </c>
      <c r="B88" s="61" t="s">
        <v>263</v>
      </c>
      <c r="C88" s="37">
        <v>287145.83</v>
      </c>
    </row>
    <row r="89" spans="1:3" x14ac:dyDescent="0.3">
      <c r="A89" s="63" t="s">
        <v>264</v>
      </c>
      <c r="B89" s="64" t="s">
        <v>265</v>
      </c>
      <c r="C89" s="78">
        <v>117252.88</v>
      </c>
    </row>
    <row r="90" spans="1:3" x14ac:dyDescent="0.3">
      <c r="A90" s="54" t="s">
        <v>266</v>
      </c>
      <c r="B90" s="66" t="s">
        <v>267</v>
      </c>
      <c r="C90" s="73">
        <v>1423201.51</v>
      </c>
    </row>
    <row r="91" spans="1:3" x14ac:dyDescent="0.3">
      <c r="A91" s="60" t="s">
        <v>268</v>
      </c>
      <c r="B91" s="61" t="s">
        <v>269</v>
      </c>
      <c r="C91" s="37">
        <v>66472.92</v>
      </c>
    </row>
    <row r="92" spans="1:3" x14ac:dyDescent="0.3">
      <c r="A92" s="36" t="s">
        <v>270</v>
      </c>
      <c r="B92" s="61" t="s">
        <v>271</v>
      </c>
      <c r="C92" s="37">
        <v>55900</v>
      </c>
    </row>
    <row r="93" spans="1:3" x14ac:dyDescent="0.3">
      <c r="A93" s="36" t="s">
        <v>272</v>
      </c>
      <c r="B93" s="61" t="s">
        <v>273</v>
      </c>
      <c r="C93" s="37">
        <v>148365.88</v>
      </c>
    </row>
    <row r="94" spans="1:3" x14ac:dyDescent="0.3">
      <c r="A94" s="60" t="s">
        <v>274</v>
      </c>
      <c r="B94" s="61" t="s">
        <v>275</v>
      </c>
      <c r="C94" s="37">
        <v>69036.36</v>
      </c>
    </row>
    <row r="95" spans="1:3" x14ac:dyDescent="0.3">
      <c r="A95" s="36" t="s">
        <v>276</v>
      </c>
      <c r="B95" s="61" t="s">
        <v>277</v>
      </c>
      <c r="C95" s="37">
        <v>17347.22</v>
      </c>
    </row>
    <row r="96" spans="1:3" x14ac:dyDescent="0.3">
      <c r="A96" s="60" t="s">
        <v>278</v>
      </c>
      <c r="B96" s="61" t="s">
        <v>279</v>
      </c>
      <c r="C96" s="37">
        <v>170045.22</v>
      </c>
    </row>
    <row r="97" spans="1:3" x14ac:dyDescent="0.3">
      <c r="A97" s="60" t="s">
        <v>280</v>
      </c>
      <c r="B97" s="66" t="s">
        <v>281</v>
      </c>
      <c r="C97" s="73">
        <v>217211.67</v>
      </c>
    </row>
    <row r="98" spans="1:3" x14ac:dyDescent="0.3">
      <c r="A98" s="60" t="s">
        <v>282</v>
      </c>
      <c r="B98" s="61" t="s">
        <v>283</v>
      </c>
      <c r="C98" s="37">
        <v>46466.67</v>
      </c>
    </row>
    <row r="99" spans="1:3" x14ac:dyDescent="0.3">
      <c r="A99" s="36" t="s">
        <v>284</v>
      </c>
      <c r="B99" s="61" t="s">
        <v>285</v>
      </c>
      <c r="C99" s="37">
        <v>27750</v>
      </c>
    </row>
    <row r="100" spans="1:3" x14ac:dyDescent="0.3">
      <c r="A100" s="36" t="s">
        <v>286</v>
      </c>
      <c r="B100" s="61" t="s">
        <v>287</v>
      </c>
      <c r="C100" s="37">
        <v>40100</v>
      </c>
    </row>
    <row r="101" spans="1:3" x14ac:dyDescent="0.3">
      <c r="A101" s="60" t="s">
        <v>288</v>
      </c>
      <c r="B101" s="61" t="s">
        <v>289</v>
      </c>
      <c r="C101" s="37">
        <v>17250</v>
      </c>
    </row>
    <row r="102" spans="1:3" x14ac:dyDescent="0.3">
      <c r="A102" s="36" t="s">
        <v>290</v>
      </c>
      <c r="B102" s="61" t="s">
        <v>291</v>
      </c>
      <c r="C102" s="37">
        <v>25350</v>
      </c>
    </row>
    <row r="103" spans="1:3" x14ac:dyDescent="0.3">
      <c r="A103" s="60" t="s">
        <v>292</v>
      </c>
      <c r="B103" s="61" t="s">
        <v>293</v>
      </c>
      <c r="C103" s="37">
        <v>14345</v>
      </c>
    </row>
    <row r="104" spans="1:3" x14ac:dyDescent="0.3">
      <c r="A104" s="36" t="s">
        <v>294</v>
      </c>
      <c r="B104" s="61" t="s">
        <v>295</v>
      </c>
      <c r="C104" s="37">
        <v>29350</v>
      </c>
    </row>
    <row r="105" spans="1:3" x14ac:dyDescent="0.3">
      <c r="A105" s="60" t="s">
        <v>296</v>
      </c>
      <c r="B105" s="61" t="s">
        <v>297</v>
      </c>
      <c r="C105" s="37">
        <v>16600</v>
      </c>
    </row>
    <row r="106" spans="1:3" x14ac:dyDescent="0.3">
      <c r="A106" s="60" t="s">
        <v>298</v>
      </c>
      <c r="B106" s="66" t="s">
        <v>299</v>
      </c>
      <c r="C106" s="73">
        <v>265381.36</v>
      </c>
    </row>
    <row r="107" spans="1:3" x14ac:dyDescent="0.3">
      <c r="A107" s="60" t="s">
        <v>300</v>
      </c>
      <c r="B107" s="61" t="s">
        <v>301</v>
      </c>
      <c r="C107" s="37">
        <v>57900</v>
      </c>
    </row>
    <row r="108" spans="1:3" x14ac:dyDescent="0.3">
      <c r="A108" s="36" t="s">
        <v>302</v>
      </c>
      <c r="B108" s="61" t="s">
        <v>303</v>
      </c>
      <c r="C108" s="37">
        <v>42775</v>
      </c>
    </row>
    <row r="109" spans="1:3" x14ac:dyDescent="0.3">
      <c r="A109" s="36" t="s">
        <v>304</v>
      </c>
      <c r="B109" s="61" t="s">
        <v>305</v>
      </c>
      <c r="C109" s="37">
        <v>31987.5</v>
      </c>
    </row>
    <row r="110" spans="1:3" x14ac:dyDescent="0.3">
      <c r="A110" s="60" t="s">
        <v>306</v>
      </c>
      <c r="B110" s="61" t="s">
        <v>307</v>
      </c>
      <c r="C110" s="37">
        <v>30686.36</v>
      </c>
    </row>
    <row r="111" spans="1:3" x14ac:dyDescent="0.3">
      <c r="A111" s="36" t="s">
        <v>308</v>
      </c>
      <c r="B111" s="61" t="s">
        <v>309</v>
      </c>
      <c r="C111" s="37">
        <v>7400</v>
      </c>
    </row>
    <row r="112" spans="1:3" x14ac:dyDescent="0.3">
      <c r="A112" s="60" t="s">
        <v>310</v>
      </c>
      <c r="B112" s="61" t="s">
        <v>311</v>
      </c>
      <c r="C112" s="37">
        <v>83232.5</v>
      </c>
    </row>
    <row r="113" spans="1:3" x14ac:dyDescent="0.3">
      <c r="A113" s="36" t="s">
        <v>312</v>
      </c>
      <c r="B113" s="61" t="s">
        <v>313</v>
      </c>
      <c r="C113" s="37">
        <v>11400</v>
      </c>
    </row>
    <row r="114" spans="1:3" x14ac:dyDescent="0.3">
      <c r="A114" s="60" t="s">
        <v>314</v>
      </c>
      <c r="B114" s="66" t="s">
        <v>315</v>
      </c>
      <c r="C114" s="73">
        <v>235388.44</v>
      </c>
    </row>
    <row r="115" spans="1:3" x14ac:dyDescent="0.3">
      <c r="A115" s="60" t="s">
        <v>316</v>
      </c>
      <c r="B115" s="61" t="s">
        <v>317</v>
      </c>
      <c r="C115" s="37">
        <v>33665</v>
      </c>
    </row>
    <row r="116" spans="1:3" x14ac:dyDescent="0.3">
      <c r="A116" s="36" t="s">
        <v>318</v>
      </c>
      <c r="B116" s="61" t="s">
        <v>319</v>
      </c>
      <c r="C116" s="37">
        <v>36250</v>
      </c>
    </row>
    <row r="117" spans="1:3" x14ac:dyDescent="0.3">
      <c r="A117" s="36" t="s">
        <v>320</v>
      </c>
      <c r="B117" s="61" t="s">
        <v>321</v>
      </c>
      <c r="C117" s="37">
        <v>26287.5</v>
      </c>
    </row>
    <row r="118" spans="1:3" x14ac:dyDescent="0.3">
      <c r="A118" s="60" t="s">
        <v>322</v>
      </c>
      <c r="B118" s="61" t="s">
        <v>323</v>
      </c>
      <c r="C118" s="37">
        <v>46075</v>
      </c>
    </row>
    <row r="119" spans="1:3" x14ac:dyDescent="0.3">
      <c r="A119" s="36" t="s">
        <v>324</v>
      </c>
      <c r="B119" s="61" t="s">
        <v>325</v>
      </c>
      <c r="C119" s="37">
        <v>30003.25</v>
      </c>
    </row>
    <row r="120" spans="1:3" x14ac:dyDescent="0.3">
      <c r="A120" s="60" t="s">
        <v>326</v>
      </c>
      <c r="B120" s="61" t="s">
        <v>327</v>
      </c>
      <c r="C120" s="37">
        <v>42457.69</v>
      </c>
    </row>
    <row r="121" spans="1:3" x14ac:dyDescent="0.3">
      <c r="A121" s="36" t="s">
        <v>328</v>
      </c>
      <c r="B121" s="61" t="s">
        <v>329</v>
      </c>
      <c r="C121" s="37">
        <v>20650</v>
      </c>
    </row>
    <row r="122" spans="1:3" x14ac:dyDescent="0.3">
      <c r="A122" s="60" t="s">
        <v>330</v>
      </c>
      <c r="B122" s="66" t="s">
        <v>331</v>
      </c>
      <c r="C122" s="73">
        <v>178052.42</v>
      </c>
    </row>
    <row r="123" spans="1:3" x14ac:dyDescent="0.3">
      <c r="A123" s="60" t="s">
        <v>332</v>
      </c>
      <c r="B123" s="61" t="s">
        <v>333</v>
      </c>
      <c r="C123" s="37">
        <v>29536.36</v>
      </c>
    </row>
    <row r="124" spans="1:3" x14ac:dyDescent="0.3">
      <c r="A124" s="36" t="s">
        <v>334</v>
      </c>
      <c r="B124" s="61" t="s">
        <v>335</v>
      </c>
      <c r="C124" s="37">
        <v>24496.36</v>
      </c>
    </row>
    <row r="125" spans="1:3" x14ac:dyDescent="0.3">
      <c r="A125" s="36" t="s">
        <v>336</v>
      </c>
      <c r="B125" s="61" t="s">
        <v>337</v>
      </c>
      <c r="C125" s="37">
        <v>28683.33</v>
      </c>
    </row>
    <row r="126" spans="1:3" x14ac:dyDescent="0.3">
      <c r="A126" s="60" t="s">
        <v>338</v>
      </c>
      <c r="B126" s="61" t="s">
        <v>339</v>
      </c>
      <c r="C126" s="37">
        <v>16900</v>
      </c>
    </row>
    <row r="127" spans="1:3" x14ac:dyDescent="0.3">
      <c r="A127" s="36" t="s">
        <v>340</v>
      </c>
      <c r="B127" s="61" t="s">
        <v>341</v>
      </c>
      <c r="C127" s="37">
        <v>24350</v>
      </c>
    </row>
    <row r="128" spans="1:3" x14ac:dyDescent="0.3">
      <c r="A128" s="36" t="s">
        <v>342</v>
      </c>
      <c r="B128" s="61" t="s">
        <v>343</v>
      </c>
      <c r="C128" s="37">
        <v>40286.36</v>
      </c>
    </row>
    <row r="129" spans="1:3" x14ac:dyDescent="0.3">
      <c r="A129" s="63" t="s">
        <v>344</v>
      </c>
      <c r="B129" s="64" t="s">
        <v>345</v>
      </c>
      <c r="C129" s="78">
        <v>13800</v>
      </c>
    </row>
    <row r="130" spans="1:3" x14ac:dyDescent="0.3">
      <c r="A130" s="54" t="s">
        <v>346</v>
      </c>
      <c r="B130" s="66" t="s">
        <v>347</v>
      </c>
      <c r="C130" s="73">
        <v>1513593.12</v>
      </c>
    </row>
    <row r="131" spans="1:3" x14ac:dyDescent="0.3">
      <c r="A131" s="60" t="s">
        <v>348</v>
      </c>
      <c r="B131" s="61" t="s">
        <v>349</v>
      </c>
      <c r="C131" s="37">
        <v>68773.33</v>
      </c>
    </row>
    <row r="132" spans="1:3" x14ac:dyDescent="0.3">
      <c r="A132" s="36" t="s">
        <v>350</v>
      </c>
      <c r="B132" s="61" t="s">
        <v>351</v>
      </c>
      <c r="C132" s="37">
        <v>54144.44</v>
      </c>
    </row>
    <row r="133" spans="1:3" x14ac:dyDescent="0.3">
      <c r="A133" s="36" t="s">
        <v>352</v>
      </c>
      <c r="B133" s="61" t="s">
        <v>353</v>
      </c>
      <c r="C133" s="37">
        <v>56550</v>
      </c>
    </row>
    <row r="134" spans="1:3" x14ac:dyDescent="0.3">
      <c r="A134" s="60" t="s">
        <v>354</v>
      </c>
      <c r="B134" s="61" t="s">
        <v>355</v>
      </c>
      <c r="C134" s="37">
        <v>48190</v>
      </c>
    </row>
    <row r="135" spans="1:3" x14ac:dyDescent="0.3">
      <c r="A135" s="60" t="s">
        <v>356</v>
      </c>
      <c r="B135" s="66" t="s">
        <v>357</v>
      </c>
      <c r="C135" s="73">
        <v>262080.2</v>
      </c>
    </row>
    <row r="136" spans="1:3" x14ac:dyDescent="0.3">
      <c r="A136" s="60" t="s">
        <v>358</v>
      </c>
      <c r="B136" s="61" t="s">
        <v>359</v>
      </c>
      <c r="C136" s="37">
        <v>25663.64</v>
      </c>
    </row>
    <row r="137" spans="1:3" x14ac:dyDescent="0.3">
      <c r="A137" s="36" t="s">
        <v>360</v>
      </c>
      <c r="B137" s="61" t="s">
        <v>361</v>
      </c>
      <c r="C137" s="37">
        <v>54986.36</v>
      </c>
    </row>
    <row r="138" spans="1:3" x14ac:dyDescent="0.3">
      <c r="A138" s="36" t="s">
        <v>362</v>
      </c>
      <c r="B138" s="61" t="s">
        <v>363</v>
      </c>
      <c r="C138" s="37">
        <v>37620.400000000001</v>
      </c>
    </row>
    <row r="139" spans="1:3" x14ac:dyDescent="0.3">
      <c r="A139" s="60" t="s">
        <v>364</v>
      </c>
      <c r="B139" s="61" t="s">
        <v>365</v>
      </c>
      <c r="C139" s="37">
        <v>35450</v>
      </c>
    </row>
    <row r="140" spans="1:3" x14ac:dyDescent="0.3">
      <c r="A140" s="36" t="s">
        <v>366</v>
      </c>
      <c r="B140" s="61" t="s">
        <v>367</v>
      </c>
      <c r="C140" s="37">
        <v>19776.47</v>
      </c>
    </row>
    <row r="141" spans="1:3" x14ac:dyDescent="0.3">
      <c r="A141" s="60" t="s">
        <v>368</v>
      </c>
      <c r="B141" s="61" t="s">
        <v>369</v>
      </c>
      <c r="C141" s="37">
        <v>56133.33</v>
      </c>
    </row>
    <row r="142" spans="1:3" x14ac:dyDescent="0.3">
      <c r="A142" s="60" t="s">
        <v>370</v>
      </c>
      <c r="B142" s="61" t="s">
        <v>371</v>
      </c>
      <c r="C142" s="37">
        <v>8950</v>
      </c>
    </row>
    <row r="143" spans="1:3" x14ac:dyDescent="0.3">
      <c r="A143" s="36" t="s">
        <v>372</v>
      </c>
      <c r="B143" s="61" t="s">
        <v>373</v>
      </c>
      <c r="C143" s="37">
        <v>23500</v>
      </c>
    </row>
    <row r="144" spans="1:3" x14ac:dyDescent="0.3">
      <c r="A144" s="60" t="s">
        <v>374</v>
      </c>
      <c r="B144" s="66" t="s">
        <v>375</v>
      </c>
      <c r="C144" s="73">
        <v>250913.98</v>
      </c>
    </row>
    <row r="145" spans="1:3" x14ac:dyDescent="0.3">
      <c r="A145" s="60" t="s">
        <v>376</v>
      </c>
      <c r="B145" s="61" t="s">
        <v>377</v>
      </c>
      <c r="C145" s="37">
        <v>41178.86</v>
      </c>
    </row>
    <row r="146" spans="1:3" x14ac:dyDescent="0.3">
      <c r="A146" s="36" t="s">
        <v>378</v>
      </c>
      <c r="B146" s="61" t="s">
        <v>379</v>
      </c>
      <c r="C146" s="37">
        <v>21536.36</v>
      </c>
    </row>
    <row r="147" spans="1:3" x14ac:dyDescent="0.3">
      <c r="A147" s="36" t="s">
        <v>380</v>
      </c>
      <c r="B147" s="61" t="s">
        <v>381</v>
      </c>
      <c r="C147" s="37">
        <v>36298.75</v>
      </c>
    </row>
    <row r="148" spans="1:3" x14ac:dyDescent="0.3">
      <c r="A148" s="60" t="s">
        <v>382</v>
      </c>
      <c r="B148" s="61" t="s">
        <v>383</v>
      </c>
      <c r="C148" s="37">
        <v>81750</v>
      </c>
    </row>
    <row r="149" spans="1:3" x14ac:dyDescent="0.3">
      <c r="A149" s="36" t="s">
        <v>384</v>
      </c>
      <c r="B149" s="61" t="s">
        <v>385</v>
      </c>
      <c r="C149" s="37">
        <v>70150</v>
      </c>
    </row>
    <row r="150" spans="1:3" x14ac:dyDescent="0.3">
      <c r="A150" s="60" t="s">
        <v>386</v>
      </c>
      <c r="B150" s="66" t="s">
        <v>387</v>
      </c>
      <c r="C150" s="79">
        <v>598415.91</v>
      </c>
    </row>
    <row r="151" spans="1:3" x14ac:dyDescent="0.3">
      <c r="A151" s="60" t="s">
        <v>388</v>
      </c>
      <c r="B151" s="61" t="s">
        <v>389</v>
      </c>
      <c r="C151" s="37">
        <v>177235</v>
      </c>
    </row>
    <row r="152" spans="1:3" x14ac:dyDescent="0.3">
      <c r="A152" s="36" t="s">
        <v>390</v>
      </c>
      <c r="B152" s="61" t="s">
        <v>391</v>
      </c>
      <c r="C152" s="37">
        <v>95600</v>
      </c>
    </row>
    <row r="153" spans="1:3" x14ac:dyDescent="0.3">
      <c r="A153" s="36" t="s">
        <v>392</v>
      </c>
      <c r="B153" s="61" t="s">
        <v>393</v>
      </c>
      <c r="C153" s="37">
        <v>66196.19</v>
      </c>
    </row>
    <row r="154" spans="1:3" x14ac:dyDescent="0.3">
      <c r="A154" s="60" t="s">
        <v>394</v>
      </c>
      <c r="B154" s="61" t="s">
        <v>395</v>
      </c>
      <c r="C154" s="37">
        <v>61304.55</v>
      </c>
    </row>
    <row r="155" spans="1:3" x14ac:dyDescent="0.3">
      <c r="A155" s="36" t="s">
        <v>396</v>
      </c>
      <c r="B155" s="61" t="s">
        <v>397</v>
      </c>
      <c r="C155" s="37">
        <v>85000</v>
      </c>
    </row>
    <row r="156" spans="1:3" x14ac:dyDescent="0.3">
      <c r="A156" s="60" t="s">
        <v>398</v>
      </c>
      <c r="B156" s="61" t="s">
        <v>399</v>
      </c>
      <c r="C156" s="37">
        <v>59928.03</v>
      </c>
    </row>
    <row r="157" spans="1:3" x14ac:dyDescent="0.3">
      <c r="A157" s="36" t="s">
        <v>400</v>
      </c>
      <c r="B157" s="61" t="s">
        <v>401</v>
      </c>
      <c r="C157" s="37">
        <v>53152.14</v>
      </c>
    </row>
    <row r="158" spans="1:3" x14ac:dyDescent="0.3">
      <c r="A158" s="60" t="s">
        <v>402</v>
      </c>
      <c r="B158" s="66" t="s">
        <v>403</v>
      </c>
      <c r="C158" s="73">
        <v>174525.25</v>
      </c>
    </row>
    <row r="159" spans="1:3" x14ac:dyDescent="0.3">
      <c r="A159" s="60" t="s">
        <v>404</v>
      </c>
      <c r="B159" s="61" t="s">
        <v>405</v>
      </c>
      <c r="C159" s="37">
        <v>46783.33</v>
      </c>
    </row>
    <row r="160" spans="1:3" x14ac:dyDescent="0.3">
      <c r="A160" s="36" t="s">
        <v>406</v>
      </c>
      <c r="B160" s="61" t="s">
        <v>407</v>
      </c>
      <c r="C160" s="37">
        <v>20850</v>
      </c>
    </row>
    <row r="161" spans="1:3" x14ac:dyDescent="0.3">
      <c r="A161" s="36" t="s">
        <v>408</v>
      </c>
      <c r="B161" s="61" t="s">
        <v>409</v>
      </c>
      <c r="C161" s="37">
        <v>36750</v>
      </c>
    </row>
    <row r="162" spans="1:3" x14ac:dyDescent="0.3">
      <c r="A162" s="60" t="s">
        <v>410</v>
      </c>
      <c r="B162" s="61" t="s">
        <v>411</v>
      </c>
      <c r="C162" s="37">
        <v>17600</v>
      </c>
    </row>
    <row r="163" spans="1:3" x14ac:dyDescent="0.3">
      <c r="A163" s="36" t="s">
        <v>412</v>
      </c>
      <c r="B163" s="61" t="s">
        <v>413</v>
      </c>
      <c r="C163" s="37">
        <v>38953.03</v>
      </c>
    </row>
    <row r="164" spans="1:3" x14ac:dyDescent="0.3">
      <c r="A164" s="63" t="s">
        <v>414</v>
      </c>
      <c r="B164" s="64" t="s">
        <v>415</v>
      </c>
      <c r="C164" s="78">
        <v>13588.89</v>
      </c>
    </row>
    <row r="165" spans="1:3" x14ac:dyDescent="0.3">
      <c r="A165" s="54" t="s">
        <v>416</v>
      </c>
      <c r="B165" s="66" t="s">
        <v>417</v>
      </c>
      <c r="C165" s="73">
        <v>1761992.29</v>
      </c>
    </row>
    <row r="166" spans="1:3" x14ac:dyDescent="0.3">
      <c r="A166" s="60" t="s">
        <v>418</v>
      </c>
      <c r="B166" s="61" t="s">
        <v>419</v>
      </c>
      <c r="C166" s="37">
        <v>53338.89</v>
      </c>
    </row>
    <row r="167" spans="1:3" x14ac:dyDescent="0.3">
      <c r="A167" s="36" t="s">
        <v>420</v>
      </c>
      <c r="B167" s="61" t="s">
        <v>421</v>
      </c>
      <c r="C167" s="37">
        <v>56773.33</v>
      </c>
    </row>
    <row r="168" spans="1:3" x14ac:dyDescent="0.3">
      <c r="A168" s="36" t="s">
        <v>422</v>
      </c>
      <c r="B168" s="61" t="s">
        <v>423</v>
      </c>
      <c r="C168" s="37">
        <v>38100</v>
      </c>
    </row>
    <row r="169" spans="1:3" x14ac:dyDescent="0.3">
      <c r="A169" s="36" t="s">
        <v>424</v>
      </c>
      <c r="B169" s="61" t="s">
        <v>425</v>
      </c>
      <c r="C169" s="37">
        <v>111024.44</v>
      </c>
    </row>
    <row r="170" spans="1:3" x14ac:dyDescent="0.3">
      <c r="A170" s="36" t="s">
        <v>426</v>
      </c>
      <c r="B170" s="61" t="s">
        <v>427</v>
      </c>
      <c r="C170" s="37">
        <v>12315</v>
      </c>
    </row>
    <row r="171" spans="1:3" x14ac:dyDescent="0.3">
      <c r="A171" s="60" t="s">
        <v>428</v>
      </c>
      <c r="B171" s="61" t="s">
        <v>429</v>
      </c>
      <c r="C171" s="37">
        <v>41050</v>
      </c>
    </row>
    <row r="172" spans="1:3" x14ac:dyDescent="0.3">
      <c r="A172" s="60" t="s">
        <v>430</v>
      </c>
      <c r="B172" s="66" t="s">
        <v>431</v>
      </c>
      <c r="C172" s="73">
        <v>252700.35</v>
      </c>
    </row>
    <row r="173" spans="1:3" x14ac:dyDescent="0.3">
      <c r="A173" s="60" t="s">
        <v>432</v>
      </c>
      <c r="B173" s="61" t="s">
        <v>433</v>
      </c>
      <c r="C173" s="37">
        <v>23747.22</v>
      </c>
    </row>
    <row r="174" spans="1:3" x14ac:dyDescent="0.3">
      <c r="A174" s="36" t="s">
        <v>434</v>
      </c>
      <c r="B174" s="61" t="s">
        <v>435</v>
      </c>
      <c r="C174" s="37">
        <v>25975</v>
      </c>
    </row>
    <row r="175" spans="1:3" x14ac:dyDescent="0.3">
      <c r="A175" s="36" t="s">
        <v>436</v>
      </c>
      <c r="B175" s="61" t="s">
        <v>437</v>
      </c>
      <c r="C175" s="37">
        <v>18950</v>
      </c>
    </row>
    <row r="176" spans="1:3" x14ac:dyDescent="0.3">
      <c r="A176" s="60" t="s">
        <v>438</v>
      </c>
      <c r="B176" s="61" t="s">
        <v>439</v>
      </c>
      <c r="C176" s="37">
        <v>104790</v>
      </c>
    </row>
    <row r="177" spans="1:3" x14ac:dyDescent="0.3">
      <c r="A177" s="36" t="s">
        <v>440</v>
      </c>
      <c r="B177" s="61" t="s">
        <v>441</v>
      </c>
      <c r="C177" s="37">
        <v>79238.13</v>
      </c>
    </row>
    <row r="178" spans="1:3" x14ac:dyDescent="0.3">
      <c r="A178" s="60" t="s">
        <v>442</v>
      </c>
      <c r="B178" s="66" t="s">
        <v>443</v>
      </c>
      <c r="C178" s="73">
        <v>337666.04</v>
      </c>
    </row>
    <row r="179" spans="1:3" x14ac:dyDescent="0.3">
      <c r="A179" s="60" t="s">
        <v>444</v>
      </c>
      <c r="B179" s="61" t="s">
        <v>445</v>
      </c>
      <c r="C179" s="37">
        <v>53362.22</v>
      </c>
    </row>
    <row r="180" spans="1:3" x14ac:dyDescent="0.3">
      <c r="A180" s="36" t="s">
        <v>446</v>
      </c>
      <c r="B180" s="61" t="s">
        <v>447</v>
      </c>
      <c r="C180" s="37">
        <v>40333.33</v>
      </c>
    </row>
    <row r="181" spans="1:3" x14ac:dyDescent="0.3">
      <c r="A181" s="36" t="s">
        <v>448</v>
      </c>
      <c r="B181" s="61" t="s">
        <v>449</v>
      </c>
      <c r="C181" s="37">
        <v>17156.25</v>
      </c>
    </row>
    <row r="182" spans="1:3" x14ac:dyDescent="0.3">
      <c r="A182" s="60" t="s">
        <v>450</v>
      </c>
      <c r="B182" s="61" t="s">
        <v>451</v>
      </c>
      <c r="C182" s="37">
        <v>9500</v>
      </c>
    </row>
    <row r="183" spans="1:3" x14ac:dyDescent="0.3">
      <c r="A183" s="36" t="s">
        <v>452</v>
      </c>
      <c r="B183" s="61" t="s">
        <v>453</v>
      </c>
      <c r="C183" s="37">
        <v>38540</v>
      </c>
    </row>
    <row r="184" spans="1:3" x14ac:dyDescent="0.3">
      <c r="A184" s="60" t="s">
        <v>454</v>
      </c>
      <c r="B184" s="61" t="s">
        <v>455</v>
      </c>
      <c r="C184" s="37">
        <v>42491.67</v>
      </c>
    </row>
    <row r="185" spans="1:3" x14ac:dyDescent="0.3">
      <c r="A185" s="36" t="s">
        <v>456</v>
      </c>
      <c r="B185" s="61" t="s">
        <v>457</v>
      </c>
      <c r="C185" s="37">
        <v>34790</v>
      </c>
    </row>
    <row r="186" spans="1:3" x14ac:dyDescent="0.3">
      <c r="A186" s="36" t="s">
        <v>458</v>
      </c>
      <c r="B186" s="61" t="s">
        <v>459</v>
      </c>
      <c r="C186" s="37">
        <v>27859.23</v>
      </c>
    </row>
    <row r="187" spans="1:3" x14ac:dyDescent="0.3">
      <c r="A187" s="60" t="s">
        <v>460</v>
      </c>
      <c r="B187" s="61" t="s">
        <v>461</v>
      </c>
      <c r="C187" s="37">
        <v>18950</v>
      </c>
    </row>
    <row r="188" spans="1:3" x14ac:dyDescent="0.3">
      <c r="A188" s="36" t="s">
        <v>462</v>
      </c>
      <c r="B188" s="61" t="s">
        <v>463</v>
      </c>
      <c r="C188" s="37">
        <v>8383.33</v>
      </c>
    </row>
    <row r="189" spans="1:3" x14ac:dyDescent="0.3">
      <c r="A189" s="60" t="s">
        <v>464</v>
      </c>
      <c r="B189" s="61" t="s">
        <v>465</v>
      </c>
      <c r="C189" s="37">
        <v>14000</v>
      </c>
    </row>
    <row r="190" spans="1:3" x14ac:dyDescent="0.3">
      <c r="A190" s="36" t="s">
        <v>466</v>
      </c>
      <c r="B190" s="61" t="s">
        <v>467</v>
      </c>
      <c r="C190" s="37">
        <v>32300</v>
      </c>
    </row>
    <row r="191" spans="1:3" x14ac:dyDescent="0.3">
      <c r="A191" s="60" t="s">
        <v>468</v>
      </c>
      <c r="B191" s="66" t="s">
        <v>469</v>
      </c>
      <c r="C191" s="73">
        <v>344656.67</v>
      </c>
    </row>
    <row r="192" spans="1:3" x14ac:dyDescent="0.3">
      <c r="A192" s="60" t="s">
        <v>470</v>
      </c>
      <c r="B192" s="61" t="s">
        <v>471</v>
      </c>
      <c r="C192" s="37">
        <v>16300</v>
      </c>
    </row>
    <row r="193" spans="1:3" x14ac:dyDescent="0.3">
      <c r="A193" s="36" t="s">
        <v>472</v>
      </c>
      <c r="B193" s="61" t="s">
        <v>473</v>
      </c>
      <c r="C193" s="37">
        <v>47200</v>
      </c>
    </row>
    <row r="194" spans="1:3" x14ac:dyDescent="0.3">
      <c r="A194" s="36" t="s">
        <v>474</v>
      </c>
      <c r="B194" s="61" t="s">
        <v>475</v>
      </c>
      <c r="C194" s="37">
        <v>25875</v>
      </c>
    </row>
    <row r="195" spans="1:3" x14ac:dyDescent="0.3">
      <c r="A195" s="60" t="s">
        <v>476</v>
      </c>
      <c r="B195" s="61" t="s">
        <v>477</v>
      </c>
      <c r="C195" s="37">
        <v>43475</v>
      </c>
    </row>
    <row r="196" spans="1:3" x14ac:dyDescent="0.3">
      <c r="A196" s="36" t="s">
        <v>478</v>
      </c>
      <c r="B196" s="61" t="s">
        <v>479</v>
      </c>
      <c r="C196" s="37">
        <v>41900</v>
      </c>
    </row>
    <row r="197" spans="1:3" x14ac:dyDescent="0.3">
      <c r="A197" s="60" t="s">
        <v>480</v>
      </c>
      <c r="B197" s="61" t="s">
        <v>481</v>
      </c>
      <c r="C197" s="37">
        <v>37190</v>
      </c>
    </row>
    <row r="198" spans="1:3" x14ac:dyDescent="0.3">
      <c r="A198" s="36" t="s">
        <v>482</v>
      </c>
      <c r="B198" s="61" t="s">
        <v>483</v>
      </c>
      <c r="C198" s="37">
        <v>26616.67</v>
      </c>
    </row>
    <row r="199" spans="1:3" x14ac:dyDescent="0.3">
      <c r="A199" s="36" t="s">
        <v>484</v>
      </c>
      <c r="B199" s="61" t="s">
        <v>485</v>
      </c>
      <c r="C199" s="37">
        <v>38583.33</v>
      </c>
    </row>
    <row r="200" spans="1:3" x14ac:dyDescent="0.3">
      <c r="A200" s="60" t="s">
        <v>486</v>
      </c>
      <c r="B200" s="61" t="s">
        <v>487</v>
      </c>
      <c r="C200" s="37">
        <v>26066.67</v>
      </c>
    </row>
    <row r="201" spans="1:3" x14ac:dyDescent="0.3">
      <c r="A201" s="36" t="s">
        <v>488</v>
      </c>
      <c r="B201" s="61" t="s">
        <v>489</v>
      </c>
      <c r="C201" s="37">
        <v>41450</v>
      </c>
    </row>
    <row r="202" spans="1:3" x14ac:dyDescent="0.3">
      <c r="A202" s="60" t="s">
        <v>490</v>
      </c>
      <c r="B202" s="66" t="s">
        <v>491</v>
      </c>
      <c r="C202" s="73">
        <v>215165.35</v>
      </c>
    </row>
    <row r="203" spans="1:3" x14ac:dyDescent="0.3">
      <c r="A203" s="60" t="s">
        <v>492</v>
      </c>
      <c r="B203" s="61" t="s">
        <v>493</v>
      </c>
      <c r="C203" s="37">
        <v>36050</v>
      </c>
    </row>
    <row r="204" spans="1:3" x14ac:dyDescent="0.3">
      <c r="A204" s="36" t="s">
        <v>494</v>
      </c>
      <c r="B204" s="61" t="s">
        <v>495</v>
      </c>
      <c r="C204" s="37">
        <v>33881.46</v>
      </c>
    </row>
    <row r="205" spans="1:3" x14ac:dyDescent="0.3">
      <c r="A205" s="36" t="s">
        <v>496</v>
      </c>
      <c r="B205" s="61" t="s">
        <v>497</v>
      </c>
      <c r="C205" s="37">
        <v>18000</v>
      </c>
    </row>
    <row r="206" spans="1:3" x14ac:dyDescent="0.3">
      <c r="A206" s="60" t="s">
        <v>498</v>
      </c>
      <c r="B206" s="61" t="s">
        <v>499</v>
      </c>
      <c r="C206" s="37">
        <v>31761.67</v>
      </c>
    </row>
    <row r="207" spans="1:3" x14ac:dyDescent="0.3">
      <c r="A207" s="36" t="s">
        <v>500</v>
      </c>
      <c r="B207" s="61" t="s">
        <v>501</v>
      </c>
      <c r="C207" s="37">
        <v>17500</v>
      </c>
    </row>
    <row r="208" spans="1:3" x14ac:dyDescent="0.3">
      <c r="A208" s="60" t="s">
        <v>502</v>
      </c>
      <c r="B208" s="61" t="s">
        <v>503</v>
      </c>
      <c r="C208" s="37">
        <v>54272.22</v>
      </c>
    </row>
    <row r="209" spans="1:3" x14ac:dyDescent="0.3">
      <c r="A209" s="60" t="s">
        <v>504</v>
      </c>
      <c r="B209" s="61" t="s">
        <v>505</v>
      </c>
      <c r="C209" s="37">
        <v>23700</v>
      </c>
    </row>
    <row r="210" spans="1:3" x14ac:dyDescent="0.3">
      <c r="A210" s="60" t="s">
        <v>506</v>
      </c>
      <c r="B210" s="66" t="s">
        <v>507</v>
      </c>
      <c r="C210" s="73">
        <v>299202.21999999997</v>
      </c>
    </row>
    <row r="211" spans="1:3" x14ac:dyDescent="0.3">
      <c r="A211" s="60" t="s">
        <v>508</v>
      </c>
      <c r="B211" s="61" t="s">
        <v>509</v>
      </c>
      <c r="C211" s="37">
        <v>27772.22</v>
      </c>
    </row>
    <row r="212" spans="1:3" x14ac:dyDescent="0.3">
      <c r="A212" s="36" t="s">
        <v>510</v>
      </c>
      <c r="B212" s="61" t="s">
        <v>511</v>
      </c>
      <c r="C212" s="37">
        <v>77266.67</v>
      </c>
    </row>
    <row r="213" spans="1:3" x14ac:dyDescent="0.3">
      <c r="A213" s="36" t="s">
        <v>512</v>
      </c>
      <c r="B213" s="61" t="s">
        <v>513</v>
      </c>
      <c r="C213" s="37">
        <v>62045</v>
      </c>
    </row>
    <row r="214" spans="1:3" x14ac:dyDescent="0.3">
      <c r="A214" s="60" t="s">
        <v>514</v>
      </c>
      <c r="B214" s="61" t="s">
        <v>515</v>
      </c>
      <c r="C214" s="37">
        <v>50545.83</v>
      </c>
    </row>
    <row r="215" spans="1:3" x14ac:dyDescent="0.3">
      <c r="A215" s="63" t="s">
        <v>516</v>
      </c>
      <c r="B215" s="64" t="s">
        <v>517</v>
      </c>
      <c r="C215" s="78">
        <v>81572.5</v>
      </c>
    </row>
    <row r="216" spans="1:3" x14ac:dyDescent="0.3">
      <c r="A216" s="54" t="s">
        <v>518</v>
      </c>
      <c r="B216" s="66" t="s">
        <v>519</v>
      </c>
      <c r="C216" s="73">
        <v>891948.16</v>
      </c>
    </row>
    <row r="217" spans="1:3" x14ac:dyDescent="0.3">
      <c r="A217" s="60" t="s">
        <v>520</v>
      </c>
      <c r="B217" s="66" t="s">
        <v>521</v>
      </c>
      <c r="C217" s="73">
        <v>264547.40999999997</v>
      </c>
    </row>
    <row r="218" spans="1:3" x14ac:dyDescent="0.3">
      <c r="A218" s="60" t="s">
        <v>522</v>
      </c>
      <c r="B218" s="61" t="s">
        <v>523</v>
      </c>
      <c r="C218" s="37">
        <v>15225</v>
      </c>
    </row>
    <row r="219" spans="1:3" x14ac:dyDescent="0.3">
      <c r="A219" s="36" t="s">
        <v>524</v>
      </c>
      <c r="B219" s="61" t="s">
        <v>525</v>
      </c>
      <c r="C219" s="37">
        <v>11900</v>
      </c>
    </row>
    <row r="220" spans="1:3" x14ac:dyDescent="0.3">
      <c r="A220" s="36" t="s">
        <v>526</v>
      </c>
      <c r="B220" s="61" t="s">
        <v>527</v>
      </c>
      <c r="C220" s="37">
        <v>3850</v>
      </c>
    </row>
    <row r="221" spans="1:3" x14ac:dyDescent="0.3">
      <c r="A221" s="60" t="s">
        <v>528</v>
      </c>
      <c r="B221" s="61" t="s">
        <v>529</v>
      </c>
      <c r="C221" s="37">
        <v>29233.33</v>
      </c>
    </row>
    <row r="222" spans="1:3" x14ac:dyDescent="0.3">
      <c r="A222" s="60" t="s">
        <v>530</v>
      </c>
      <c r="B222" s="61" t="s">
        <v>531</v>
      </c>
      <c r="C222" s="37">
        <v>11720</v>
      </c>
    </row>
    <row r="223" spans="1:3" x14ac:dyDescent="0.3">
      <c r="A223" s="36" t="s">
        <v>532</v>
      </c>
      <c r="B223" s="61" t="s">
        <v>533</v>
      </c>
      <c r="C223" s="37">
        <v>14850</v>
      </c>
    </row>
    <row r="224" spans="1:3" x14ac:dyDescent="0.3">
      <c r="A224" s="36" t="s">
        <v>534</v>
      </c>
      <c r="B224" s="61" t="s">
        <v>535</v>
      </c>
      <c r="C224" s="37">
        <v>7650</v>
      </c>
    </row>
    <row r="225" spans="1:3" x14ac:dyDescent="0.3">
      <c r="A225" s="60" t="s">
        <v>536</v>
      </c>
      <c r="B225" s="61" t="s">
        <v>537</v>
      </c>
      <c r="C225" s="37">
        <v>30244.080000000002</v>
      </c>
    </row>
    <row r="226" spans="1:3" x14ac:dyDescent="0.3">
      <c r="A226" s="60" t="s">
        <v>538</v>
      </c>
      <c r="B226" s="61" t="s">
        <v>539</v>
      </c>
      <c r="C226" s="37">
        <v>9850</v>
      </c>
    </row>
    <row r="227" spans="1:3" x14ac:dyDescent="0.3">
      <c r="A227" s="36" t="s">
        <v>540</v>
      </c>
      <c r="B227" s="61" t="s">
        <v>541</v>
      </c>
      <c r="C227" s="37">
        <v>39300</v>
      </c>
    </row>
    <row r="228" spans="1:3" x14ac:dyDescent="0.3">
      <c r="A228" s="36" t="s">
        <v>542</v>
      </c>
      <c r="B228" s="61" t="s">
        <v>543</v>
      </c>
      <c r="C228" s="37">
        <v>28975</v>
      </c>
    </row>
    <row r="229" spans="1:3" x14ac:dyDescent="0.3">
      <c r="A229" s="60" t="s">
        <v>544</v>
      </c>
      <c r="B229" s="61" t="s">
        <v>545</v>
      </c>
      <c r="C229" s="37">
        <v>16050</v>
      </c>
    </row>
    <row r="230" spans="1:3" x14ac:dyDescent="0.3">
      <c r="A230" s="60" t="s">
        <v>546</v>
      </c>
      <c r="B230" s="61" t="s">
        <v>547</v>
      </c>
      <c r="C230" s="37">
        <v>22850</v>
      </c>
    </row>
    <row r="231" spans="1:3" x14ac:dyDescent="0.3">
      <c r="A231" s="36" t="s">
        <v>548</v>
      </c>
      <c r="B231" s="61" t="s">
        <v>549</v>
      </c>
      <c r="C231" s="37">
        <v>22850</v>
      </c>
    </row>
    <row r="232" spans="1:3" x14ac:dyDescent="0.3">
      <c r="A232" s="60" t="s">
        <v>550</v>
      </c>
      <c r="B232" s="66" t="s">
        <v>551</v>
      </c>
      <c r="C232" s="73">
        <v>627400.75</v>
      </c>
    </row>
    <row r="233" spans="1:3" x14ac:dyDescent="0.3">
      <c r="A233" s="60" t="s">
        <v>552</v>
      </c>
      <c r="B233" s="61" t="s">
        <v>553</v>
      </c>
      <c r="C233" s="37">
        <v>27550</v>
      </c>
    </row>
    <row r="234" spans="1:3" x14ac:dyDescent="0.3">
      <c r="A234" s="36" t="s">
        <v>554</v>
      </c>
      <c r="B234" s="61" t="s">
        <v>555</v>
      </c>
      <c r="C234" s="37">
        <v>27793.33</v>
      </c>
    </row>
    <row r="235" spans="1:3" x14ac:dyDescent="0.3">
      <c r="A235" s="36" t="s">
        <v>556</v>
      </c>
      <c r="B235" s="61" t="s">
        <v>557</v>
      </c>
      <c r="C235" s="37">
        <v>37650</v>
      </c>
    </row>
    <row r="236" spans="1:3" x14ac:dyDescent="0.3">
      <c r="A236" s="60" t="s">
        <v>558</v>
      </c>
      <c r="B236" s="61" t="s">
        <v>559</v>
      </c>
      <c r="C236" s="37">
        <v>43850</v>
      </c>
    </row>
    <row r="237" spans="1:3" x14ac:dyDescent="0.3">
      <c r="A237" s="60" t="s">
        <v>560</v>
      </c>
      <c r="B237" s="61" t="s">
        <v>561</v>
      </c>
      <c r="C237" s="37">
        <v>26050.560000000001</v>
      </c>
    </row>
    <row r="238" spans="1:3" x14ac:dyDescent="0.3">
      <c r="A238" s="36" t="s">
        <v>562</v>
      </c>
      <c r="B238" s="61" t="s">
        <v>563</v>
      </c>
      <c r="C238" s="37">
        <v>28322.22</v>
      </c>
    </row>
    <row r="239" spans="1:3" x14ac:dyDescent="0.3">
      <c r="A239" s="36" t="s">
        <v>564</v>
      </c>
      <c r="B239" s="61" t="s">
        <v>565</v>
      </c>
      <c r="C239" s="37">
        <v>62600</v>
      </c>
    </row>
    <row r="240" spans="1:3" x14ac:dyDescent="0.3">
      <c r="A240" s="60" t="s">
        <v>566</v>
      </c>
      <c r="B240" s="61" t="s">
        <v>567</v>
      </c>
      <c r="C240" s="37">
        <v>32770</v>
      </c>
    </row>
    <row r="241" spans="1:3" x14ac:dyDescent="0.3">
      <c r="A241" s="60" t="s">
        <v>568</v>
      </c>
      <c r="B241" s="61" t="s">
        <v>569</v>
      </c>
      <c r="C241" s="37">
        <v>33800</v>
      </c>
    </row>
    <row r="242" spans="1:3" x14ac:dyDescent="0.3">
      <c r="A242" s="36" t="s">
        <v>570</v>
      </c>
      <c r="B242" s="61" t="s">
        <v>571</v>
      </c>
      <c r="C242" s="37">
        <v>17000</v>
      </c>
    </row>
    <row r="243" spans="1:3" x14ac:dyDescent="0.3">
      <c r="A243" s="36" t="s">
        <v>572</v>
      </c>
      <c r="B243" s="61" t="s">
        <v>573</v>
      </c>
      <c r="C243" s="37">
        <v>29916.67</v>
      </c>
    </row>
    <row r="244" spans="1:3" x14ac:dyDescent="0.3">
      <c r="A244" s="60" t="s">
        <v>574</v>
      </c>
      <c r="B244" s="61" t="s">
        <v>575</v>
      </c>
      <c r="C244" s="37">
        <v>62800</v>
      </c>
    </row>
    <row r="245" spans="1:3" x14ac:dyDescent="0.3">
      <c r="A245" s="60" t="s">
        <v>576</v>
      </c>
      <c r="B245" s="61" t="s">
        <v>577</v>
      </c>
      <c r="C245" s="37">
        <v>72724.710000000006</v>
      </c>
    </row>
    <row r="246" spans="1:3" x14ac:dyDescent="0.3">
      <c r="A246" s="36" t="s">
        <v>578</v>
      </c>
      <c r="B246" s="61" t="s">
        <v>579</v>
      </c>
      <c r="C246" s="37">
        <v>46537.5</v>
      </c>
    </row>
    <row r="247" spans="1:3" x14ac:dyDescent="0.3">
      <c r="A247" s="36" t="s">
        <v>580</v>
      </c>
      <c r="B247" s="61" t="s">
        <v>581</v>
      </c>
      <c r="C247" s="37">
        <v>14944.86</v>
      </c>
    </row>
    <row r="248" spans="1:3" x14ac:dyDescent="0.3">
      <c r="A248" s="60" t="s">
        <v>582</v>
      </c>
      <c r="B248" s="61" t="s">
        <v>583</v>
      </c>
      <c r="C248" s="37">
        <v>16250</v>
      </c>
    </row>
    <row r="249" spans="1:3" x14ac:dyDescent="0.3">
      <c r="A249" s="60" t="s">
        <v>584</v>
      </c>
      <c r="B249" s="61" t="s">
        <v>585</v>
      </c>
      <c r="C249" s="37">
        <v>20200</v>
      </c>
    </row>
    <row r="250" spans="1:3" x14ac:dyDescent="0.3">
      <c r="A250" s="60" t="s">
        <v>586</v>
      </c>
      <c r="B250" s="61" t="s">
        <v>587</v>
      </c>
      <c r="C250" s="37">
        <v>11440.91</v>
      </c>
    </row>
    <row r="251" spans="1:3" x14ac:dyDescent="0.3">
      <c r="A251" s="63" t="s">
        <v>588</v>
      </c>
      <c r="B251" s="64" t="s">
        <v>589</v>
      </c>
      <c r="C251" s="78">
        <v>15200</v>
      </c>
    </row>
    <row r="252" spans="1:3" x14ac:dyDescent="0.3">
      <c r="A252" s="54" t="s">
        <v>590</v>
      </c>
      <c r="B252" s="66" t="s">
        <v>591</v>
      </c>
      <c r="C252" s="73">
        <v>2235484.71</v>
      </c>
    </row>
    <row r="253" spans="1:3" x14ac:dyDescent="0.3">
      <c r="A253" s="60" t="s">
        <v>592</v>
      </c>
      <c r="B253" s="61" t="s">
        <v>593</v>
      </c>
      <c r="C253" s="37">
        <v>39701.5</v>
      </c>
    </row>
    <row r="254" spans="1:3" x14ac:dyDescent="0.3">
      <c r="A254" s="36" t="s">
        <v>594</v>
      </c>
      <c r="B254" s="61" t="s">
        <v>595</v>
      </c>
      <c r="C254" s="37">
        <v>28950</v>
      </c>
    </row>
    <row r="255" spans="1:3" x14ac:dyDescent="0.3">
      <c r="A255" s="36" t="s">
        <v>596</v>
      </c>
      <c r="B255" s="61" t="s">
        <v>597</v>
      </c>
      <c r="C255" s="37">
        <v>169700</v>
      </c>
    </row>
    <row r="256" spans="1:3" x14ac:dyDescent="0.3">
      <c r="A256" s="36" t="s">
        <v>598</v>
      </c>
      <c r="B256" s="61" t="s">
        <v>599</v>
      </c>
      <c r="C256" s="37">
        <v>30750</v>
      </c>
    </row>
    <row r="257" spans="1:3" x14ac:dyDescent="0.3">
      <c r="A257" s="36" t="s">
        <v>600</v>
      </c>
      <c r="B257" s="61" t="s">
        <v>601</v>
      </c>
      <c r="C257" s="37">
        <v>46650</v>
      </c>
    </row>
    <row r="258" spans="1:3" x14ac:dyDescent="0.3">
      <c r="A258" s="60" t="s">
        <v>602</v>
      </c>
      <c r="B258" s="61" t="s">
        <v>603</v>
      </c>
      <c r="C258" s="37">
        <v>111289.37</v>
      </c>
    </row>
    <row r="259" spans="1:3" x14ac:dyDescent="0.3">
      <c r="A259" s="36" t="s">
        <v>604</v>
      </c>
      <c r="B259" s="61" t="s">
        <v>605</v>
      </c>
      <c r="C259" s="37">
        <v>31118.89</v>
      </c>
    </row>
    <row r="260" spans="1:3" x14ac:dyDescent="0.3">
      <c r="A260" s="36" t="s">
        <v>606</v>
      </c>
      <c r="B260" s="61" t="s">
        <v>607</v>
      </c>
      <c r="C260" s="37">
        <v>33002.370000000003</v>
      </c>
    </row>
    <row r="261" spans="1:3" x14ac:dyDescent="0.3">
      <c r="A261" s="60" t="s">
        <v>608</v>
      </c>
      <c r="B261" s="61" t="s">
        <v>609</v>
      </c>
      <c r="C261" s="37">
        <v>66150</v>
      </c>
    </row>
    <row r="262" spans="1:3" x14ac:dyDescent="0.3">
      <c r="A262" s="60" t="s">
        <v>610</v>
      </c>
      <c r="B262" s="61" t="s">
        <v>611</v>
      </c>
      <c r="C262" s="37">
        <v>41077.22</v>
      </c>
    </row>
    <row r="263" spans="1:3" x14ac:dyDescent="0.3">
      <c r="A263" s="36" t="s">
        <v>612</v>
      </c>
      <c r="B263" s="61" t="s">
        <v>613</v>
      </c>
      <c r="C263" s="37">
        <v>75225</v>
      </c>
    </row>
    <row r="264" spans="1:3" x14ac:dyDescent="0.3">
      <c r="A264" s="36" t="s">
        <v>614</v>
      </c>
      <c r="B264" s="61" t="s">
        <v>615</v>
      </c>
      <c r="C264" s="37">
        <v>38950</v>
      </c>
    </row>
    <row r="265" spans="1:3" x14ac:dyDescent="0.3">
      <c r="A265" s="60" t="s">
        <v>616</v>
      </c>
      <c r="B265" s="61" t="s">
        <v>617</v>
      </c>
      <c r="C265" s="37">
        <v>43950</v>
      </c>
    </row>
    <row r="266" spans="1:3" x14ac:dyDescent="0.3">
      <c r="A266" s="60" t="s">
        <v>618</v>
      </c>
      <c r="B266" s="66" t="s">
        <v>619</v>
      </c>
      <c r="C266" s="73">
        <v>75293.75</v>
      </c>
    </row>
    <row r="267" spans="1:3" x14ac:dyDescent="0.3">
      <c r="A267" s="60" t="s">
        <v>620</v>
      </c>
      <c r="B267" s="61" t="s">
        <v>621</v>
      </c>
      <c r="C267" s="37">
        <v>6850</v>
      </c>
    </row>
    <row r="268" spans="1:3" x14ac:dyDescent="0.3">
      <c r="A268" s="36" t="s">
        <v>622</v>
      </c>
      <c r="B268" s="61" t="s">
        <v>623</v>
      </c>
      <c r="C268" s="37">
        <v>3100</v>
      </c>
    </row>
    <row r="269" spans="1:3" x14ac:dyDescent="0.3">
      <c r="A269" s="36" t="s">
        <v>624</v>
      </c>
      <c r="B269" s="61" t="s">
        <v>625</v>
      </c>
      <c r="C269" s="37">
        <v>20250</v>
      </c>
    </row>
    <row r="270" spans="1:3" x14ac:dyDescent="0.3">
      <c r="A270" s="60" t="s">
        <v>626</v>
      </c>
      <c r="B270" s="61" t="s">
        <v>627</v>
      </c>
      <c r="C270" s="37">
        <v>4950</v>
      </c>
    </row>
    <row r="271" spans="1:3" x14ac:dyDescent="0.3">
      <c r="A271" s="60" t="s">
        <v>628</v>
      </c>
      <c r="B271" s="61" t="s">
        <v>629</v>
      </c>
      <c r="C271" s="37">
        <v>40143.75</v>
      </c>
    </row>
    <row r="272" spans="1:3" x14ac:dyDescent="0.3">
      <c r="A272" s="60" t="s">
        <v>630</v>
      </c>
      <c r="B272" s="66" t="s">
        <v>631</v>
      </c>
      <c r="C272" s="73">
        <v>333359.67</v>
      </c>
    </row>
    <row r="273" spans="1:3" x14ac:dyDescent="0.3">
      <c r="A273" s="60" t="s">
        <v>632</v>
      </c>
      <c r="B273" s="61" t="s">
        <v>633</v>
      </c>
      <c r="C273" s="37">
        <v>49314.44</v>
      </c>
    </row>
    <row r="274" spans="1:3" x14ac:dyDescent="0.3">
      <c r="A274" s="36" t="s">
        <v>634</v>
      </c>
      <c r="B274" s="61" t="s">
        <v>635</v>
      </c>
      <c r="C274" s="37">
        <v>40738.89</v>
      </c>
    </row>
    <row r="275" spans="1:3" x14ac:dyDescent="0.3">
      <c r="A275" s="36" t="s">
        <v>636</v>
      </c>
      <c r="B275" s="61" t="s">
        <v>637</v>
      </c>
      <c r="C275" s="37">
        <v>33012.22</v>
      </c>
    </row>
    <row r="276" spans="1:3" x14ac:dyDescent="0.3">
      <c r="A276" s="60" t="s">
        <v>638</v>
      </c>
      <c r="B276" s="61" t="s">
        <v>639</v>
      </c>
      <c r="C276" s="37">
        <v>28533</v>
      </c>
    </row>
    <row r="277" spans="1:3" x14ac:dyDescent="0.3">
      <c r="A277" s="60" t="s">
        <v>640</v>
      </c>
      <c r="B277" s="61" t="s">
        <v>641</v>
      </c>
      <c r="C277" s="37">
        <v>2900</v>
      </c>
    </row>
    <row r="278" spans="1:3" x14ac:dyDescent="0.3">
      <c r="A278" s="60" t="s">
        <v>642</v>
      </c>
      <c r="B278" s="61" t="s">
        <v>643</v>
      </c>
      <c r="C278" s="37">
        <v>23644.44</v>
      </c>
    </row>
    <row r="279" spans="1:3" x14ac:dyDescent="0.3">
      <c r="A279" s="36" t="s">
        <v>644</v>
      </c>
      <c r="B279" s="61" t="s">
        <v>645</v>
      </c>
      <c r="C279" s="37">
        <v>16594.439999999999</v>
      </c>
    </row>
    <row r="280" spans="1:3" x14ac:dyDescent="0.3">
      <c r="A280" s="36" t="s">
        <v>646</v>
      </c>
      <c r="B280" s="61" t="s">
        <v>647</v>
      </c>
      <c r="C280" s="37">
        <v>37400</v>
      </c>
    </row>
    <row r="281" spans="1:3" x14ac:dyDescent="0.3">
      <c r="A281" s="60" t="s">
        <v>648</v>
      </c>
      <c r="B281" s="61" t="s">
        <v>649</v>
      </c>
      <c r="C281" s="37">
        <v>20733.330000000002</v>
      </c>
    </row>
    <row r="282" spans="1:3" x14ac:dyDescent="0.3">
      <c r="A282" s="60" t="s">
        <v>650</v>
      </c>
      <c r="B282" s="61" t="s">
        <v>651</v>
      </c>
      <c r="C282" s="37">
        <v>33150</v>
      </c>
    </row>
    <row r="283" spans="1:3" x14ac:dyDescent="0.3">
      <c r="A283" s="60" t="s">
        <v>652</v>
      </c>
      <c r="B283" s="61" t="s">
        <v>653</v>
      </c>
      <c r="C283" s="37">
        <v>47338.89</v>
      </c>
    </row>
    <row r="284" spans="1:3" x14ac:dyDescent="0.3">
      <c r="A284" s="60" t="s">
        <v>654</v>
      </c>
      <c r="B284" s="66" t="s">
        <v>655</v>
      </c>
      <c r="C284" s="73">
        <v>357474.94</v>
      </c>
    </row>
    <row r="285" spans="1:3" x14ac:dyDescent="0.3">
      <c r="A285" s="60" t="s">
        <v>656</v>
      </c>
      <c r="B285" s="61" t="s">
        <v>657</v>
      </c>
      <c r="C285" s="37">
        <v>18670.189999999999</v>
      </c>
    </row>
    <row r="286" spans="1:3" x14ac:dyDescent="0.3">
      <c r="A286" s="36" t="s">
        <v>658</v>
      </c>
      <c r="B286" s="61" t="s">
        <v>659</v>
      </c>
      <c r="C286" s="37">
        <v>33750</v>
      </c>
    </row>
    <row r="287" spans="1:3" x14ac:dyDescent="0.3">
      <c r="A287" s="36" t="s">
        <v>660</v>
      </c>
      <c r="B287" s="61" t="s">
        <v>661</v>
      </c>
      <c r="C287" s="37">
        <v>48050</v>
      </c>
    </row>
    <row r="288" spans="1:3" x14ac:dyDescent="0.3">
      <c r="A288" s="60" t="s">
        <v>662</v>
      </c>
      <c r="B288" s="61" t="s">
        <v>663</v>
      </c>
      <c r="C288" s="37">
        <v>10025</v>
      </c>
    </row>
    <row r="289" spans="1:3" x14ac:dyDescent="0.3">
      <c r="A289" s="60" t="s">
        <v>664</v>
      </c>
      <c r="B289" s="61" t="s">
        <v>665</v>
      </c>
      <c r="C289" s="37">
        <v>18243.75</v>
      </c>
    </row>
    <row r="290" spans="1:3" x14ac:dyDescent="0.3">
      <c r="A290" s="60" t="s">
        <v>666</v>
      </c>
      <c r="B290" s="61" t="s">
        <v>667</v>
      </c>
      <c r="C290" s="37">
        <v>14300</v>
      </c>
    </row>
    <row r="291" spans="1:3" x14ac:dyDescent="0.3">
      <c r="A291" s="36" t="s">
        <v>668</v>
      </c>
      <c r="B291" s="61" t="s">
        <v>669</v>
      </c>
      <c r="C291" s="37">
        <v>54150</v>
      </c>
    </row>
    <row r="292" spans="1:3" x14ac:dyDescent="0.3">
      <c r="A292" s="36" t="s">
        <v>670</v>
      </c>
      <c r="B292" s="61" t="s">
        <v>671</v>
      </c>
      <c r="C292" s="37">
        <v>34750</v>
      </c>
    </row>
    <row r="293" spans="1:3" x14ac:dyDescent="0.3">
      <c r="A293" s="60" t="s">
        <v>672</v>
      </c>
      <c r="B293" s="61" t="s">
        <v>673</v>
      </c>
      <c r="C293" s="37">
        <v>40650</v>
      </c>
    </row>
    <row r="294" spans="1:3" x14ac:dyDescent="0.3">
      <c r="A294" s="60" t="s">
        <v>674</v>
      </c>
      <c r="B294" s="61" t="s">
        <v>675</v>
      </c>
      <c r="C294" s="37">
        <v>11786</v>
      </c>
    </row>
    <row r="295" spans="1:3" x14ac:dyDescent="0.3">
      <c r="A295" s="60" t="s">
        <v>676</v>
      </c>
      <c r="B295" s="61" t="s">
        <v>677</v>
      </c>
      <c r="C295" s="37">
        <v>48000</v>
      </c>
    </row>
    <row r="296" spans="1:3" x14ac:dyDescent="0.3">
      <c r="A296" s="60" t="s">
        <v>678</v>
      </c>
      <c r="B296" s="61" t="s">
        <v>679</v>
      </c>
      <c r="C296" s="37">
        <v>25100</v>
      </c>
    </row>
    <row r="297" spans="1:3" x14ac:dyDescent="0.3">
      <c r="A297" s="60" t="s">
        <v>680</v>
      </c>
      <c r="B297" s="66" t="s">
        <v>681</v>
      </c>
      <c r="C297" s="73">
        <v>238946.87</v>
      </c>
    </row>
    <row r="298" spans="1:3" x14ac:dyDescent="0.3">
      <c r="A298" s="60" t="s">
        <v>682</v>
      </c>
      <c r="B298" s="61" t="s">
        <v>683</v>
      </c>
      <c r="C298" s="37">
        <v>85580.2</v>
      </c>
    </row>
    <row r="299" spans="1:3" x14ac:dyDescent="0.3">
      <c r="A299" s="36" t="s">
        <v>684</v>
      </c>
      <c r="B299" s="61" t="s">
        <v>685</v>
      </c>
      <c r="C299" s="37">
        <v>28266.67</v>
      </c>
    </row>
    <row r="300" spans="1:3" x14ac:dyDescent="0.3">
      <c r="A300" s="36" t="s">
        <v>686</v>
      </c>
      <c r="B300" s="61" t="s">
        <v>687</v>
      </c>
      <c r="C300" s="37">
        <v>33750</v>
      </c>
    </row>
    <row r="301" spans="1:3" x14ac:dyDescent="0.3">
      <c r="A301" s="60" t="s">
        <v>688</v>
      </c>
      <c r="B301" s="61" t="s">
        <v>689</v>
      </c>
      <c r="C301" s="37">
        <v>47850</v>
      </c>
    </row>
    <row r="302" spans="1:3" x14ac:dyDescent="0.3">
      <c r="A302" s="60" t="s">
        <v>690</v>
      </c>
      <c r="B302" s="61" t="s">
        <v>691</v>
      </c>
      <c r="C302" s="37">
        <v>43500</v>
      </c>
    </row>
    <row r="303" spans="1:3" x14ac:dyDescent="0.3">
      <c r="A303" s="60" t="s">
        <v>692</v>
      </c>
      <c r="B303" s="66" t="s">
        <v>693</v>
      </c>
      <c r="C303" s="73">
        <v>269622.92</v>
      </c>
    </row>
    <row r="304" spans="1:3" x14ac:dyDescent="0.3">
      <c r="A304" s="60" t="s">
        <v>694</v>
      </c>
      <c r="B304" s="61" t="s">
        <v>695</v>
      </c>
      <c r="C304" s="37">
        <v>37720</v>
      </c>
    </row>
    <row r="305" spans="1:3" x14ac:dyDescent="0.3">
      <c r="A305" s="36" t="s">
        <v>696</v>
      </c>
      <c r="B305" s="61" t="s">
        <v>697</v>
      </c>
      <c r="C305" s="37">
        <v>6150</v>
      </c>
    </row>
    <row r="306" spans="1:3" x14ac:dyDescent="0.3">
      <c r="A306" s="36" t="s">
        <v>698</v>
      </c>
      <c r="B306" s="61" t="s">
        <v>699</v>
      </c>
      <c r="C306" s="37">
        <v>36000</v>
      </c>
    </row>
    <row r="307" spans="1:3" x14ac:dyDescent="0.3">
      <c r="A307" s="60" t="s">
        <v>700</v>
      </c>
      <c r="B307" s="61" t="s">
        <v>701</v>
      </c>
      <c r="C307" s="37">
        <v>21130</v>
      </c>
    </row>
    <row r="308" spans="1:3" x14ac:dyDescent="0.3">
      <c r="A308" s="60" t="s">
        <v>702</v>
      </c>
      <c r="B308" s="61" t="s">
        <v>703</v>
      </c>
      <c r="C308" s="37">
        <v>24355.56</v>
      </c>
    </row>
    <row r="309" spans="1:3" x14ac:dyDescent="0.3">
      <c r="A309" s="36" t="s">
        <v>704</v>
      </c>
      <c r="B309" s="61" t="s">
        <v>705</v>
      </c>
      <c r="C309" s="37">
        <v>41810</v>
      </c>
    </row>
    <row r="310" spans="1:3" x14ac:dyDescent="0.3">
      <c r="A310" s="36" t="s">
        <v>706</v>
      </c>
      <c r="B310" s="61" t="s">
        <v>707</v>
      </c>
      <c r="C310" s="37">
        <v>22800</v>
      </c>
    </row>
    <row r="311" spans="1:3" x14ac:dyDescent="0.3">
      <c r="A311" s="60" t="s">
        <v>708</v>
      </c>
      <c r="B311" s="61" t="s">
        <v>709</v>
      </c>
      <c r="C311" s="37">
        <v>30950</v>
      </c>
    </row>
    <row r="312" spans="1:3" x14ac:dyDescent="0.3">
      <c r="A312" s="60" t="s">
        <v>710</v>
      </c>
      <c r="B312" s="61" t="s">
        <v>711</v>
      </c>
      <c r="C312" s="37">
        <v>12455.56</v>
      </c>
    </row>
    <row r="313" spans="1:3" x14ac:dyDescent="0.3">
      <c r="A313" s="36" t="s">
        <v>712</v>
      </c>
      <c r="B313" s="61" t="s">
        <v>713</v>
      </c>
      <c r="C313" s="37">
        <v>21850</v>
      </c>
    </row>
    <row r="314" spans="1:3" x14ac:dyDescent="0.3">
      <c r="A314" s="36" t="s">
        <v>714</v>
      </c>
      <c r="B314" s="61" t="s">
        <v>715</v>
      </c>
      <c r="C314" s="37">
        <v>14401.81</v>
      </c>
    </row>
    <row r="315" spans="1:3" x14ac:dyDescent="0.3">
      <c r="A315" s="60" t="s">
        <v>716</v>
      </c>
      <c r="B315" s="66" t="s">
        <v>717</v>
      </c>
      <c r="C315" s="73">
        <v>204272.22</v>
      </c>
    </row>
    <row r="316" spans="1:3" x14ac:dyDescent="0.3">
      <c r="A316" s="60" t="s">
        <v>718</v>
      </c>
      <c r="B316" s="61" t="s">
        <v>719</v>
      </c>
      <c r="C316" s="37">
        <v>16700</v>
      </c>
    </row>
    <row r="317" spans="1:3" x14ac:dyDescent="0.3">
      <c r="A317" s="36" t="s">
        <v>720</v>
      </c>
      <c r="B317" s="61" t="s">
        <v>721</v>
      </c>
      <c r="C317" s="37">
        <v>15500</v>
      </c>
    </row>
    <row r="318" spans="1:3" x14ac:dyDescent="0.3">
      <c r="A318" s="36" t="s">
        <v>722</v>
      </c>
      <c r="B318" s="61" t="s">
        <v>723</v>
      </c>
      <c r="C318" s="37">
        <v>22188.89</v>
      </c>
    </row>
    <row r="319" spans="1:3" x14ac:dyDescent="0.3">
      <c r="A319" s="60" t="s">
        <v>724</v>
      </c>
      <c r="B319" s="61" t="s">
        <v>725</v>
      </c>
      <c r="C319" s="37">
        <v>55233.33</v>
      </c>
    </row>
    <row r="320" spans="1:3" x14ac:dyDescent="0.3">
      <c r="A320" s="36" t="s">
        <v>726</v>
      </c>
      <c r="B320" s="61" t="s">
        <v>727</v>
      </c>
      <c r="C320" s="37">
        <v>32650</v>
      </c>
    </row>
    <row r="321" spans="1:4" x14ac:dyDescent="0.3">
      <c r="A321" s="60" t="s">
        <v>728</v>
      </c>
      <c r="B321" s="61" t="s">
        <v>729</v>
      </c>
      <c r="C321" s="37">
        <v>45500</v>
      </c>
    </row>
    <row r="322" spans="1:4" x14ac:dyDescent="0.3">
      <c r="A322" s="63" t="s">
        <v>730</v>
      </c>
      <c r="B322" s="64" t="s">
        <v>731</v>
      </c>
      <c r="C322" s="78">
        <v>16500</v>
      </c>
    </row>
    <row r="323" spans="1:4" x14ac:dyDescent="0.3">
      <c r="A323" s="54" t="s">
        <v>732</v>
      </c>
      <c r="B323" s="66" t="s">
        <v>733</v>
      </c>
      <c r="C323" s="73">
        <v>1373145.62</v>
      </c>
      <c r="D323" s="74"/>
    </row>
    <row r="324" spans="1:4" x14ac:dyDescent="0.3">
      <c r="A324" s="60" t="s">
        <v>734</v>
      </c>
      <c r="B324" s="61" t="s">
        <v>735</v>
      </c>
      <c r="C324" s="37">
        <v>37766.67</v>
      </c>
    </row>
    <row r="325" spans="1:4" x14ac:dyDescent="0.3">
      <c r="A325" s="36" t="s">
        <v>736</v>
      </c>
      <c r="B325" s="61" t="s">
        <v>737</v>
      </c>
      <c r="C325" s="37">
        <v>61200</v>
      </c>
    </row>
    <row r="326" spans="1:4" x14ac:dyDescent="0.3">
      <c r="A326" s="36" t="s">
        <v>738</v>
      </c>
      <c r="B326" s="61" t="s">
        <v>739</v>
      </c>
      <c r="C326" s="37">
        <v>96758.33</v>
      </c>
    </row>
    <row r="327" spans="1:4" x14ac:dyDescent="0.3">
      <c r="A327" s="36" t="s">
        <v>740</v>
      </c>
      <c r="B327" s="61" t="s">
        <v>741</v>
      </c>
      <c r="C327" s="37">
        <v>127021.79</v>
      </c>
    </row>
    <row r="328" spans="1:4" x14ac:dyDescent="0.3">
      <c r="A328" s="36" t="s">
        <v>742</v>
      </c>
      <c r="B328" s="61" t="s">
        <v>743</v>
      </c>
      <c r="C328" s="37">
        <v>65506.25</v>
      </c>
    </row>
    <row r="329" spans="1:4" x14ac:dyDescent="0.3">
      <c r="A329" s="60" t="s">
        <v>744</v>
      </c>
      <c r="B329" s="61" t="s">
        <v>745</v>
      </c>
      <c r="C329" s="37">
        <v>0</v>
      </c>
    </row>
    <row r="330" spans="1:4" x14ac:dyDescent="0.3">
      <c r="A330" s="36" t="s">
        <v>746</v>
      </c>
      <c r="B330" s="61" t="s">
        <v>747</v>
      </c>
      <c r="C330" s="37">
        <v>68875</v>
      </c>
    </row>
    <row r="331" spans="1:4" x14ac:dyDescent="0.3">
      <c r="A331" s="36" t="s">
        <v>748</v>
      </c>
      <c r="B331" s="61" t="s">
        <v>749</v>
      </c>
      <c r="C331" s="37">
        <v>56630.77</v>
      </c>
    </row>
    <row r="332" spans="1:4" x14ac:dyDescent="0.3">
      <c r="A332" s="60" t="s">
        <v>750</v>
      </c>
      <c r="B332" s="61" t="s">
        <v>751</v>
      </c>
      <c r="C332" s="37">
        <v>118043.18</v>
      </c>
    </row>
    <row r="333" spans="1:4" x14ac:dyDescent="0.3">
      <c r="A333" s="36" t="s">
        <v>752</v>
      </c>
      <c r="B333" s="61" t="s">
        <v>753</v>
      </c>
      <c r="C333" s="37">
        <v>70497.919999999998</v>
      </c>
    </row>
    <row r="334" spans="1:4" x14ac:dyDescent="0.3">
      <c r="A334" s="36" t="s">
        <v>754</v>
      </c>
      <c r="B334" s="61" t="s">
        <v>755</v>
      </c>
      <c r="C334" s="37">
        <v>12750</v>
      </c>
    </row>
    <row r="335" spans="1:4" x14ac:dyDescent="0.3">
      <c r="A335" s="60" t="s">
        <v>756</v>
      </c>
      <c r="B335" s="61" t="s">
        <v>757</v>
      </c>
      <c r="C335" s="37">
        <v>128081.25</v>
      </c>
    </row>
    <row r="336" spans="1:4" x14ac:dyDescent="0.3">
      <c r="A336" s="60" t="s">
        <v>758</v>
      </c>
      <c r="B336" s="66" t="s">
        <v>759</v>
      </c>
      <c r="C336" s="73">
        <v>190203.69</v>
      </c>
    </row>
    <row r="337" spans="1:3" x14ac:dyDescent="0.3">
      <c r="A337" s="60" t="s">
        <v>760</v>
      </c>
      <c r="B337" s="61" t="s">
        <v>761</v>
      </c>
      <c r="C337" s="37">
        <v>41325</v>
      </c>
    </row>
    <row r="338" spans="1:3" x14ac:dyDescent="0.3">
      <c r="A338" s="36" t="s">
        <v>762</v>
      </c>
      <c r="B338" s="61" t="s">
        <v>763</v>
      </c>
      <c r="C338" s="37">
        <v>54414.1</v>
      </c>
    </row>
    <row r="339" spans="1:3" x14ac:dyDescent="0.3">
      <c r="A339" s="36" t="s">
        <v>764</v>
      </c>
      <c r="B339" s="61" t="s">
        <v>765</v>
      </c>
      <c r="C339" s="37">
        <v>9800</v>
      </c>
    </row>
    <row r="340" spans="1:3" x14ac:dyDescent="0.3">
      <c r="A340" s="60" t="s">
        <v>766</v>
      </c>
      <c r="B340" s="61" t="s">
        <v>767</v>
      </c>
      <c r="C340" s="37">
        <v>19283.330000000002</v>
      </c>
    </row>
    <row r="341" spans="1:3" x14ac:dyDescent="0.3">
      <c r="A341" s="60" t="s">
        <v>768</v>
      </c>
      <c r="B341" s="61" t="s">
        <v>769</v>
      </c>
      <c r="C341" s="37">
        <v>23181.25</v>
      </c>
    </row>
    <row r="342" spans="1:3" x14ac:dyDescent="0.3">
      <c r="A342" s="36" t="s">
        <v>770</v>
      </c>
      <c r="B342" s="61" t="s">
        <v>771</v>
      </c>
      <c r="C342" s="37">
        <v>25883.33</v>
      </c>
    </row>
    <row r="343" spans="1:3" x14ac:dyDescent="0.3">
      <c r="A343" s="36" t="s">
        <v>772</v>
      </c>
      <c r="B343" s="61" t="s">
        <v>773</v>
      </c>
      <c r="C343" s="37">
        <v>13166.67</v>
      </c>
    </row>
    <row r="344" spans="1:3" x14ac:dyDescent="0.3">
      <c r="A344" s="60" t="s">
        <v>774</v>
      </c>
      <c r="B344" s="61" t="s">
        <v>775</v>
      </c>
      <c r="C344" s="37">
        <v>3150</v>
      </c>
    </row>
    <row r="345" spans="1:3" x14ac:dyDescent="0.3">
      <c r="A345" s="60" t="s">
        <v>776</v>
      </c>
      <c r="B345" s="66" t="s">
        <v>777</v>
      </c>
      <c r="C345" s="73">
        <v>224727.44</v>
      </c>
    </row>
    <row r="346" spans="1:3" x14ac:dyDescent="0.3">
      <c r="A346" s="60" t="s">
        <v>778</v>
      </c>
      <c r="B346" s="61" t="s">
        <v>779</v>
      </c>
      <c r="C346" s="37">
        <v>32186.36</v>
      </c>
    </row>
    <row r="347" spans="1:3" x14ac:dyDescent="0.3">
      <c r="A347" s="36" t="s">
        <v>780</v>
      </c>
      <c r="B347" s="61" t="s">
        <v>781</v>
      </c>
      <c r="C347" s="37">
        <v>43150</v>
      </c>
    </row>
    <row r="348" spans="1:3" x14ac:dyDescent="0.3">
      <c r="A348" s="36" t="s">
        <v>782</v>
      </c>
      <c r="B348" s="61" t="s">
        <v>783</v>
      </c>
      <c r="C348" s="37">
        <v>9850</v>
      </c>
    </row>
    <row r="349" spans="1:3" x14ac:dyDescent="0.3">
      <c r="A349" s="60" t="s">
        <v>784</v>
      </c>
      <c r="B349" s="61" t="s">
        <v>785</v>
      </c>
      <c r="C349" s="37">
        <v>39945.83</v>
      </c>
    </row>
    <row r="350" spans="1:3" x14ac:dyDescent="0.3">
      <c r="A350" s="60" t="s">
        <v>786</v>
      </c>
      <c r="B350" s="61" t="s">
        <v>787</v>
      </c>
      <c r="C350" s="37">
        <v>50000</v>
      </c>
    </row>
    <row r="351" spans="1:3" x14ac:dyDescent="0.3">
      <c r="A351" s="36" t="s">
        <v>788</v>
      </c>
      <c r="B351" s="61" t="s">
        <v>789</v>
      </c>
      <c r="C351" s="37">
        <v>49595.24</v>
      </c>
    </row>
    <row r="352" spans="1:3" x14ac:dyDescent="0.3">
      <c r="A352" s="60" t="s">
        <v>790</v>
      </c>
      <c r="B352" s="66" t="s">
        <v>791</v>
      </c>
      <c r="C352" s="73">
        <v>115083.33</v>
      </c>
    </row>
    <row r="353" spans="1:3" x14ac:dyDescent="0.3">
      <c r="A353" s="60" t="s">
        <v>792</v>
      </c>
      <c r="B353" s="61" t="s">
        <v>793</v>
      </c>
      <c r="C353" s="37">
        <v>22400</v>
      </c>
    </row>
    <row r="354" spans="1:3" x14ac:dyDescent="0.3">
      <c r="A354" s="36" t="s">
        <v>794</v>
      </c>
      <c r="B354" s="61" t="s">
        <v>795</v>
      </c>
      <c r="C354" s="37">
        <v>25975</v>
      </c>
    </row>
    <row r="355" spans="1:3" x14ac:dyDescent="0.3">
      <c r="A355" s="36" t="s">
        <v>796</v>
      </c>
      <c r="B355" s="61" t="s">
        <v>797</v>
      </c>
      <c r="C355" s="37">
        <v>33050</v>
      </c>
    </row>
    <row r="356" spans="1:3" x14ac:dyDescent="0.3">
      <c r="A356" s="63" t="s">
        <v>798</v>
      </c>
      <c r="B356" s="64" t="s">
        <v>799</v>
      </c>
      <c r="C356" s="78">
        <v>33658.33</v>
      </c>
    </row>
    <row r="357" spans="1:3" x14ac:dyDescent="0.3">
      <c r="A357" s="54" t="s">
        <v>800</v>
      </c>
      <c r="B357" s="66" t="s">
        <v>801</v>
      </c>
      <c r="C357" s="73">
        <v>924874</v>
      </c>
    </row>
    <row r="358" spans="1:3" x14ac:dyDescent="0.3">
      <c r="A358" s="60" t="s">
        <v>802</v>
      </c>
      <c r="B358" s="61" t="s">
        <v>803</v>
      </c>
      <c r="C358" s="37">
        <v>48450</v>
      </c>
    </row>
    <row r="359" spans="1:3" x14ac:dyDescent="0.3">
      <c r="A359" s="36" t="s">
        <v>804</v>
      </c>
      <c r="B359" s="61" t="s">
        <v>805</v>
      </c>
      <c r="C359" s="37">
        <v>52311.11</v>
      </c>
    </row>
    <row r="360" spans="1:3" x14ac:dyDescent="0.3">
      <c r="A360" s="36" t="s">
        <v>806</v>
      </c>
      <c r="B360" s="61" t="s">
        <v>807</v>
      </c>
      <c r="C360" s="37">
        <v>11800</v>
      </c>
    </row>
    <row r="361" spans="1:3" x14ac:dyDescent="0.3">
      <c r="A361" s="36" t="s">
        <v>808</v>
      </c>
      <c r="B361" s="61" t="s">
        <v>809</v>
      </c>
      <c r="C361" s="37">
        <v>10100</v>
      </c>
    </row>
    <row r="362" spans="1:3" x14ac:dyDescent="0.3">
      <c r="A362" s="36" t="s">
        <v>810</v>
      </c>
      <c r="B362" s="61" t="s">
        <v>811</v>
      </c>
      <c r="C362" s="37">
        <v>72600</v>
      </c>
    </row>
    <row r="363" spans="1:3" x14ac:dyDescent="0.3">
      <c r="A363" s="36" t="s">
        <v>812</v>
      </c>
      <c r="B363" s="61" t="s">
        <v>813</v>
      </c>
      <c r="C363" s="37">
        <v>8400</v>
      </c>
    </row>
    <row r="364" spans="1:3" x14ac:dyDescent="0.3">
      <c r="A364" s="36" t="s">
        <v>814</v>
      </c>
      <c r="B364" s="61" t="s">
        <v>815</v>
      </c>
      <c r="C364" s="37">
        <v>24875</v>
      </c>
    </row>
    <row r="365" spans="1:3" x14ac:dyDescent="0.3">
      <c r="A365" s="36" t="s">
        <v>816</v>
      </c>
      <c r="B365" s="61" t="s">
        <v>817</v>
      </c>
      <c r="C365" s="37">
        <v>37950</v>
      </c>
    </row>
    <row r="366" spans="1:3" x14ac:dyDescent="0.3">
      <c r="A366" s="36" t="s">
        <v>818</v>
      </c>
      <c r="B366" s="61" t="s">
        <v>819</v>
      </c>
      <c r="C366" s="37">
        <v>11150</v>
      </c>
    </row>
    <row r="367" spans="1:3" x14ac:dyDescent="0.3">
      <c r="A367" s="36" t="s">
        <v>820</v>
      </c>
      <c r="B367" s="61" t="s">
        <v>821</v>
      </c>
      <c r="C367" s="37">
        <v>10500</v>
      </c>
    </row>
    <row r="368" spans="1:3" x14ac:dyDescent="0.3">
      <c r="A368" s="36" t="s">
        <v>822</v>
      </c>
      <c r="B368" s="61" t="s">
        <v>823</v>
      </c>
      <c r="C368" s="37">
        <v>16300</v>
      </c>
    </row>
    <row r="369" spans="1:3" x14ac:dyDescent="0.3">
      <c r="A369" s="36" t="s">
        <v>824</v>
      </c>
      <c r="B369" s="61" t="s">
        <v>825</v>
      </c>
      <c r="C369" s="37">
        <v>3500</v>
      </c>
    </row>
    <row r="370" spans="1:3" x14ac:dyDescent="0.3">
      <c r="A370" s="36" t="s">
        <v>826</v>
      </c>
      <c r="B370" s="61" t="s">
        <v>827</v>
      </c>
      <c r="C370" s="37">
        <v>35961.11</v>
      </c>
    </row>
    <row r="371" spans="1:3" x14ac:dyDescent="0.3">
      <c r="A371" s="36" t="s">
        <v>828</v>
      </c>
      <c r="B371" s="61" t="s">
        <v>829</v>
      </c>
      <c r="C371" s="37">
        <v>57875</v>
      </c>
    </row>
    <row r="372" spans="1:3" x14ac:dyDescent="0.3">
      <c r="A372" s="36" t="s">
        <v>830</v>
      </c>
      <c r="B372" s="61" t="s">
        <v>831</v>
      </c>
      <c r="C372" s="37">
        <v>137099</v>
      </c>
    </row>
    <row r="373" spans="1:3" x14ac:dyDescent="0.3">
      <c r="A373" s="36" t="s">
        <v>832</v>
      </c>
      <c r="B373" s="61" t="s">
        <v>833</v>
      </c>
      <c r="C373" s="37">
        <v>40177.78</v>
      </c>
    </row>
    <row r="374" spans="1:3" x14ac:dyDescent="0.3">
      <c r="A374" s="36" t="s">
        <v>834</v>
      </c>
      <c r="B374" s="61" t="s">
        <v>835</v>
      </c>
      <c r="C374" s="37">
        <v>1900</v>
      </c>
    </row>
    <row r="375" spans="1:3" x14ac:dyDescent="0.3">
      <c r="A375" s="36" t="s">
        <v>836</v>
      </c>
      <c r="B375" s="61" t="s">
        <v>837</v>
      </c>
      <c r="C375" s="37">
        <v>24125</v>
      </c>
    </row>
    <row r="376" spans="1:3" x14ac:dyDescent="0.3">
      <c r="A376" s="36" t="s">
        <v>838</v>
      </c>
      <c r="B376" s="61" t="s">
        <v>839</v>
      </c>
      <c r="C376" s="37">
        <v>9450</v>
      </c>
    </row>
    <row r="377" spans="1:3" x14ac:dyDescent="0.3">
      <c r="A377" s="36" t="s">
        <v>840</v>
      </c>
      <c r="B377" s="61" t="s">
        <v>841</v>
      </c>
      <c r="C377" s="37">
        <v>1900</v>
      </c>
    </row>
    <row r="378" spans="1:3" x14ac:dyDescent="0.3">
      <c r="A378" s="36" t="s">
        <v>842</v>
      </c>
      <c r="B378" s="61" t="s">
        <v>843</v>
      </c>
      <c r="C378" s="37">
        <v>6300</v>
      </c>
    </row>
    <row r="379" spans="1:3" x14ac:dyDescent="0.3">
      <c r="A379" s="36" t="s">
        <v>844</v>
      </c>
      <c r="B379" s="61" t="s">
        <v>845</v>
      </c>
      <c r="C379" s="37">
        <v>47300</v>
      </c>
    </row>
    <row r="380" spans="1:3" x14ac:dyDescent="0.3">
      <c r="A380" s="60" t="s">
        <v>846</v>
      </c>
      <c r="B380" s="61" t="s">
        <v>847</v>
      </c>
      <c r="C380" s="76">
        <v>6850</v>
      </c>
    </row>
    <row r="381" spans="1:3" x14ac:dyDescent="0.3">
      <c r="A381" s="36" t="s">
        <v>848</v>
      </c>
      <c r="B381" s="61" t="s">
        <v>849</v>
      </c>
      <c r="C381" s="37">
        <v>52450</v>
      </c>
    </row>
    <row r="382" spans="1:3" x14ac:dyDescent="0.3">
      <c r="A382" s="36" t="s">
        <v>850</v>
      </c>
      <c r="B382" s="61" t="s">
        <v>851</v>
      </c>
      <c r="C382" s="37">
        <v>44150</v>
      </c>
    </row>
    <row r="383" spans="1:3" x14ac:dyDescent="0.3">
      <c r="A383" s="36" t="s">
        <v>852</v>
      </c>
      <c r="B383" s="61" t="s">
        <v>853</v>
      </c>
      <c r="C383" s="37">
        <v>15500</v>
      </c>
    </row>
    <row r="384" spans="1:3" x14ac:dyDescent="0.3">
      <c r="A384" s="36" t="s">
        <v>854</v>
      </c>
      <c r="B384" s="61" t="s">
        <v>855</v>
      </c>
      <c r="C384" s="37">
        <v>1400</v>
      </c>
    </row>
    <row r="385" spans="1:3" x14ac:dyDescent="0.3">
      <c r="A385" s="36" t="s">
        <v>856</v>
      </c>
      <c r="B385" s="61" t="s">
        <v>857</v>
      </c>
      <c r="C385" s="37">
        <v>12600</v>
      </c>
    </row>
    <row r="386" spans="1:3" x14ac:dyDescent="0.3">
      <c r="A386" s="36" t="s">
        <v>858</v>
      </c>
      <c r="B386" s="61" t="s">
        <v>859</v>
      </c>
      <c r="C386" s="37">
        <v>60850</v>
      </c>
    </row>
    <row r="387" spans="1:3" x14ac:dyDescent="0.3">
      <c r="A387" s="36" t="s">
        <v>860</v>
      </c>
      <c r="B387" s="61" t="s">
        <v>861</v>
      </c>
      <c r="C387" s="37">
        <v>22416.67</v>
      </c>
    </row>
    <row r="388" spans="1:3" x14ac:dyDescent="0.3">
      <c r="A388" s="36" t="s">
        <v>862</v>
      </c>
      <c r="B388" s="61" t="s">
        <v>863</v>
      </c>
      <c r="C388" s="37">
        <v>7583.33</v>
      </c>
    </row>
    <row r="389" spans="1:3" x14ac:dyDescent="0.3">
      <c r="A389" s="63" t="s">
        <v>864</v>
      </c>
      <c r="B389" s="64" t="s">
        <v>865</v>
      </c>
      <c r="C389" s="80">
        <v>31050</v>
      </c>
    </row>
    <row r="390" spans="1:3" x14ac:dyDescent="0.3">
      <c r="A390" s="54" t="s">
        <v>866</v>
      </c>
      <c r="B390" s="66" t="s">
        <v>867</v>
      </c>
      <c r="C390" s="81">
        <v>569348.23</v>
      </c>
    </row>
    <row r="391" spans="1:3" x14ac:dyDescent="0.3">
      <c r="A391" s="60" t="s">
        <v>868</v>
      </c>
      <c r="B391" s="61" t="s">
        <v>869</v>
      </c>
      <c r="C391" s="37">
        <v>6731.82</v>
      </c>
    </row>
    <row r="392" spans="1:3" x14ac:dyDescent="0.3">
      <c r="A392" s="36" t="s">
        <v>870</v>
      </c>
      <c r="B392" s="61" t="s">
        <v>871</v>
      </c>
      <c r="C392" s="37">
        <v>27952.78</v>
      </c>
    </row>
    <row r="393" spans="1:3" x14ac:dyDescent="0.3">
      <c r="A393" s="36" t="s">
        <v>872</v>
      </c>
      <c r="B393" s="61" t="s">
        <v>873</v>
      </c>
      <c r="C393" s="37">
        <v>20822.73</v>
      </c>
    </row>
    <row r="394" spans="1:3" x14ac:dyDescent="0.3">
      <c r="A394" s="36" t="s">
        <v>874</v>
      </c>
      <c r="B394" s="61" t="s">
        <v>875</v>
      </c>
      <c r="C394" s="37">
        <v>81756.06</v>
      </c>
    </row>
    <row r="395" spans="1:3" x14ac:dyDescent="0.3">
      <c r="A395" s="36" t="s">
        <v>876</v>
      </c>
      <c r="B395" s="61" t="s">
        <v>877</v>
      </c>
      <c r="C395" s="37">
        <v>19503.03</v>
      </c>
    </row>
    <row r="396" spans="1:3" x14ac:dyDescent="0.3">
      <c r="A396" s="36" t="s">
        <v>878</v>
      </c>
      <c r="B396" s="61" t="s">
        <v>879</v>
      </c>
      <c r="C396" s="37">
        <v>6950</v>
      </c>
    </row>
    <row r="397" spans="1:3" x14ac:dyDescent="0.3">
      <c r="A397" s="36" t="s">
        <v>880</v>
      </c>
      <c r="B397" s="61" t="s">
        <v>881</v>
      </c>
      <c r="C397" s="37">
        <v>12691.67</v>
      </c>
    </row>
    <row r="398" spans="1:3" x14ac:dyDescent="0.3">
      <c r="A398" s="36" t="s">
        <v>882</v>
      </c>
      <c r="B398" s="61" t="s">
        <v>883</v>
      </c>
      <c r="C398" s="37">
        <v>20500</v>
      </c>
    </row>
    <row r="399" spans="1:3" x14ac:dyDescent="0.3">
      <c r="A399" s="36" t="s">
        <v>884</v>
      </c>
      <c r="B399" s="61" t="s">
        <v>885</v>
      </c>
      <c r="C399" s="37">
        <v>53933.33</v>
      </c>
    </row>
    <row r="400" spans="1:3" x14ac:dyDescent="0.3">
      <c r="A400" s="36" t="s">
        <v>886</v>
      </c>
      <c r="B400" s="61" t="s">
        <v>887</v>
      </c>
      <c r="C400" s="37">
        <v>31750</v>
      </c>
    </row>
    <row r="401" spans="1:3" x14ac:dyDescent="0.3">
      <c r="A401" s="36" t="s">
        <v>888</v>
      </c>
      <c r="B401" s="61" t="s">
        <v>889</v>
      </c>
      <c r="C401" s="37">
        <v>19800</v>
      </c>
    </row>
    <row r="402" spans="1:3" x14ac:dyDescent="0.3">
      <c r="A402" s="36" t="s">
        <v>890</v>
      </c>
      <c r="B402" s="61" t="s">
        <v>891</v>
      </c>
      <c r="C402" s="37">
        <v>4550</v>
      </c>
    </row>
    <row r="403" spans="1:3" x14ac:dyDescent="0.3">
      <c r="A403" s="36" t="s">
        <v>892</v>
      </c>
      <c r="B403" s="61" t="s">
        <v>893</v>
      </c>
      <c r="C403" s="37">
        <v>15086.36</v>
      </c>
    </row>
    <row r="404" spans="1:3" x14ac:dyDescent="0.3">
      <c r="A404" s="36" t="s">
        <v>894</v>
      </c>
      <c r="B404" s="61" t="s">
        <v>895</v>
      </c>
      <c r="C404" s="37">
        <v>13650</v>
      </c>
    </row>
    <row r="405" spans="1:3" x14ac:dyDescent="0.3">
      <c r="A405" s="36" t="s">
        <v>896</v>
      </c>
      <c r="B405" s="61" t="s">
        <v>897</v>
      </c>
      <c r="C405" s="37">
        <v>25620.45</v>
      </c>
    </row>
    <row r="406" spans="1:3" x14ac:dyDescent="0.3">
      <c r="A406" s="36" t="s">
        <v>898</v>
      </c>
      <c r="B406" s="61" t="s">
        <v>899</v>
      </c>
      <c r="C406" s="37">
        <v>32250</v>
      </c>
    </row>
    <row r="407" spans="1:3" x14ac:dyDescent="0.3">
      <c r="A407" s="36" t="s">
        <v>900</v>
      </c>
      <c r="B407" s="61" t="s">
        <v>901</v>
      </c>
      <c r="C407" s="37">
        <v>34516.67</v>
      </c>
    </row>
    <row r="408" spans="1:3" x14ac:dyDescent="0.3">
      <c r="A408" s="36" t="s">
        <v>902</v>
      </c>
      <c r="B408" s="61" t="s">
        <v>903</v>
      </c>
      <c r="C408" s="37">
        <v>31458.33</v>
      </c>
    </row>
    <row r="409" spans="1:3" x14ac:dyDescent="0.3">
      <c r="A409" s="36" t="s">
        <v>904</v>
      </c>
      <c r="B409" s="61" t="s">
        <v>905</v>
      </c>
      <c r="C409" s="37">
        <v>38791.67</v>
      </c>
    </row>
    <row r="410" spans="1:3" x14ac:dyDescent="0.3">
      <c r="A410" s="36" t="s">
        <v>906</v>
      </c>
      <c r="B410" s="61" t="s">
        <v>907</v>
      </c>
      <c r="C410" s="37">
        <v>14016.67</v>
      </c>
    </row>
    <row r="411" spans="1:3" x14ac:dyDescent="0.3">
      <c r="A411" s="36" t="s">
        <v>908</v>
      </c>
      <c r="B411" s="61" t="s">
        <v>909</v>
      </c>
      <c r="C411" s="37">
        <v>6950</v>
      </c>
    </row>
    <row r="412" spans="1:3" x14ac:dyDescent="0.3">
      <c r="A412" s="63" t="s">
        <v>910</v>
      </c>
      <c r="B412" s="64" t="s">
        <v>911</v>
      </c>
      <c r="C412" s="78">
        <v>50066.67</v>
      </c>
    </row>
    <row r="413" spans="1:3" x14ac:dyDescent="0.3">
      <c r="A413" s="60" t="s">
        <v>912</v>
      </c>
      <c r="B413" s="66" t="s">
        <v>913</v>
      </c>
      <c r="C413" s="73">
        <v>287550</v>
      </c>
    </row>
    <row r="414" spans="1:3" x14ac:dyDescent="0.3">
      <c r="A414" s="60" t="s">
        <v>914</v>
      </c>
      <c r="B414" s="61" t="s">
        <v>915</v>
      </c>
      <c r="C414" s="37">
        <v>33050</v>
      </c>
    </row>
    <row r="415" spans="1:3" x14ac:dyDescent="0.3">
      <c r="A415" s="36" t="s">
        <v>916</v>
      </c>
      <c r="B415" s="61" t="s">
        <v>917</v>
      </c>
      <c r="C415" s="37">
        <v>18050</v>
      </c>
    </row>
    <row r="416" spans="1:3" x14ac:dyDescent="0.3">
      <c r="A416" s="36" t="s">
        <v>918</v>
      </c>
      <c r="B416" s="61" t="s">
        <v>919</v>
      </c>
      <c r="C416" s="37">
        <v>25150</v>
      </c>
    </row>
    <row r="417" spans="1:3" x14ac:dyDescent="0.3">
      <c r="A417" s="36" t="s">
        <v>920</v>
      </c>
      <c r="B417" s="61" t="s">
        <v>921</v>
      </c>
      <c r="C417" s="37">
        <v>60350</v>
      </c>
    </row>
    <row r="418" spans="1:3" x14ac:dyDescent="0.3">
      <c r="A418" s="36" t="s">
        <v>922</v>
      </c>
      <c r="B418" s="61" t="s">
        <v>923</v>
      </c>
      <c r="C418" s="37">
        <v>13150</v>
      </c>
    </row>
    <row r="419" spans="1:3" x14ac:dyDescent="0.3">
      <c r="A419" s="36" t="s">
        <v>924</v>
      </c>
      <c r="B419" s="61" t="s">
        <v>925</v>
      </c>
      <c r="C419" s="37">
        <v>19150</v>
      </c>
    </row>
    <row r="420" spans="1:3" x14ac:dyDescent="0.3">
      <c r="A420" s="36" t="s">
        <v>926</v>
      </c>
      <c r="B420" s="61" t="s">
        <v>927</v>
      </c>
      <c r="C420" s="37">
        <v>9800</v>
      </c>
    </row>
    <row r="421" spans="1:3" x14ac:dyDescent="0.3">
      <c r="A421" s="36" t="s">
        <v>928</v>
      </c>
      <c r="B421" s="61" t="s">
        <v>929</v>
      </c>
      <c r="C421" s="37">
        <v>33850</v>
      </c>
    </row>
    <row r="422" spans="1:3" x14ac:dyDescent="0.3">
      <c r="A422" s="36" t="s">
        <v>930</v>
      </c>
      <c r="B422" s="61" t="s">
        <v>931</v>
      </c>
      <c r="C422" s="37">
        <v>22900</v>
      </c>
    </row>
    <row r="423" spans="1:3" x14ac:dyDescent="0.3">
      <c r="A423" s="36" t="s">
        <v>932</v>
      </c>
      <c r="B423" s="61" t="s">
        <v>933</v>
      </c>
      <c r="C423" s="37">
        <v>26400</v>
      </c>
    </row>
    <row r="424" spans="1:3" x14ac:dyDescent="0.3">
      <c r="A424" s="36" t="s">
        <v>934</v>
      </c>
      <c r="B424" s="61" t="s">
        <v>935</v>
      </c>
      <c r="C424" s="82">
        <v>25700</v>
      </c>
    </row>
    <row r="425" spans="1:3" x14ac:dyDescent="0.3">
      <c r="A425" s="36"/>
    </row>
    <row r="426" spans="1:3" x14ac:dyDescent="0.3">
      <c r="A426" s="47"/>
    </row>
    <row r="427" spans="1:3" x14ac:dyDescent="0.3">
      <c r="A427" s="47"/>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1FD53-B540-4FCF-8502-DDCEEDC95856}">
  <dimension ref="A1:XFD123"/>
  <sheetViews>
    <sheetView topLeftCell="A81" workbookViewId="0">
      <selection activeCell="H117" sqref="H117"/>
    </sheetView>
  </sheetViews>
  <sheetFormatPr defaultColWidth="13.33203125" defaultRowHeight="17.25" customHeight="1" x14ac:dyDescent="0.3"/>
  <cols>
    <col min="1" max="1" width="55.109375" style="83" customWidth="1"/>
    <col min="2" max="2" width="18.33203125" style="83" customWidth="1"/>
    <col min="3" max="3" width="13.33203125" style="83" customWidth="1"/>
    <col min="4" max="4" width="13.33203125" style="84" customWidth="1"/>
    <col min="5" max="5" width="13.33203125" style="83" customWidth="1"/>
    <col min="6" max="16384" width="13.33203125" style="83"/>
  </cols>
  <sheetData>
    <row r="1" spans="1:19 16383:16384" customFormat="1" ht="17.25" customHeight="1" x14ac:dyDescent="0.35">
      <c r="A1" s="28" t="s">
        <v>937</v>
      </c>
      <c r="B1" s="83"/>
      <c r="C1" s="83"/>
      <c r="D1" s="84"/>
      <c r="E1" s="83"/>
      <c r="F1" s="83"/>
      <c r="G1" s="83"/>
      <c r="H1" s="83"/>
      <c r="I1" s="83"/>
      <c r="J1" s="83"/>
      <c r="K1" s="83"/>
      <c r="L1" s="83"/>
      <c r="M1" s="83"/>
      <c r="N1" s="83"/>
      <c r="O1" s="83"/>
      <c r="P1" s="83"/>
      <c r="Q1" s="83"/>
      <c r="R1" s="83"/>
      <c r="S1" s="83"/>
    </row>
    <row r="2" spans="1:19 16383:16384" customFormat="1" ht="17.25" customHeight="1" x14ac:dyDescent="0.3">
      <c r="A2" s="30" t="s">
        <v>62</v>
      </c>
      <c r="B2" s="83"/>
      <c r="C2" s="83"/>
      <c r="D2" s="84"/>
      <c r="E2" s="83"/>
      <c r="F2" s="83"/>
      <c r="G2" s="83"/>
      <c r="H2" s="83"/>
      <c r="I2" s="83"/>
      <c r="J2" s="83"/>
      <c r="K2" s="83"/>
      <c r="L2" s="83"/>
      <c r="M2" s="85"/>
      <c r="N2" s="86"/>
      <c r="O2" s="86"/>
      <c r="P2" s="86"/>
      <c r="Q2" s="86"/>
      <c r="R2" s="86"/>
      <c r="S2" s="83"/>
    </row>
    <row r="3" spans="1:19 16383:16384" customFormat="1" ht="40.200000000000003" x14ac:dyDescent="0.3">
      <c r="A3" s="52" t="s">
        <v>938</v>
      </c>
      <c r="B3" s="87" t="s">
        <v>939</v>
      </c>
      <c r="C3" s="87" t="s">
        <v>940</v>
      </c>
      <c r="D3" s="87" t="s">
        <v>941</v>
      </c>
      <c r="E3" s="87" t="s">
        <v>942</v>
      </c>
      <c r="F3" s="87" t="s">
        <v>943</v>
      </c>
      <c r="G3" s="87" t="s">
        <v>944</v>
      </c>
      <c r="H3" s="87" t="s">
        <v>945</v>
      </c>
      <c r="I3" s="83"/>
      <c r="J3" s="83"/>
      <c r="K3" s="83"/>
      <c r="L3" s="83"/>
      <c r="M3" s="83"/>
      <c r="N3" s="88"/>
      <c r="O3" s="89"/>
      <c r="P3" s="89"/>
      <c r="Q3" s="89"/>
      <c r="R3" s="89"/>
      <c r="S3" s="89"/>
    </row>
    <row r="4" spans="1:19 16383:16384" customFormat="1" ht="17.25" customHeight="1" x14ac:dyDescent="0.3">
      <c r="A4" s="85" t="s">
        <v>946</v>
      </c>
      <c r="B4" s="90">
        <v>0</v>
      </c>
      <c r="C4" s="90">
        <v>6</v>
      </c>
      <c r="D4" s="90">
        <v>5</v>
      </c>
      <c r="E4" s="90">
        <v>25</v>
      </c>
      <c r="F4" s="90">
        <v>0</v>
      </c>
      <c r="G4" s="90">
        <v>0</v>
      </c>
      <c r="H4" s="90">
        <v>36</v>
      </c>
      <c r="I4" s="91"/>
      <c r="J4" s="91"/>
      <c r="K4" s="83"/>
      <c r="L4" s="83"/>
      <c r="M4" s="83"/>
      <c r="N4" s="88"/>
      <c r="O4" s="89"/>
      <c r="P4" s="89"/>
      <c r="Q4" s="89"/>
      <c r="R4" s="89"/>
      <c r="S4" s="89"/>
    </row>
    <row r="5" spans="1:19 16383:16384" customFormat="1" ht="17.25" customHeight="1" x14ac:dyDescent="0.3">
      <c r="A5" s="88" t="s">
        <v>947</v>
      </c>
      <c r="B5" s="92">
        <v>0</v>
      </c>
      <c r="C5" s="92">
        <v>0</v>
      </c>
      <c r="D5" s="92">
        <v>0</v>
      </c>
      <c r="E5" s="92">
        <v>9</v>
      </c>
      <c r="F5" s="92">
        <v>0</v>
      </c>
      <c r="G5" s="92">
        <v>0</v>
      </c>
      <c r="H5" s="92">
        <v>9</v>
      </c>
      <c r="I5" s="83"/>
      <c r="J5" s="91"/>
      <c r="K5" s="83"/>
      <c r="L5" s="83"/>
      <c r="M5" s="83"/>
      <c r="N5" s="88"/>
      <c r="O5" s="89"/>
      <c r="P5" s="89"/>
      <c r="Q5" s="89"/>
      <c r="R5" s="89"/>
      <c r="S5" s="89"/>
    </row>
    <row r="6" spans="1:19 16383:16384" customFormat="1" ht="17.25" customHeight="1" x14ac:dyDescent="0.3">
      <c r="A6" s="88" t="s">
        <v>948</v>
      </c>
      <c r="B6" s="92">
        <v>0</v>
      </c>
      <c r="C6" s="92">
        <v>6</v>
      </c>
      <c r="D6" s="92">
        <v>5</v>
      </c>
      <c r="E6" s="92">
        <v>16</v>
      </c>
      <c r="F6" s="92">
        <v>0</v>
      </c>
      <c r="G6" s="92">
        <v>0</v>
      </c>
      <c r="H6" s="92">
        <v>27</v>
      </c>
      <c r="I6" s="83"/>
      <c r="J6" s="91"/>
      <c r="K6" s="83"/>
      <c r="L6" s="83"/>
      <c r="M6" s="83"/>
      <c r="N6" s="83"/>
      <c r="O6" s="83"/>
      <c r="P6" s="83"/>
      <c r="Q6" s="83"/>
      <c r="R6" s="83"/>
      <c r="S6" s="83"/>
      <c r="XFC6" s="83"/>
      <c r="XFD6" s="83"/>
    </row>
    <row r="7" spans="1:19 16383:16384" customFormat="1" ht="17.25" customHeight="1" x14ac:dyDescent="0.3">
      <c r="A7" s="85" t="s">
        <v>949</v>
      </c>
      <c r="B7" s="90">
        <v>0</v>
      </c>
      <c r="C7" s="90">
        <v>74</v>
      </c>
      <c r="D7" s="90">
        <v>94</v>
      </c>
      <c r="E7" s="90">
        <v>22</v>
      </c>
      <c r="F7" s="90">
        <v>4</v>
      </c>
      <c r="G7" s="90">
        <v>0</v>
      </c>
      <c r="H7" s="90">
        <v>194</v>
      </c>
      <c r="I7" s="83"/>
      <c r="J7" s="91"/>
      <c r="K7" s="83"/>
      <c r="L7" s="83"/>
      <c r="M7" s="83"/>
      <c r="N7" s="83"/>
      <c r="O7" s="83"/>
      <c r="P7" s="83"/>
      <c r="Q7" s="83"/>
      <c r="R7" s="83"/>
      <c r="S7" s="83"/>
      <c r="XFC7" s="83"/>
      <c r="XFD7" s="83"/>
    </row>
    <row r="8" spans="1:19 16383:16384" customFormat="1" ht="17.25" customHeight="1" x14ac:dyDescent="0.3">
      <c r="A8" s="88" t="s">
        <v>950</v>
      </c>
      <c r="B8" s="92">
        <v>0</v>
      </c>
      <c r="C8" s="92">
        <v>0</v>
      </c>
      <c r="D8" s="92">
        <v>0</v>
      </c>
      <c r="E8" s="92">
        <v>2</v>
      </c>
      <c r="F8" s="92">
        <v>0</v>
      </c>
      <c r="G8" s="92">
        <v>0</v>
      </c>
      <c r="H8" s="92">
        <v>2</v>
      </c>
      <c r="I8" s="83"/>
      <c r="J8" s="91"/>
      <c r="K8" s="83"/>
      <c r="L8" s="83"/>
      <c r="M8" s="83"/>
      <c r="N8" s="83"/>
      <c r="O8" s="83"/>
      <c r="P8" s="83"/>
      <c r="Q8" s="83"/>
      <c r="R8" s="83"/>
      <c r="S8" s="83"/>
      <c r="XFC8" s="83"/>
      <c r="XFD8" s="83"/>
    </row>
    <row r="9" spans="1:19 16383:16384" customFormat="1" ht="17.25" customHeight="1" x14ac:dyDescent="0.3">
      <c r="A9" s="88" t="s">
        <v>951</v>
      </c>
      <c r="B9" s="91">
        <v>0</v>
      </c>
      <c r="C9" s="91">
        <v>0</v>
      </c>
      <c r="D9" s="91">
        <v>12</v>
      </c>
      <c r="E9" s="91">
        <v>0</v>
      </c>
      <c r="F9" s="91">
        <v>0</v>
      </c>
      <c r="G9" s="91">
        <v>0</v>
      </c>
      <c r="H9" s="91">
        <v>12</v>
      </c>
      <c r="I9" s="83"/>
      <c r="J9" s="91"/>
      <c r="K9" s="83"/>
      <c r="L9" s="83"/>
      <c r="M9" s="83"/>
      <c r="N9" s="83"/>
      <c r="O9" s="83"/>
      <c r="P9" s="83"/>
      <c r="Q9" s="83"/>
      <c r="R9" s="83"/>
      <c r="S9" s="83"/>
    </row>
    <row r="10" spans="1:19 16383:16384" s="93" customFormat="1" ht="17.25" customHeight="1" x14ac:dyDescent="0.3">
      <c r="A10" s="88" t="s">
        <v>952</v>
      </c>
      <c r="B10" s="92">
        <v>0</v>
      </c>
      <c r="C10" s="92">
        <v>0</v>
      </c>
      <c r="D10" s="92">
        <v>0</v>
      </c>
      <c r="E10" s="92">
        <v>0</v>
      </c>
      <c r="F10" s="92">
        <v>3</v>
      </c>
      <c r="G10" s="92">
        <v>0</v>
      </c>
      <c r="H10" s="92">
        <v>3</v>
      </c>
      <c r="I10" s="83"/>
      <c r="J10" s="91"/>
    </row>
    <row r="11" spans="1:19 16383:16384" customFormat="1" ht="17.25" customHeight="1" x14ac:dyDescent="0.3">
      <c r="A11" s="88" t="s">
        <v>953</v>
      </c>
      <c r="B11" s="92">
        <v>0</v>
      </c>
      <c r="C11" s="92">
        <v>0</v>
      </c>
      <c r="D11" s="92">
        <v>0</v>
      </c>
      <c r="E11" s="92">
        <v>0</v>
      </c>
      <c r="F11" s="92">
        <v>1</v>
      </c>
      <c r="G11" s="92">
        <v>0</v>
      </c>
      <c r="H11" s="92">
        <v>1</v>
      </c>
      <c r="I11" s="83"/>
      <c r="J11" s="91"/>
      <c r="K11" s="83"/>
      <c r="L11" s="83"/>
      <c r="M11" s="83"/>
      <c r="N11" s="83"/>
      <c r="O11" s="83"/>
      <c r="P11" s="83"/>
      <c r="Q11" s="83"/>
      <c r="R11" s="83"/>
      <c r="S11" s="83"/>
      <c r="XFC11" s="83"/>
      <c r="XFD11" s="83"/>
    </row>
    <row r="12" spans="1:19 16383:16384" customFormat="1" ht="17.25" customHeight="1" x14ac:dyDescent="0.3">
      <c r="A12" s="88" t="s">
        <v>954</v>
      </c>
      <c r="B12" s="91">
        <v>0</v>
      </c>
      <c r="C12" s="91">
        <v>0</v>
      </c>
      <c r="D12" s="91">
        <v>29</v>
      </c>
      <c r="E12" s="91">
        <v>0</v>
      </c>
      <c r="F12" s="91">
        <v>0</v>
      </c>
      <c r="G12" s="91">
        <v>0</v>
      </c>
      <c r="H12" s="91">
        <v>29</v>
      </c>
      <c r="I12" s="83"/>
      <c r="J12" s="91"/>
      <c r="K12" s="83"/>
      <c r="L12" s="83"/>
      <c r="M12" s="83"/>
      <c r="N12" s="83"/>
      <c r="O12" s="83"/>
      <c r="P12" s="83"/>
      <c r="Q12" s="83"/>
      <c r="R12" s="83"/>
      <c r="S12" s="83"/>
    </row>
    <row r="13" spans="1:19 16383:16384" customFormat="1" ht="17.25" customHeight="1" x14ac:dyDescent="0.3">
      <c r="A13" s="88" t="s">
        <v>955</v>
      </c>
      <c r="B13" s="91">
        <v>0</v>
      </c>
      <c r="C13" s="91">
        <v>6</v>
      </c>
      <c r="D13" s="91">
        <v>0</v>
      </c>
      <c r="E13" s="91">
        <v>4</v>
      </c>
      <c r="F13" s="91">
        <v>0</v>
      </c>
      <c r="G13" s="91">
        <v>0</v>
      </c>
      <c r="H13" s="91">
        <v>10</v>
      </c>
      <c r="I13" s="83"/>
      <c r="J13" s="91"/>
      <c r="K13" s="83"/>
      <c r="L13" s="83"/>
      <c r="M13" s="83"/>
      <c r="N13" s="83"/>
      <c r="O13" s="83"/>
      <c r="P13" s="83"/>
      <c r="Q13" s="83"/>
      <c r="R13" s="83"/>
      <c r="S13" s="83"/>
      <c r="XFC13" s="83"/>
      <c r="XFD13" s="83"/>
    </row>
    <row r="14" spans="1:19 16383:16384" customFormat="1" ht="17.25" customHeight="1" x14ac:dyDescent="0.3">
      <c r="A14" s="88" t="s">
        <v>956</v>
      </c>
      <c r="B14" s="92">
        <v>0</v>
      </c>
      <c r="C14" s="92">
        <v>68</v>
      </c>
      <c r="D14" s="92">
        <v>0</v>
      </c>
      <c r="E14" s="92">
        <v>0</v>
      </c>
      <c r="F14" s="92">
        <v>0</v>
      </c>
      <c r="G14" s="92">
        <v>0</v>
      </c>
      <c r="H14" s="92">
        <v>68</v>
      </c>
      <c r="I14" s="83"/>
      <c r="J14" s="91"/>
      <c r="K14" s="83"/>
      <c r="L14" s="83"/>
      <c r="M14" s="83"/>
      <c r="N14" s="83"/>
      <c r="O14" s="83"/>
      <c r="P14" s="83"/>
      <c r="Q14" s="83"/>
      <c r="R14" s="83"/>
      <c r="S14" s="83"/>
      <c r="XFC14" s="83"/>
      <c r="XFD14" s="83"/>
    </row>
    <row r="15" spans="1:19 16383:16384" customFormat="1" ht="17.25" customHeight="1" x14ac:dyDescent="0.3">
      <c r="A15" s="88" t="s">
        <v>957</v>
      </c>
      <c r="B15" s="92">
        <v>0</v>
      </c>
      <c r="C15" s="92">
        <v>0</v>
      </c>
      <c r="D15" s="92">
        <v>0</v>
      </c>
      <c r="E15" s="92">
        <v>16</v>
      </c>
      <c r="F15" s="92">
        <v>0</v>
      </c>
      <c r="G15" s="92">
        <v>0</v>
      </c>
      <c r="H15" s="92">
        <v>16</v>
      </c>
      <c r="I15" s="83"/>
      <c r="J15" s="91"/>
      <c r="K15" s="83"/>
      <c r="L15" s="83"/>
      <c r="M15" s="83"/>
      <c r="N15" s="83"/>
      <c r="O15" s="83"/>
      <c r="P15" s="83"/>
      <c r="Q15" s="83"/>
      <c r="R15" s="83"/>
      <c r="S15" s="83"/>
      <c r="XFC15" s="83"/>
      <c r="XFD15" s="83"/>
    </row>
    <row r="16" spans="1:19 16383:16384" customFormat="1" ht="17.25" customHeight="1" x14ac:dyDescent="0.3">
      <c r="A16" s="88" t="s">
        <v>958</v>
      </c>
      <c r="B16" s="92">
        <v>0</v>
      </c>
      <c r="C16" s="92">
        <v>0</v>
      </c>
      <c r="D16" s="92">
        <v>53</v>
      </c>
      <c r="E16" s="92">
        <v>0</v>
      </c>
      <c r="F16" s="92">
        <v>0</v>
      </c>
      <c r="G16" s="92">
        <v>0</v>
      </c>
      <c r="H16" s="92">
        <v>53</v>
      </c>
      <c r="I16" s="83"/>
      <c r="J16" s="91"/>
      <c r="K16" s="83"/>
      <c r="L16" s="83"/>
      <c r="M16" s="83"/>
      <c r="N16" s="83"/>
      <c r="O16" s="83"/>
      <c r="P16" s="83"/>
      <c r="Q16" s="83"/>
      <c r="R16" s="83"/>
      <c r="S16" s="83"/>
    </row>
    <row r="17" spans="1:19" customFormat="1" ht="17.25" customHeight="1" x14ac:dyDescent="0.3">
      <c r="A17" s="85" t="s">
        <v>959</v>
      </c>
      <c r="B17" s="90">
        <v>0</v>
      </c>
      <c r="C17" s="90">
        <v>0</v>
      </c>
      <c r="D17" s="90">
        <v>41</v>
      </c>
      <c r="E17" s="90">
        <v>38</v>
      </c>
      <c r="F17" s="90">
        <v>0</v>
      </c>
      <c r="G17" s="90">
        <v>0</v>
      </c>
      <c r="H17" s="90">
        <v>79</v>
      </c>
      <c r="I17" s="83"/>
      <c r="J17" s="91"/>
      <c r="K17" s="83"/>
      <c r="L17" s="83"/>
      <c r="M17" s="83"/>
      <c r="N17" s="83"/>
      <c r="O17" s="83"/>
      <c r="P17" s="83"/>
      <c r="Q17" s="83"/>
      <c r="R17" s="83"/>
      <c r="S17" s="83"/>
    </row>
    <row r="18" spans="1:19" customFormat="1" ht="17.25" customHeight="1" x14ac:dyDescent="0.3">
      <c r="A18" s="88" t="s">
        <v>960</v>
      </c>
      <c r="B18" s="91">
        <v>0</v>
      </c>
      <c r="C18" s="91">
        <v>0</v>
      </c>
      <c r="D18" s="91">
        <v>20</v>
      </c>
      <c r="E18" s="91">
        <v>0</v>
      </c>
      <c r="F18" s="92">
        <v>0</v>
      </c>
      <c r="G18" s="92">
        <v>0</v>
      </c>
      <c r="H18" s="92">
        <v>20</v>
      </c>
      <c r="I18" s="83"/>
      <c r="J18" s="91"/>
      <c r="K18" s="83"/>
      <c r="L18" s="83"/>
      <c r="M18" s="83"/>
      <c r="N18" s="83"/>
      <c r="O18" s="83"/>
      <c r="P18" s="83"/>
      <c r="Q18" s="83"/>
      <c r="R18" s="83"/>
      <c r="S18" s="83"/>
    </row>
    <row r="19" spans="1:19" customFormat="1" ht="17.25" customHeight="1" x14ac:dyDescent="0.3">
      <c r="A19" s="88" t="s">
        <v>961</v>
      </c>
      <c r="B19" s="91">
        <v>0</v>
      </c>
      <c r="C19" s="91">
        <v>0</v>
      </c>
      <c r="D19" s="91">
        <v>13</v>
      </c>
      <c r="E19" s="91">
        <v>13</v>
      </c>
      <c r="F19" s="92">
        <v>0</v>
      </c>
      <c r="G19" s="92">
        <v>0</v>
      </c>
      <c r="H19" s="92">
        <v>26</v>
      </c>
      <c r="I19" s="83"/>
      <c r="J19" s="91"/>
      <c r="K19" s="83"/>
      <c r="L19" s="83"/>
      <c r="M19" s="83"/>
      <c r="N19" s="83"/>
      <c r="O19" s="83"/>
      <c r="P19" s="83"/>
      <c r="Q19" s="83"/>
      <c r="R19" s="83"/>
      <c r="S19" s="83"/>
    </row>
    <row r="20" spans="1:19" customFormat="1" ht="17.25" customHeight="1" x14ac:dyDescent="0.3">
      <c r="A20" s="88" t="s">
        <v>962</v>
      </c>
      <c r="B20" s="91">
        <v>0</v>
      </c>
      <c r="C20" s="91">
        <v>0</v>
      </c>
      <c r="D20" s="91">
        <v>0</v>
      </c>
      <c r="E20" s="91">
        <v>7</v>
      </c>
      <c r="F20" s="92">
        <v>0</v>
      </c>
      <c r="G20" s="92">
        <v>0</v>
      </c>
      <c r="H20" s="92">
        <v>7</v>
      </c>
      <c r="I20" s="83"/>
      <c r="J20" s="91"/>
      <c r="K20" s="83"/>
      <c r="L20" s="83"/>
      <c r="M20" s="83"/>
      <c r="N20" s="83"/>
      <c r="O20" s="83"/>
      <c r="P20" s="83"/>
      <c r="Q20" s="83"/>
      <c r="R20" s="83"/>
      <c r="S20" s="83"/>
    </row>
    <row r="21" spans="1:19" customFormat="1" ht="17.25" customHeight="1" x14ac:dyDescent="0.3">
      <c r="A21" s="88" t="s">
        <v>219</v>
      </c>
      <c r="B21" s="91">
        <v>0</v>
      </c>
      <c r="C21" s="91">
        <v>0</v>
      </c>
      <c r="D21" s="91">
        <v>7</v>
      </c>
      <c r="E21" s="91">
        <v>0</v>
      </c>
      <c r="F21" s="92">
        <v>0</v>
      </c>
      <c r="G21" s="92">
        <v>0</v>
      </c>
      <c r="H21" s="92">
        <v>7</v>
      </c>
      <c r="I21" s="83"/>
      <c r="J21" s="91"/>
      <c r="K21" s="83"/>
      <c r="L21" s="83"/>
      <c r="M21" s="83"/>
      <c r="N21" s="83"/>
      <c r="O21" s="83"/>
      <c r="P21" s="83"/>
      <c r="Q21" s="83"/>
      <c r="R21" s="83"/>
      <c r="S21" s="83"/>
    </row>
    <row r="22" spans="1:19" s="93" customFormat="1" ht="17.25" customHeight="1" x14ac:dyDescent="0.3">
      <c r="A22" s="88" t="s">
        <v>963</v>
      </c>
      <c r="B22" s="94">
        <v>0</v>
      </c>
      <c r="C22" s="94">
        <v>0</v>
      </c>
      <c r="D22" s="94">
        <v>1</v>
      </c>
      <c r="E22" s="94">
        <v>0</v>
      </c>
      <c r="F22" s="92">
        <v>0</v>
      </c>
      <c r="G22" s="92">
        <v>0</v>
      </c>
      <c r="H22" s="92">
        <v>1</v>
      </c>
      <c r="I22" s="83"/>
      <c r="J22" s="91"/>
    </row>
    <row r="23" spans="1:19" customFormat="1" ht="17.25" customHeight="1" x14ac:dyDescent="0.3">
      <c r="A23" s="88" t="s">
        <v>964</v>
      </c>
      <c r="B23" s="92">
        <v>0</v>
      </c>
      <c r="C23" s="92">
        <v>0</v>
      </c>
      <c r="D23" s="92">
        <v>0</v>
      </c>
      <c r="E23" s="92">
        <v>8</v>
      </c>
      <c r="F23" s="92">
        <v>0</v>
      </c>
      <c r="G23" s="92">
        <v>0</v>
      </c>
      <c r="H23" s="92">
        <v>8</v>
      </c>
      <c r="I23" s="83"/>
      <c r="J23" s="91"/>
      <c r="K23" s="83"/>
      <c r="L23" s="83"/>
      <c r="M23" s="83"/>
      <c r="N23" s="83"/>
      <c r="O23" s="83"/>
      <c r="P23" s="83"/>
      <c r="Q23" s="83"/>
      <c r="R23" s="83"/>
      <c r="S23" s="83"/>
    </row>
    <row r="24" spans="1:19" customFormat="1" ht="17.25" customHeight="1" x14ac:dyDescent="0.3">
      <c r="A24" s="88" t="s">
        <v>965</v>
      </c>
      <c r="B24" s="92">
        <v>0</v>
      </c>
      <c r="C24" s="92">
        <v>0</v>
      </c>
      <c r="D24" s="92">
        <v>0</v>
      </c>
      <c r="E24" s="92">
        <v>10</v>
      </c>
      <c r="F24" s="92">
        <v>0</v>
      </c>
      <c r="G24" s="92">
        <v>0</v>
      </c>
      <c r="H24" s="92">
        <v>10</v>
      </c>
      <c r="I24" s="83"/>
      <c r="J24" s="91"/>
      <c r="K24" s="83"/>
      <c r="L24" s="83"/>
      <c r="M24" s="83"/>
      <c r="N24" s="83"/>
      <c r="O24" s="83"/>
      <c r="P24" s="83"/>
      <c r="Q24" s="83"/>
      <c r="R24" s="83"/>
      <c r="S24" s="83"/>
    </row>
    <row r="25" spans="1:19" customFormat="1" ht="17.25" customHeight="1" x14ac:dyDescent="0.3">
      <c r="A25" s="85" t="s">
        <v>966</v>
      </c>
      <c r="B25" s="90">
        <v>0</v>
      </c>
      <c r="C25" s="90">
        <v>27</v>
      </c>
      <c r="D25" s="90">
        <v>47</v>
      </c>
      <c r="E25" s="90">
        <v>128</v>
      </c>
      <c r="F25" s="90">
        <v>41</v>
      </c>
      <c r="G25" s="90">
        <v>0</v>
      </c>
      <c r="H25" s="90">
        <v>243</v>
      </c>
      <c r="I25" s="83"/>
      <c r="J25" s="91"/>
      <c r="K25" s="83"/>
      <c r="L25" s="83"/>
      <c r="M25" s="83"/>
      <c r="N25" s="83"/>
      <c r="O25" s="83"/>
      <c r="P25" s="83"/>
      <c r="Q25" s="83"/>
      <c r="R25" s="83"/>
      <c r="S25" s="83"/>
    </row>
    <row r="26" spans="1:19" customFormat="1" ht="17.25" customHeight="1" x14ac:dyDescent="0.3">
      <c r="A26" s="88" t="s">
        <v>967</v>
      </c>
      <c r="B26" s="91">
        <v>0</v>
      </c>
      <c r="C26" s="91">
        <v>0</v>
      </c>
      <c r="D26" s="91">
        <v>0</v>
      </c>
      <c r="E26" s="91">
        <v>8</v>
      </c>
      <c r="F26" s="92">
        <v>0</v>
      </c>
      <c r="G26" s="92">
        <v>0</v>
      </c>
      <c r="H26" s="92">
        <v>8</v>
      </c>
      <c r="I26" s="83"/>
      <c r="J26" s="91"/>
      <c r="K26" s="83"/>
      <c r="L26" s="83"/>
      <c r="M26" s="83"/>
      <c r="N26" s="83"/>
      <c r="O26" s="83"/>
      <c r="P26" s="83"/>
      <c r="Q26" s="83"/>
      <c r="R26" s="83"/>
      <c r="S26" s="83"/>
    </row>
    <row r="27" spans="1:19" customFormat="1" ht="17.25" customHeight="1" x14ac:dyDescent="0.3">
      <c r="A27" s="88" t="s">
        <v>968</v>
      </c>
      <c r="B27" s="92">
        <v>0</v>
      </c>
      <c r="C27" s="92">
        <v>0</v>
      </c>
      <c r="D27" s="92">
        <v>0</v>
      </c>
      <c r="E27" s="92">
        <v>12</v>
      </c>
      <c r="F27" s="92">
        <v>0</v>
      </c>
      <c r="G27" s="92">
        <v>0</v>
      </c>
      <c r="H27" s="92">
        <v>12</v>
      </c>
      <c r="I27" s="83"/>
      <c r="J27" s="91"/>
      <c r="K27" s="83"/>
      <c r="L27" s="83"/>
      <c r="M27" s="83"/>
      <c r="N27" s="83"/>
      <c r="O27" s="83"/>
      <c r="P27" s="83"/>
      <c r="Q27" s="83"/>
      <c r="R27" s="83"/>
      <c r="S27" s="83"/>
    </row>
    <row r="28" spans="1:19" customFormat="1" ht="17.25" customHeight="1" x14ac:dyDescent="0.3">
      <c r="A28" s="88" t="s">
        <v>969</v>
      </c>
      <c r="B28" s="92">
        <v>0</v>
      </c>
      <c r="C28" s="92">
        <v>0</v>
      </c>
      <c r="D28" s="92">
        <v>0</v>
      </c>
      <c r="E28" s="92">
        <v>4</v>
      </c>
      <c r="F28" s="92">
        <v>0</v>
      </c>
      <c r="G28" s="92">
        <v>0</v>
      </c>
      <c r="H28" s="92">
        <v>4</v>
      </c>
      <c r="I28" s="83"/>
      <c r="J28" s="91"/>
      <c r="K28" s="83"/>
      <c r="L28" s="83"/>
      <c r="M28" s="83"/>
      <c r="N28" s="83"/>
      <c r="O28" s="83"/>
      <c r="P28" s="83"/>
      <c r="Q28" s="83"/>
      <c r="R28" s="83"/>
      <c r="S28" s="83"/>
    </row>
    <row r="29" spans="1:19" customFormat="1" ht="17.25" customHeight="1" x14ac:dyDescent="0.3">
      <c r="A29" s="88" t="s">
        <v>970</v>
      </c>
      <c r="B29" s="92">
        <v>0</v>
      </c>
      <c r="C29" s="92">
        <v>0</v>
      </c>
      <c r="D29" s="92">
        <v>15</v>
      </c>
      <c r="E29" s="92">
        <v>0</v>
      </c>
      <c r="F29" s="92">
        <v>0</v>
      </c>
      <c r="G29" s="92">
        <v>0</v>
      </c>
      <c r="H29" s="92">
        <v>15</v>
      </c>
      <c r="I29" s="83"/>
      <c r="J29" s="91"/>
      <c r="K29" s="83"/>
      <c r="L29" s="83"/>
      <c r="M29" s="83"/>
      <c r="N29" s="83"/>
      <c r="O29" s="83"/>
      <c r="P29" s="83"/>
      <c r="Q29" s="83"/>
      <c r="R29" s="83"/>
      <c r="S29" s="83"/>
    </row>
    <row r="30" spans="1:19" customFormat="1" ht="16.5" customHeight="1" x14ac:dyDescent="0.3">
      <c r="A30" s="88" t="s">
        <v>971</v>
      </c>
      <c r="B30" s="92">
        <v>0</v>
      </c>
      <c r="C30" s="92">
        <v>0</v>
      </c>
      <c r="D30" s="92">
        <v>0</v>
      </c>
      <c r="E30" s="92">
        <v>27</v>
      </c>
      <c r="F30" s="92">
        <v>0</v>
      </c>
      <c r="G30" s="92">
        <v>0</v>
      </c>
      <c r="H30" s="92">
        <v>27</v>
      </c>
      <c r="I30" s="83"/>
      <c r="J30" s="91"/>
      <c r="K30" s="83"/>
      <c r="L30" s="83"/>
      <c r="M30" s="83"/>
      <c r="N30" s="83"/>
      <c r="O30" s="83"/>
      <c r="P30" s="83"/>
      <c r="Q30" s="83"/>
      <c r="R30" s="83"/>
      <c r="S30" s="83"/>
    </row>
    <row r="31" spans="1:19" customFormat="1" ht="17.25" customHeight="1" x14ac:dyDescent="0.3">
      <c r="A31" s="88" t="s">
        <v>972</v>
      </c>
      <c r="B31" s="92">
        <v>0</v>
      </c>
      <c r="C31" s="92">
        <v>0</v>
      </c>
      <c r="D31" s="92">
        <v>0</v>
      </c>
      <c r="E31" s="92">
        <v>3</v>
      </c>
      <c r="F31" s="92">
        <v>0</v>
      </c>
      <c r="G31" s="92">
        <v>0</v>
      </c>
      <c r="H31" s="92">
        <v>3</v>
      </c>
      <c r="I31" s="83"/>
      <c r="J31" s="91"/>
      <c r="K31" s="83"/>
      <c r="L31" s="83"/>
      <c r="M31" s="83"/>
      <c r="N31" s="83"/>
      <c r="O31" s="83"/>
      <c r="P31" s="83"/>
      <c r="Q31" s="83"/>
      <c r="R31" s="83"/>
      <c r="S31" s="83"/>
    </row>
    <row r="32" spans="1:19" customFormat="1" ht="17.25" customHeight="1" x14ac:dyDescent="0.3">
      <c r="A32" s="88" t="s">
        <v>973</v>
      </c>
      <c r="B32" s="91">
        <v>0</v>
      </c>
      <c r="C32" s="91">
        <v>0</v>
      </c>
      <c r="D32" s="91">
        <v>20</v>
      </c>
      <c r="E32" s="91">
        <v>0</v>
      </c>
      <c r="F32" s="92">
        <v>0</v>
      </c>
      <c r="G32" s="92">
        <v>0</v>
      </c>
      <c r="H32" s="92">
        <v>20</v>
      </c>
      <c r="I32" s="83"/>
      <c r="J32" s="91"/>
      <c r="K32" s="83"/>
      <c r="L32" s="83"/>
      <c r="M32" s="83"/>
      <c r="N32" s="83"/>
      <c r="O32" s="83"/>
      <c r="P32" s="83"/>
      <c r="Q32" s="83"/>
      <c r="R32" s="83"/>
      <c r="S32" s="83"/>
    </row>
    <row r="33" spans="1:19" customFormat="1" ht="17.25" customHeight="1" x14ac:dyDescent="0.3">
      <c r="A33" s="88" t="s">
        <v>974</v>
      </c>
      <c r="B33" s="91">
        <v>0</v>
      </c>
      <c r="C33" s="91">
        <v>11</v>
      </c>
      <c r="D33" s="91">
        <v>0</v>
      </c>
      <c r="E33" s="91">
        <v>0</v>
      </c>
      <c r="F33" s="92">
        <v>0</v>
      </c>
      <c r="G33" s="92">
        <v>0</v>
      </c>
      <c r="H33" s="92">
        <v>11</v>
      </c>
      <c r="I33" s="83"/>
      <c r="J33" s="91"/>
      <c r="K33" s="83"/>
      <c r="L33" s="83"/>
      <c r="M33" s="83"/>
      <c r="N33" s="83"/>
      <c r="O33" s="83"/>
      <c r="P33" s="83"/>
      <c r="Q33" s="83"/>
      <c r="R33" s="83"/>
      <c r="S33" s="83"/>
    </row>
    <row r="34" spans="1:19" customFormat="1" ht="17.25" customHeight="1" x14ac:dyDescent="0.3">
      <c r="A34" s="88" t="s">
        <v>975</v>
      </c>
      <c r="B34" s="92">
        <v>0</v>
      </c>
      <c r="C34" s="92">
        <v>0</v>
      </c>
      <c r="D34" s="92">
        <v>0</v>
      </c>
      <c r="E34" s="92">
        <v>16</v>
      </c>
      <c r="F34" s="92">
        <v>0</v>
      </c>
      <c r="G34" s="92">
        <v>0</v>
      </c>
      <c r="H34" s="92">
        <v>16</v>
      </c>
      <c r="I34" s="83"/>
      <c r="J34" s="91"/>
      <c r="K34" s="83"/>
      <c r="L34" s="83"/>
      <c r="M34" s="83"/>
      <c r="N34" s="83"/>
      <c r="O34" s="83"/>
      <c r="P34" s="83"/>
      <c r="Q34" s="83"/>
      <c r="R34" s="83"/>
      <c r="S34" s="83"/>
    </row>
    <row r="35" spans="1:19" customFormat="1" ht="17.25" customHeight="1" x14ac:dyDescent="0.3">
      <c r="A35" s="88" t="s">
        <v>976</v>
      </c>
      <c r="B35" s="92">
        <v>0</v>
      </c>
      <c r="C35" s="92">
        <v>0</v>
      </c>
      <c r="D35" s="92">
        <v>0</v>
      </c>
      <c r="E35" s="92">
        <v>0</v>
      </c>
      <c r="F35" s="92">
        <v>10</v>
      </c>
      <c r="G35" s="92">
        <v>0</v>
      </c>
      <c r="H35" s="92">
        <v>10</v>
      </c>
      <c r="I35" s="83"/>
      <c r="J35" s="91"/>
      <c r="K35" s="83"/>
      <c r="L35" s="83"/>
      <c r="M35" s="83"/>
      <c r="N35" s="83"/>
      <c r="O35" s="83"/>
      <c r="P35" s="83"/>
      <c r="Q35" s="83"/>
      <c r="R35" s="83"/>
      <c r="S35" s="83"/>
    </row>
    <row r="36" spans="1:19" customFormat="1" ht="18.75" customHeight="1" x14ac:dyDescent="0.3">
      <c r="A36" s="88" t="s">
        <v>977</v>
      </c>
      <c r="B36" s="74">
        <v>0</v>
      </c>
      <c r="C36" s="74">
        <v>0</v>
      </c>
      <c r="D36" s="92">
        <v>0</v>
      </c>
      <c r="E36" s="92">
        <v>12</v>
      </c>
      <c r="F36" s="92">
        <v>0</v>
      </c>
      <c r="G36" s="92">
        <v>0</v>
      </c>
      <c r="H36" s="92">
        <v>12</v>
      </c>
      <c r="I36" s="83"/>
      <c r="J36" s="91"/>
      <c r="K36" s="83"/>
      <c r="L36" s="83"/>
      <c r="M36" s="83"/>
      <c r="N36" s="83"/>
      <c r="O36" s="83"/>
    </row>
    <row r="37" spans="1:19" customFormat="1" ht="17.25" customHeight="1" x14ac:dyDescent="0.3">
      <c r="A37" s="88" t="s">
        <v>978</v>
      </c>
      <c r="B37" s="92">
        <v>0</v>
      </c>
      <c r="C37" s="92">
        <v>0</v>
      </c>
      <c r="D37" s="92">
        <v>6</v>
      </c>
      <c r="E37" s="92">
        <v>0</v>
      </c>
      <c r="F37" s="92">
        <v>0</v>
      </c>
      <c r="G37" s="92">
        <v>0</v>
      </c>
      <c r="H37" s="92">
        <v>6</v>
      </c>
      <c r="I37" s="83"/>
      <c r="J37" s="91"/>
      <c r="K37" s="83"/>
      <c r="L37" s="83"/>
      <c r="M37" s="83"/>
      <c r="N37" s="83"/>
      <c r="O37" s="83"/>
      <c r="P37" s="83"/>
      <c r="Q37" s="83"/>
      <c r="R37" s="83"/>
      <c r="S37" s="83"/>
    </row>
    <row r="38" spans="1:19" customFormat="1" ht="17.25" customHeight="1" x14ac:dyDescent="0.3">
      <c r="A38" s="88" t="s">
        <v>979</v>
      </c>
      <c r="B38" s="92">
        <v>0</v>
      </c>
      <c r="C38" s="92">
        <v>0</v>
      </c>
      <c r="D38" s="92">
        <v>0</v>
      </c>
      <c r="E38" s="92">
        <v>6</v>
      </c>
      <c r="F38" s="92">
        <v>4</v>
      </c>
      <c r="G38" s="92">
        <v>0</v>
      </c>
      <c r="H38" s="92">
        <v>10</v>
      </c>
      <c r="I38" s="83"/>
      <c r="J38" s="91"/>
      <c r="K38" s="83"/>
      <c r="L38" s="83"/>
      <c r="M38" s="83"/>
      <c r="N38" s="83"/>
      <c r="O38" s="83"/>
      <c r="P38" s="83"/>
      <c r="Q38" s="83"/>
      <c r="R38" s="83"/>
      <c r="S38" s="83"/>
    </row>
    <row r="39" spans="1:19" s="95" customFormat="1" ht="17.25" customHeight="1" x14ac:dyDescent="0.3">
      <c r="A39" s="88" t="s">
        <v>980</v>
      </c>
      <c r="B39" s="92">
        <v>0</v>
      </c>
      <c r="C39" s="92">
        <v>15</v>
      </c>
      <c r="D39" s="92">
        <v>0</v>
      </c>
      <c r="E39" s="92">
        <v>0</v>
      </c>
      <c r="F39" s="92">
        <v>0</v>
      </c>
      <c r="G39" s="92">
        <v>0</v>
      </c>
      <c r="H39" s="92">
        <v>15</v>
      </c>
      <c r="J39" s="91"/>
    </row>
    <row r="40" spans="1:19" customFormat="1" ht="17.25" customHeight="1" x14ac:dyDescent="0.3">
      <c r="A40" s="88" t="s">
        <v>981</v>
      </c>
      <c r="B40" s="92">
        <v>0</v>
      </c>
      <c r="C40" s="92">
        <v>0</v>
      </c>
      <c r="D40" s="92">
        <v>0</v>
      </c>
      <c r="E40" s="92">
        <v>15</v>
      </c>
      <c r="F40" s="92">
        <v>15</v>
      </c>
      <c r="G40" s="92">
        <v>0</v>
      </c>
      <c r="H40" s="92">
        <v>30</v>
      </c>
      <c r="I40" s="83"/>
      <c r="J40" s="91"/>
      <c r="K40" s="83"/>
      <c r="L40" s="83"/>
      <c r="M40" s="83"/>
      <c r="N40" s="83"/>
      <c r="O40" s="83"/>
      <c r="P40" s="83"/>
      <c r="Q40" s="83"/>
      <c r="R40" s="83"/>
      <c r="S40" s="83"/>
    </row>
    <row r="41" spans="1:19" customFormat="1" ht="17.25" customHeight="1" x14ac:dyDescent="0.3">
      <c r="A41" s="88" t="s">
        <v>982</v>
      </c>
      <c r="B41" s="92">
        <v>0</v>
      </c>
      <c r="C41" s="92">
        <v>0</v>
      </c>
      <c r="D41" s="92">
        <v>0</v>
      </c>
      <c r="E41" s="92">
        <v>8</v>
      </c>
      <c r="F41" s="92">
        <v>0</v>
      </c>
      <c r="G41" s="92">
        <v>0</v>
      </c>
      <c r="H41" s="92">
        <v>8</v>
      </c>
      <c r="I41" s="83"/>
      <c r="J41" s="91"/>
      <c r="K41" s="83"/>
      <c r="L41" s="83"/>
      <c r="M41" s="83"/>
      <c r="N41" s="83"/>
      <c r="O41" s="83"/>
      <c r="P41" s="83"/>
      <c r="Q41" s="83"/>
      <c r="R41" s="83"/>
      <c r="S41" s="83"/>
    </row>
    <row r="42" spans="1:19" customFormat="1" ht="17.25" customHeight="1" x14ac:dyDescent="0.3">
      <c r="A42" s="88" t="s">
        <v>983</v>
      </c>
      <c r="B42" s="92">
        <v>0</v>
      </c>
      <c r="C42" s="92">
        <v>0</v>
      </c>
      <c r="D42" s="92">
        <v>0</v>
      </c>
      <c r="E42" s="92">
        <v>8</v>
      </c>
      <c r="F42" s="92">
        <v>12</v>
      </c>
      <c r="G42" s="92">
        <v>0</v>
      </c>
      <c r="H42" s="92">
        <v>20</v>
      </c>
      <c r="I42" s="83"/>
      <c r="J42" s="91"/>
      <c r="K42" s="83"/>
      <c r="L42" s="83"/>
      <c r="M42" s="83"/>
      <c r="N42" s="83"/>
      <c r="O42" s="83"/>
      <c r="P42" s="83"/>
      <c r="Q42" s="83"/>
      <c r="R42" s="83"/>
      <c r="S42" s="83"/>
    </row>
    <row r="43" spans="1:19" customFormat="1" ht="17.25" customHeight="1" x14ac:dyDescent="0.3">
      <c r="A43" s="88" t="s">
        <v>984</v>
      </c>
      <c r="B43" s="92">
        <v>0</v>
      </c>
      <c r="C43" s="92">
        <v>0</v>
      </c>
      <c r="D43" s="92">
        <v>6</v>
      </c>
      <c r="E43" s="92">
        <v>0</v>
      </c>
      <c r="F43" s="92">
        <v>0</v>
      </c>
      <c r="G43" s="92">
        <v>0</v>
      </c>
      <c r="H43" s="92">
        <v>6</v>
      </c>
      <c r="I43" s="83"/>
      <c r="J43" s="91"/>
      <c r="K43" s="83"/>
      <c r="L43" s="83"/>
      <c r="M43" s="83"/>
      <c r="N43" s="83"/>
      <c r="O43" s="83"/>
      <c r="P43" s="83"/>
      <c r="Q43" s="83"/>
      <c r="R43" s="83"/>
      <c r="S43" s="83"/>
    </row>
    <row r="44" spans="1:19" customFormat="1" ht="17.25" customHeight="1" x14ac:dyDescent="0.3">
      <c r="A44" s="88" t="s">
        <v>985</v>
      </c>
      <c r="B44" s="92">
        <v>0</v>
      </c>
      <c r="C44" s="92">
        <v>0</v>
      </c>
      <c r="D44" s="92">
        <v>0</v>
      </c>
      <c r="E44" s="92">
        <v>8</v>
      </c>
      <c r="F44" s="92">
        <v>0</v>
      </c>
      <c r="G44" s="92">
        <v>0</v>
      </c>
      <c r="H44" s="92">
        <v>8</v>
      </c>
      <c r="I44" s="83"/>
      <c r="J44" s="91"/>
      <c r="K44" s="83"/>
      <c r="L44" s="83"/>
      <c r="M44" s="83"/>
      <c r="N44" s="83"/>
      <c r="O44" s="83"/>
      <c r="P44" s="83"/>
      <c r="Q44" s="83"/>
      <c r="R44" s="83"/>
      <c r="S44" s="83"/>
    </row>
    <row r="45" spans="1:19" customFormat="1" ht="17.25" customHeight="1" x14ac:dyDescent="0.3">
      <c r="A45" s="88" t="s">
        <v>986</v>
      </c>
      <c r="B45" s="92">
        <v>0</v>
      </c>
      <c r="C45" s="92">
        <v>1</v>
      </c>
      <c r="D45" s="92">
        <v>0</v>
      </c>
      <c r="E45" s="92">
        <v>1</v>
      </c>
      <c r="F45" s="92">
        <v>0</v>
      </c>
      <c r="G45" s="92">
        <v>0</v>
      </c>
      <c r="H45" s="92">
        <v>2</v>
      </c>
      <c r="I45" s="83"/>
      <c r="J45" s="91"/>
      <c r="K45" s="83"/>
      <c r="L45" s="83"/>
      <c r="M45" s="83"/>
      <c r="N45" s="83"/>
      <c r="O45" s="83"/>
      <c r="P45" s="83"/>
      <c r="Q45" s="83"/>
      <c r="R45" s="83"/>
      <c r="S45" s="83"/>
    </row>
    <row r="46" spans="1:19" s="95" customFormat="1" ht="17.25" customHeight="1" x14ac:dyDescent="0.3">
      <c r="A46" s="85" t="s">
        <v>387</v>
      </c>
      <c r="B46" s="90">
        <v>0</v>
      </c>
      <c r="C46" s="90">
        <v>72</v>
      </c>
      <c r="D46" s="90">
        <v>171</v>
      </c>
      <c r="E46" s="90">
        <v>229</v>
      </c>
      <c r="F46" s="90">
        <v>155</v>
      </c>
      <c r="G46" s="90">
        <v>0</v>
      </c>
      <c r="H46" s="90">
        <v>627</v>
      </c>
      <c r="J46" s="91"/>
    </row>
    <row r="47" spans="1:19" customFormat="1" ht="17.25" customHeight="1" x14ac:dyDescent="0.3">
      <c r="A47" s="88" t="s">
        <v>987</v>
      </c>
      <c r="B47" s="92">
        <v>0</v>
      </c>
      <c r="C47" s="92">
        <v>72</v>
      </c>
      <c r="D47" s="92">
        <v>118</v>
      </c>
      <c r="E47" s="92">
        <v>211</v>
      </c>
      <c r="F47" s="92">
        <v>155</v>
      </c>
      <c r="G47" s="92">
        <v>0</v>
      </c>
      <c r="H47" s="92">
        <v>556</v>
      </c>
      <c r="I47" s="83"/>
      <c r="J47" s="91"/>
      <c r="K47" s="83"/>
      <c r="L47" s="83"/>
      <c r="M47" s="83"/>
      <c r="N47" s="83"/>
      <c r="O47" s="83"/>
      <c r="P47" s="83"/>
      <c r="Q47" s="83"/>
      <c r="R47" s="83"/>
      <c r="S47" s="83"/>
    </row>
    <row r="48" spans="1:19" customFormat="1" ht="17.25" customHeight="1" x14ac:dyDescent="0.3">
      <c r="A48" s="88" t="s">
        <v>988</v>
      </c>
      <c r="B48" s="91">
        <v>0</v>
      </c>
      <c r="C48" s="91">
        <v>0</v>
      </c>
      <c r="D48" s="91">
        <v>0</v>
      </c>
      <c r="E48" s="91">
        <v>1</v>
      </c>
      <c r="F48" s="92">
        <v>0</v>
      </c>
      <c r="G48" s="92">
        <v>0</v>
      </c>
      <c r="H48" s="92">
        <v>1</v>
      </c>
      <c r="I48" s="83"/>
      <c r="J48" s="91"/>
      <c r="K48" s="83"/>
      <c r="L48" s="83"/>
      <c r="M48" s="83"/>
      <c r="N48" s="83"/>
      <c r="O48" s="83"/>
      <c r="P48" s="83"/>
      <c r="Q48" s="83"/>
      <c r="R48" s="83"/>
      <c r="S48" s="83"/>
    </row>
    <row r="49" spans="1:19" customFormat="1" ht="17.25" customHeight="1" x14ac:dyDescent="0.3">
      <c r="A49" s="88" t="s">
        <v>989</v>
      </c>
      <c r="B49" s="91">
        <v>0</v>
      </c>
      <c r="C49" s="91">
        <v>0</v>
      </c>
      <c r="D49" s="91">
        <v>0</v>
      </c>
      <c r="E49" s="91">
        <v>1</v>
      </c>
      <c r="F49" s="92">
        <v>0</v>
      </c>
      <c r="G49" s="92">
        <v>0</v>
      </c>
      <c r="H49" s="92">
        <v>1</v>
      </c>
      <c r="I49" s="83"/>
      <c r="J49" s="91"/>
      <c r="K49" s="83"/>
      <c r="L49" s="83"/>
      <c r="M49" s="83"/>
      <c r="N49" s="83"/>
      <c r="O49" s="83"/>
      <c r="P49" s="83"/>
      <c r="Q49" s="83"/>
      <c r="R49" s="83"/>
      <c r="S49" s="83"/>
    </row>
    <row r="50" spans="1:19" customFormat="1" ht="17.25" customHeight="1" x14ac:dyDescent="0.3">
      <c r="A50" s="88" t="s">
        <v>990</v>
      </c>
      <c r="B50" s="91">
        <v>0</v>
      </c>
      <c r="C50" s="91">
        <v>0</v>
      </c>
      <c r="D50" s="91">
        <v>0</v>
      </c>
      <c r="E50" s="91">
        <v>16</v>
      </c>
      <c r="F50" s="92">
        <v>0</v>
      </c>
      <c r="G50" s="92">
        <v>0</v>
      </c>
      <c r="H50" s="92">
        <v>16</v>
      </c>
      <c r="I50" s="83"/>
      <c r="J50" s="91"/>
      <c r="K50" s="83"/>
      <c r="L50" s="83"/>
      <c r="M50" s="83"/>
      <c r="N50" s="83"/>
      <c r="O50" s="83"/>
      <c r="P50" s="83"/>
      <c r="Q50" s="83"/>
      <c r="R50" s="83"/>
      <c r="S50" s="83"/>
    </row>
    <row r="51" spans="1:19" customFormat="1" ht="17.25" customHeight="1" x14ac:dyDescent="0.3">
      <c r="A51" s="88" t="s">
        <v>991</v>
      </c>
      <c r="B51" s="91">
        <v>0</v>
      </c>
      <c r="C51" s="91">
        <v>0</v>
      </c>
      <c r="D51" s="91">
        <v>45</v>
      </c>
      <c r="E51" s="91">
        <v>0</v>
      </c>
      <c r="F51" s="92">
        <v>0</v>
      </c>
      <c r="G51" s="92">
        <v>0</v>
      </c>
      <c r="H51" s="92">
        <v>45</v>
      </c>
      <c r="I51" s="83"/>
      <c r="J51" s="91"/>
      <c r="K51" s="83"/>
      <c r="L51" s="83"/>
      <c r="M51" s="83"/>
      <c r="N51" s="83"/>
      <c r="O51" s="83"/>
      <c r="P51" s="83"/>
      <c r="Q51" s="83"/>
      <c r="R51" s="83"/>
      <c r="S51" s="83"/>
    </row>
    <row r="52" spans="1:19" customFormat="1" ht="17.25" customHeight="1" x14ac:dyDescent="0.3">
      <c r="A52" s="88" t="s">
        <v>992</v>
      </c>
      <c r="B52" s="92">
        <v>0</v>
      </c>
      <c r="C52" s="92">
        <v>0</v>
      </c>
      <c r="D52" s="92">
        <v>8</v>
      </c>
      <c r="E52" s="92">
        <v>0</v>
      </c>
      <c r="F52" s="92">
        <v>0</v>
      </c>
      <c r="G52" s="92">
        <v>0</v>
      </c>
      <c r="H52" s="92">
        <v>8</v>
      </c>
      <c r="I52" s="83"/>
      <c r="J52" s="91"/>
      <c r="K52" s="83"/>
      <c r="L52" s="83"/>
      <c r="M52" s="83"/>
      <c r="N52" s="83"/>
      <c r="O52" s="83"/>
      <c r="P52" s="83"/>
      <c r="Q52" s="83"/>
      <c r="R52" s="83"/>
      <c r="S52" s="83"/>
    </row>
    <row r="53" spans="1:19" customFormat="1" ht="17.25" customHeight="1" x14ac:dyDescent="0.3">
      <c r="A53" s="85" t="s">
        <v>993</v>
      </c>
      <c r="B53" s="90">
        <v>0</v>
      </c>
      <c r="C53" s="90">
        <v>44</v>
      </c>
      <c r="D53" s="90">
        <v>40</v>
      </c>
      <c r="E53" s="90">
        <v>118</v>
      </c>
      <c r="F53" s="90">
        <v>8</v>
      </c>
      <c r="G53" s="90">
        <v>0</v>
      </c>
      <c r="H53" s="90">
        <v>210</v>
      </c>
      <c r="I53" s="83"/>
      <c r="J53" s="91"/>
      <c r="K53" s="83"/>
      <c r="L53" s="83"/>
      <c r="M53" s="83"/>
      <c r="N53" s="83"/>
      <c r="O53" s="83"/>
      <c r="P53" s="83"/>
      <c r="Q53" s="83"/>
      <c r="R53" s="83"/>
      <c r="S53" s="83"/>
    </row>
    <row r="54" spans="1:19" customFormat="1" ht="17.25" customHeight="1" x14ac:dyDescent="0.3">
      <c r="A54" s="88" t="s">
        <v>994</v>
      </c>
      <c r="B54" s="91">
        <v>0</v>
      </c>
      <c r="C54" s="91">
        <v>0</v>
      </c>
      <c r="D54" s="91">
        <v>0</v>
      </c>
      <c r="E54" s="91">
        <v>15</v>
      </c>
      <c r="F54" s="92">
        <v>0</v>
      </c>
      <c r="G54" s="92">
        <v>0</v>
      </c>
      <c r="H54" s="92">
        <v>15</v>
      </c>
      <c r="I54" s="83"/>
      <c r="J54" s="91"/>
      <c r="K54" s="83"/>
      <c r="L54" s="83"/>
      <c r="M54" s="83"/>
      <c r="N54" s="83"/>
      <c r="O54" s="83"/>
      <c r="P54" s="83"/>
      <c r="Q54" s="83"/>
      <c r="R54" s="83"/>
      <c r="S54" s="83"/>
    </row>
    <row r="55" spans="1:19" customFormat="1" ht="17.25" customHeight="1" x14ac:dyDescent="0.3">
      <c r="A55" s="88" t="s">
        <v>995</v>
      </c>
      <c r="B55" s="92">
        <v>0</v>
      </c>
      <c r="C55" s="92">
        <v>0</v>
      </c>
      <c r="D55" s="92">
        <v>0</v>
      </c>
      <c r="E55" s="92">
        <v>16</v>
      </c>
      <c r="F55" s="92">
        <v>0</v>
      </c>
      <c r="G55" s="92">
        <v>0</v>
      </c>
      <c r="H55" s="92">
        <v>16</v>
      </c>
      <c r="I55" s="83"/>
      <c r="J55" s="91"/>
      <c r="K55" s="83"/>
      <c r="L55" s="83"/>
      <c r="M55" s="83"/>
      <c r="N55" s="83"/>
      <c r="O55" s="83"/>
      <c r="P55" s="83"/>
      <c r="Q55" s="83"/>
      <c r="R55" s="83"/>
      <c r="S55" s="83"/>
    </row>
    <row r="56" spans="1:19" customFormat="1" ht="17.25" customHeight="1" x14ac:dyDescent="0.3">
      <c r="A56" s="88" t="s">
        <v>996</v>
      </c>
      <c r="B56" s="92">
        <v>0</v>
      </c>
      <c r="C56" s="92">
        <v>0</v>
      </c>
      <c r="D56" s="92">
        <v>6</v>
      </c>
      <c r="E56" s="92">
        <v>0</v>
      </c>
      <c r="F56" s="92">
        <v>0</v>
      </c>
      <c r="G56" s="92">
        <v>0</v>
      </c>
      <c r="H56" s="92">
        <v>6</v>
      </c>
      <c r="I56" s="83"/>
      <c r="J56" s="91"/>
      <c r="K56" s="83"/>
      <c r="L56" s="83"/>
      <c r="M56" s="83"/>
      <c r="N56" s="83"/>
      <c r="O56" s="83"/>
      <c r="P56" s="83"/>
      <c r="Q56" s="83"/>
      <c r="R56" s="83"/>
      <c r="S56" s="83"/>
    </row>
    <row r="57" spans="1:19" customFormat="1" ht="17.25" customHeight="1" x14ac:dyDescent="0.3">
      <c r="A57" s="88" t="s">
        <v>997</v>
      </c>
      <c r="B57" s="92">
        <v>0</v>
      </c>
      <c r="C57" s="92">
        <v>0</v>
      </c>
      <c r="D57" s="92">
        <v>0</v>
      </c>
      <c r="E57" s="92">
        <v>15</v>
      </c>
      <c r="F57" s="92">
        <v>0</v>
      </c>
      <c r="G57" s="92">
        <v>0</v>
      </c>
      <c r="H57" s="92">
        <v>15</v>
      </c>
      <c r="I57" s="83"/>
      <c r="J57" s="91"/>
      <c r="K57" s="83"/>
      <c r="L57" s="83"/>
      <c r="M57" s="83"/>
      <c r="N57" s="83"/>
      <c r="O57" s="83"/>
      <c r="P57" s="83"/>
      <c r="Q57" s="83"/>
      <c r="R57" s="83"/>
      <c r="S57" s="83"/>
    </row>
    <row r="58" spans="1:19" customFormat="1" ht="17.25" customHeight="1" x14ac:dyDescent="0.3">
      <c r="A58" s="88" t="s">
        <v>998</v>
      </c>
      <c r="B58" s="92">
        <v>0</v>
      </c>
      <c r="C58" s="92">
        <v>0</v>
      </c>
      <c r="D58" s="92">
        <v>7</v>
      </c>
      <c r="E58" s="92">
        <v>0</v>
      </c>
      <c r="F58" s="92">
        <v>0</v>
      </c>
      <c r="G58" s="92">
        <v>0</v>
      </c>
      <c r="H58" s="92">
        <v>7</v>
      </c>
      <c r="I58" s="83"/>
      <c r="J58" s="91"/>
      <c r="K58" s="83"/>
      <c r="L58" s="83"/>
      <c r="M58" s="83"/>
      <c r="N58" s="83"/>
      <c r="O58" s="83"/>
      <c r="P58" s="83"/>
      <c r="Q58" s="83"/>
      <c r="R58" s="83"/>
      <c r="S58" s="83"/>
    </row>
    <row r="59" spans="1:19" s="95" customFormat="1" ht="17.25" customHeight="1" x14ac:dyDescent="0.3">
      <c r="A59" s="88" t="s">
        <v>999</v>
      </c>
      <c r="B59" s="92">
        <v>0</v>
      </c>
      <c r="C59" s="92">
        <v>0</v>
      </c>
      <c r="D59" s="92">
        <v>10</v>
      </c>
      <c r="E59" s="92">
        <v>6</v>
      </c>
      <c r="F59" s="92">
        <v>0</v>
      </c>
      <c r="G59" s="92">
        <v>0</v>
      </c>
      <c r="H59" s="92">
        <v>16</v>
      </c>
      <c r="J59" s="91"/>
    </row>
    <row r="60" spans="1:19" customFormat="1" ht="17.25" customHeight="1" x14ac:dyDescent="0.3">
      <c r="A60" s="88" t="s">
        <v>1000</v>
      </c>
      <c r="B60" s="91">
        <v>0</v>
      </c>
      <c r="C60" s="91">
        <v>11</v>
      </c>
      <c r="D60" s="91">
        <v>0</v>
      </c>
      <c r="E60" s="91">
        <v>0</v>
      </c>
      <c r="F60" s="92">
        <v>0</v>
      </c>
      <c r="G60" s="92">
        <v>0</v>
      </c>
      <c r="H60" s="92">
        <v>11</v>
      </c>
      <c r="I60" s="83"/>
      <c r="J60" s="91"/>
      <c r="K60" s="83"/>
      <c r="L60" s="83"/>
      <c r="M60" s="83"/>
      <c r="N60" s="83"/>
      <c r="O60" s="83"/>
      <c r="P60" s="83"/>
      <c r="Q60" s="83"/>
      <c r="R60" s="83"/>
      <c r="S60" s="83"/>
    </row>
    <row r="61" spans="1:19" customFormat="1" ht="17.25" customHeight="1" x14ac:dyDescent="0.3">
      <c r="A61" s="88" t="s">
        <v>501</v>
      </c>
      <c r="B61" s="92">
        <v>0</v>
      </c>
      <c r="C61" s="92">
        <v>0</v>
      </c>
      <c r="D61" s="92">
        <v>17</v>
      </c>
      <c r="E61" s="92">
        <v>0</v>
      </c>
      <c r="F61" s="92">
        <v>0</v>
      </c>
      <c r="G61" s="92">
        <v>0</v>
      </c>
      <c r="H61" s="92">
        <v>17</v>
      </c>
      <c r="I61" s="83"/>
      <c r="J61" s="91"/>
      <c r="K61" s="83"/>
      <c r="L61" s="83"/>
      <c r="M61" s="83"/>
      <c r="N61" s="83"/>
      <c r="O61" s="83"/>
      <c r="P61" s="83"/>
      <c r="Q61" s="83"/>
      <c r="R61" s="83"/>
      <c r="S61" s="83"/>
    </row>
    <row r="62" spans="1:19" customFormat="1" ht="17.25" customHeight="1" x14ac:dyDescent="0.3">
      <c r="A62" s="88" t="s">
        <v>1001</v>
      </c>
      <c r="B62" s="91">
        <v>0</v>
      </c>
      <c r="C62" s="91">
        <v>10</v>
      </c>
      <c r="D62" s="91">
        <v>0</v>
      </c>
      <c r="E62" s="91">
        <v>0</v>
      </c>
      <c r="F62" s="92">
        <v>0</v>
      </c>
      <c r="G62" s="92">
        <v>0</v>
      </c>
      <c r="H62" s="92">
        <v>10</v>
      </c>
      <c r="I62" s="83"/>
      <c r="J62" s="91"/>
      <c r="K62" s="83"/>
      <c r="L62" s="83"/>
      <c r="M62" s="83"/>
      <c r="N62" s="83"/>
      <c r="O62" s="83"/>
      <c r="P62" s="83"/>
      <c r="Q62" s="83"/>
      <c r="R62" s="83"/>
      <c r="S62" s="83"/>
    </row>
    <row r="63" spans="1:19" customFormat="1" ht="17.25" customHeight="1" x14ac:dyDescent="0.3">
      <c r="A63" s="88" t="s">
        <v>1002</v>
      </c>
      <c r="B63" s="92">
        <v>0</v>
      </c>
      <c r="C63" s="92">
        <v>0</v>
      </c>
      <c r="D63" s="92">
        <v>0</v>
      </c>
      <c r="E63" s="92">
        <v>8</v>
      </c>
      <c r="F63" s="92">
        <v>0</v>
      </c>
      <c r="G63" s="92">
        <v>0</v>
      </c>
      <c r="H63" s="92">
        <v>8</v>
      </c>
      <c r="I63" s="83"/>
      <c r="J63" s="91"/>
      <c r="K63" s="83"/>
      <c r="L63" s="83"/>
      <c r="M63" s="83"/>
      <c r="N63" s="83"/>
      <c r="O63" s="83"/>
      <c r="P63" s="83"/>
      <c r="Q63" s="83"/>
      <c r="R63" s="83"/>
      <c r="S63" s="83"/>
    </row>
    <row r="64" spans="1:19" customFormat="1" ht="17.25" customHeight="1" x14ac:dyDescent="0.3">
      <c r="A64" s="88" t="s">
        <v>1003</v>
      </c>
      <c r="B64" s="91">
        <v>0</v>
      </c>
      <c r="C64" s="91">
        <v>0</v>
      </c>
      <c r="D64" s="91">
        <v>0</v>
      </c>
      <c r="E64" s="91">
        <v>12</v>
      </c>
      <c r="F64" s="92">
        <v>0</v>
      </c>
      <c r="G64" s="92">
        <v>0</v>
      </c>
      <c r="H64" s="92">
        <v>12</v>
      </c>
      <c r="I64" s="83"/>
      <c r="J64" s="91"/>
      <c r="K64" s="83"/>
      <c r="L64" s="83"/>
      <c r="M64" s="83"/>
      <c r="N64" s="83"/>
      <c r="O64" s="83"/>
      <c r="P64" s="83"/>
      <c r="Q64" s="83"/>
      <c r="R64" s="83"/>
      <c r="S64" s="83"/>
    </row>
    <row r="65" spans="1:19" customFormat="1" ht="17.25" customHeight="1" x14ac:dyDescent="0.3">
      <c r="A65" s="88" t="s">
        <v>1004</v>
      </c>
      <c r="B65" s="92">
        <v>0</v>
      </c>
      <c r="C65" s="92">
        <v>0</v>
      </c>
      <c r="D65" s="92">
        <v>0</v>
      </c>
      <c r="E65" s="92">
        <v>22</v>
      </c>
      <c r="F65" s="92">
        <v>0</v>
      </c>
      <c r="G65" s="92">
        <v>0</v>
      </c>
      <c r="H65" s="92">
        <v>22</v>
      </c>
      <c r="I65" s="83"/>
      <c r="J65" s="91"/>
      <c r="K65" s="83"/>
      <c r="L65" s="83"/>
      <c r="M65" s="83"/>
      <c r="N65" s="83"/>
      <c r="O65" s="83"/>
      <c r="P65" s="83"/>
      <c r="Q65" s="83"/>
      <c r="R65" s="83"/>
      <c r="S65" s="83"/>
    </row>
    <row r="66" spans="1:19" customFormat="1" ht="17.25" customHeight="1" x14ac:dyDescent="0.3">
      <c r="A66" s="88" t="s">
        <v>1005</v>
      </c>
      <c r="B66" s="92">
        <v>0</v>
      </c>
      <c r="C66" s="92">
        <v>0</v>
      </c>
      <c r="D66" s="92">
        <v>0</v>
      </c>
      <c r="E66" s="92">
        <v>16</v>
      </c>
      <c r="F66" s="92">
        <v>0</v>
      </c>
      <c r="G66" s="92">
        <v>0</v>
      </c>
      <c r="H66" s="92">
        <v>16</v>
      </c>
      <c r="I66" s="83"/>
      <c r="J66" s="91"/>
      <c r="K66" s="83"/>
      <c r="L66" s="83"/>
      <c r="M66" s="83"/>
      <c r="N66" s="83"/>
      <c r="O66" s="83"/>
      <c r="P66" s="83"/>
      <c r="Q66" s="83"/>
      <c r="R66" s="83"/>
      <c r="S66" s="83"/>
    </row>
    <row r="67" spans="1:19" s="93" customFormat="1" ht="17.25" customHeight="1" x14ac:dyDescent="0.3">
      <c r="A67" s="88" t="s">
        <v>1006</v>
      </c>
      <c r="B67" s="92">
        <v>0</v>
      </c>
      <c r="C67" s="92">
        <v>1</v>
      </c>
      <c r="D67" s="92">
        <v>0</v>
      </c>
      <c r="E67" s="92">
        <v>0</v>
      </c>
      <c r="F67" s="92">
        <v>0</v>
      </c>
      <c r="G67" s="92">
        <v>0</v>
      </c>
      <c r="H67" s="92">
        <v>1</v>
      </c>
      <c r="I67" s="83"/>
      <c r="J67" s="91"/>
    </row>
    <row r="68" spans="1:19" s="93" customFormat="1" ht="17.25" customHeight="1" x14ac:dyDescent="0.3">
      <c r="A68" s="88" t="s">
        <v>1007</v>
      </c>
      <c r="B68" s="91">
        <v>0</v>
      </c>
      <c r="C68" s="91">
        <v>22</v>
      </c>
      <c r="D68" s="91">
        <v>0</v>
      </c>
      <c r="E68" s="91">
        <v>8</v>
      </c>
      <c r="F68" s="92">
        <v>8</v>
      </c>
      <c r="G68" s="92">
        <v>0</v>
      </c>
      <c r="H68" s="92">
        <v>38</v>
      </c>
      <c r="I68" s="83"/>
      <c r="J68" s="91"/>
    </row>
    <row r="69" spans="1:19" s="93" customFormat="1" ht="17.25" customHeight="1" x14ac:dyDescent="0.3">
      <c r="A69" s="85" t="s">
        <v>1008</v>
      </c>
      <c r="B69" s="90">
        <v>50</v>
      </c>
      <c r="C69" s="90">
        <v>77</v>
      </c>
      <c r="D69" s="90">
        <v>496</v>
      </c>
      <c r="E69" s="90">
        <v>701</v>
      </c>
      <c r="F69" s="90">
        <v>163</v>
      </c>
      <c r="G69" s="90">
        <v>0</v>
      </c>
      <c r="H69" s="90">
        <v>1487</v>
      </c>
      <c r="I69" s="83"/>
      <c r="J69" s="91"/>
    </row>
    <row r="70" spans="1:19" customFormat="1" ht="17.25" customHeight="1" x14ac:dyDescent="0.3">
      <c r="A70" s="88" t="s">
        <v>525</v>
      </c>
      <c r="B70" s="92">
        <v>0</v>
      </c>
      <c r="C70" s="92">
        <v>0</v>
      </c>
      <c r="D70" s="92">
        <v>0</v>
      </c>
      <c r="E70" s="92">
        <v>16</v>
      </c>
      <c r="F70" s="92">
        <v>0</v>
      </c>
      <c r="G70" s="92">
        <v>0</v>
      </c>
      <c r="H70" s="92">
        <v>16</v>
      </c>
      <c r="I70" s="83"/>
      <c r="J70" s="91"/>
      <c r="K70" s="83"/>
      <c r="L70" s="83"/>
      <c r="M70" s="83"/>
      <c r="N70" s="83"/>
      <c r="O70" s="83"/>
      <c r="P70" s="83"/>
      <c r="Q70" s="83"/>
      <c r="R70" s="83"/>
      <c r="S70" s="83"/>
    </row>
    <row r="71" spans="1:19" customFormat="1" ht="17.25" customHeight="1" x14ac:dyDescent="0.3">
      <c r="A71" s="88" t="s">
        <v>1009</v>
      </c>
      <c r="B71" s="92">
        <v>0</v>
      </c>
      <c r="C71" s="92">
        <v>12</v>
      </c>
      <c r="D71" s="92">
        <v>0</v>
      </c>
      <c r="E71" s="92">
        <v>51</v>
      </c>
      <c r="F71" s="92">
        <v>0</v>
      </c>
      <c r="G71" s="92">
        <v>0</v>
      </c>
      <c r="H71" s="92">
        <v>63</v>
      </c>
      <c r="I71" s="83"/>
      <c r="J71" s="91"/>
      <c r="K71" s="83"/>
      <c r="L71" s="83"/>
      <c r="M71" s="83"/>
      <c r="N71" s="83"/>
      <c r="O71" s="83"/>
      <c r="P71" s="83"/>
      <c r="Q71" s="83"/>
      <c r="R71" s="83"/>
      <c r="S71" s="83"/>
    </row>
    <row r="72" spans="1:19" customFormat="1" ht="17.25" customHeight="1" x14ac:dyDescent="0.3">
      <c r="A72" s="88" t="s">
        <v>1010</v>
      </c>
      <c r="B72" s="92">
        <v>0</v>
      </c>
      <c r="C72" s="92">
        <v>0</v>
      </c>
      <c r="D72" s="92">
        <v>85</v>
      </c>
      <c r="E72" s="91">
        <v>85</v>
      </c>
      <c r="F72" s="92">
        <v>0</v>
      </c>
      <c r="G72" s="92">
        <v>0</v>
      </c>
      <c r="H72" s="92">
        <v>170</v>
      </c>
      <c r="I72" s="83"/>
      <c r="J72" s="91"/>
      <c r="K72" s="83"/>
      <c r="L72" s="83"/>
      <c r="M72" s="83"/>
      <c r="N72" s="83"/>
      <c r="O72" s="83"/>
      <c r="P72" s="83"/>
      <c r="Q72" s="83"/>
      <c r="R72" s="83"/>
      <c r="S72" s="83"/>
    </row>
    <row r="73" spans="1:19" customFormat="1" ht="17.25" customHeight="1" x14ac:dyDescent="0.3">
      <c r="A73" s="88" t="s">
        <v>1011</v>
      </c>
      <c r="B73" s="92">
        <v>0</v>
      </c>
      <c r="C73" s="92">
        <v>0</v>
      </c>
      <c r="D73" s="92">
        <v>42</v>
      </c>
      <c r="E73" s="91">
        <v>0</v>
      </c>
      <c r="F73" s="92">
        <v>0</v>
      </c>
      <c r="G73" s="92">
        <v>0</v>
      </c>
      <c r="H73" s="92">
        <v>42</v>
      </c>
      <c r="I73" s="83"/>
      <c r="J73" s="91"/>
      <c r="K73" s="83"/>
      <c r="L73" s="83"/>
      <c r="M73" s="83"/>
      <c r="N73" s="83"/>
      <c r="O73" s="83"/>
      <c r="P73" s="83"/>
      <c r="Q73" s="83"/>
      <c r="R73" s="83"/>
      <c r="S73" s="83"/>
    </row>
    <row r="74" spans="1:19" customFormat="1" ht="17.25" customHeight="1" x14ac:dyDescent="0.3">
      <c r="A74" s="88" t="s">
        <v>1012</v>
      </c>
      <c r="B74" s="92">
        <v>0</v>
      </c>
      <c r="C74" s="92">
        <v>0</v>
      </c>
      <c r="D74" s="92">
        <v>0</v>
      </c>
      <c r="E74" s="92">
        <v>23</v>
      </c>
      <c r="F74" s="92">
        <v>0</v>
      </c>
      <c r="G74" s="92">
        <v>0</v>
      </c>
      <c r="H74" s="92">
        <v>23</v>
      </c>
      <c r="I74" s="83"/>
      <c r="J74" s="91"/>
      <c r="K74" s="83"/>
      <c r="L74" s="83"/>
      <c r="M74" s="83"/>
      <c r="N74" s="83"/>
      <c r="O74" s="83"/>
      <c r="P74" s="83"/>
      <c r="Q74" s="83"/>
      <c r="R74" s="83"/>
      <c r="S74" s="83"/>
    </row>
    <row r="75" spans="1:19" s="95" customFormat="1" ht="17.25" customHeight="1" x14ac:dyDescent="0.3">
      <c r="A75" s="88" t="s">
        <v>1013</v>
      </c>
      <c r="B75" s="92">
        <v>0</v>
      </c>
      <c r="C75" s="92">
        <v>0</v>
      </c>
      <c r="D75" s="92">
        <v>94</v>
      </c>
      <c r="E75" s="92">
        <v>114</v>
      </c>
      <c r="F75" s="92">
        <v>44</v>
      </c>
      <c r="G75" s="92">
        <v>0</v>
      </c>
      <c r="H75" s="92">
        <v>252</v>
      </c>
      <c r="J75" s="91"/>
    </row>
    <row r="76" spans="1:19" customFormat="1" ht="17.25" customHeight="1" x14ac:dyDescent="0.3">
      <c r="A76" s="88" t="s">
        <v>1014</v>
      </c>
      <c r="B76" s="91">
        <v>0</v>
      </c>
      <c r="C76" s="91">
        <v>0</v>
      </c>
      <c r="D76" s="91">
        <v>24</v>
      </c>
      <c r="E76" s="91">
        <v>0</v>
      </c>
      <c r="F76" s="92">
        <v>0</v>
      </c>
      <c r="G76" s="92">
        <v>0</v>
      </c>
      <c r="H76" s="92">
        <v>24</v>
      </c>
      <c r="I76" s="83"/>
      <c r="J76" s="91"/>
      <c r="K76" s="83"/>
      <c r="L76" s="83"/>
      <c r="M76" s="83"/>
      <c r="N76" s="83"/>
      <c r="O76" s="83"/>
      <c r="P76" s="83"/>
      <c r="Q76" s="83"/>
      <c r="R76" s="83"/>
      <c r="S76" s="83"/>
    </row>
    <row r="77" spans="1:19" customFormat="1" ht="17.25" customHeight="1" x14ac:dyDescent="0.3">
      <c r="A77" s="88" t="s">
        <v>1015</v>
      </c>
      <c r="B77" s="92">
        <v>0</v>
      </c>
      <c r="C77" s="92">
        <v>0</v>
      </c>
      <c r="D77" s="92">
        <v>0</v>
      </c>
      <c r="E77" s="92">
        <v>130</v>
      </c>
      <c r="F77" s="92">
        <v>0</v>
      </c>
      <c r="G77" s="92">
        <v>0</v>
      </c>
      <c r="H77" s="92">
        <v>130</v>
      </c>
      <c r="I77" s="83"/>
      <c r="J77" s="91"/>
      <c r="K77" s="83"/>
      <c r="L77" s="83"/>
      <c r="M77" s="83"/>
      <c r="N77" s="83"/>
      <c r="O77" s="83"/>
      <c r="P77" s="83"/>
      <c r="Q77" s="83"/>
      <c r="R77" s="83"/>
      <c r="S77" s="83"/>
    </row>
    <row r="78" spans="1:19" customFormat="1" ht="17.25" customHeight="1" x14ac:dyDescent="0.3">
      <c r="A78" s="88" t="s">
        <v>1016</v>
      </c>
      <c r="B78" s="92">
        <v>0</v>
      </c>
      <c r="C78" s="92">
        <v>0</v>
      </c>
      <c r="D78" s="92">
        <v>14</v>
      </c>
      <c r="E78" s="92">
        <v>0</v>
      </c>
      <c r="F78" s="92">
        <v>0</v>
      </c>
      <c r="G78" s="92">
        <v>0</v>
      </c>
      <c r="H78" s="92">
        <v>14</v>
      </c>
      <c r="I78" s="83"/>
      <c r="J78" s="91"/>
      <c r="K78" s="83"/>
      <c r="L78" s="83"/>
      <c r="M78" s="83"/>
      <c r="N78" s="83"/>
      <c r="O78" s="83"/>
      <c r="P78" s="83"/>
      <c r="Q78" s="83"/>
      <c r="R78" s="83"/>
      <c r="S78" s="83"/>
    </row>
    <row r="79" spans="1:19" customFormat="1" ht="17.25" customHeight="1" x14ac:dyDescent="0.3">
      <c r="A79" s="88" t="s">
        <v>1017</v>
      </c>
      <c r="B79" s="92">
        <v>0</v>
      </c>
      <c r="C79" s="92">
        <v>0</v>
      </c>
      <c r="D79" s="92">
        <v>70</v>
      </c>
      <c r="E79" s="92">
        <v>0</v>
      </c>
      <c r="F79" s="92">
        <v>0</v>
      </c>
      <c r="G79" s="92">
        <v>0</v>
      </c>
      <c r="H79" s="92">
        <v>70</v>
      </c>
      <c r="I79" s="83"/>
      <c r="J79" s="91"/>
      <c r="K79" s="83"/>
      <c r="L79" s="83"/>
      <c r="M79" s="83"/>
      <c r="N79" s="83"/>
      <c r="O79" s="83"/>
      <c r="P79" s="83"/>
      <c r="Q79" s="83"/>
      <c r="R79" s="83"/>
      <c r="S79" s="83"/>
    </row>
    <row r="80" spans="1:19" customFormat="1" ht="17.25" customHeight="1" x14ac:dyDescent="0.3">
      <c r="A80" s="88" t="s">
        <v>1018</v>
      </c>
      <c r="B80" s="92">
        <v>0</v>
      </c>
      <c r="C80" s="92">
        <v>0</v>
      </c>
      <c r="D80" s="92">
        <v>0</v>
      </c>
      <c r="E80" s="92">
        <v>133</v>
      </c>
      <c r="F80" s="92">
        <v>0</v>
      </c>
      <c r="G80" s="92">
        <v>0</v>
      </c>
      <c r="H80" s="92">
        <v>133</v>
      </c>
      <c r="I80" s="83"/>
      <c r="J80" s="91"/>
      <c r="K80" s="83"/>
      <c r="L80" s="83"/>
      <c r="M80" s="83"/>
      <c r="N80" s="83"/>
      <c r="O80" s="83"/>
      <c r="P80" s="83"/>
      <c r="Q80" s="83"/>
      <c r="R80" s="83"/>
      <c r="S80" s="83"/>
    </row>
    <row r="81" spans="1:19" customFormat="1" ht="17.25" customHeight="1" x14ac:dyDescent="0.3">
      <c r="A81" s="88" t="s">
        <v>1019</v>
      </c>
      <c r="B81" s="92">
        <v>0</v>
      </c>
      <c r="C81" s="92">
        <v>65</v>
      </c>
      <c r="D81" s="92">
        <v>0</v>
      </c>
      <c r="E81" s="92">
        <v>20</v>
      </c>
      <c r="F81" s="92">
        <v>0</v>
      </c>
      <c r="G81" s="92">
        <v>0</v>
      </c>
      <c r="H81" s="92">
        <v>85</v>
      </c>
      <c r="I81" s="83"/>
      <c r="J81" s="91"/>
      <c r="K81" s="83"/>
      <c r="L81" s="83"/>
      <c r="M81" s="83"/>
      <c r="N81" s="83"/>
      <c r="O81" s="83"/>
      <c r="P81" s="83"/>
      <c r="Q81" s="83"/>
      <c r="R81" s="83"/>
      <c r="S81" s="83"/>
    </row>
    <row r="82" spans="1:19" customFormat="1" ht="17.25" customHeight="1" x14ac:dyDescent="0.3">
      <c r="A82" s="88" t="s">
        <v>1020</v>
      </c>
      <c r="B82" s="92">
        <v>0</v>
      </c>
      <c r="C82" s="92">
        <v>0</v>
      </c>
      <c r="D82" s="92">
        <v>167</v>
      </c>
      <c r="E82" s="92">
        <v>0</v>
      </c>
      <c r="F82" s="92">
        <v>0</v>
      </c>
      <c r="G82" s="92">
        <v>0</v>
      </c>
      <c r="H82" s="92">
        <v>167</v>
      </c>
      <c r="I82" s="83"/>
      <c r="J82" s="91"/>
      <c r="K82" s="83"/>
      <c r="L82" s="83"/>
      <c r="M82" s="83"/>
      <c r="N82" s="83"/>
      <c r="O82" s="83"/>
      <c r="P82" s="83"/>
      <c r="Q82" s="83"/>
      <c r="R82" s="83"/>
      <c r="S82" s="83"/>
    </row>
    <row r="83" spans="1:19" customFormat="1" ht="17.25" customHeight="1" x14ac:dyDescent="0.3">
      <c r="A83" s="88" t="s">
        <v>1021</v>
      </c>
      <c r="B83" s="92">
        <v>0</v>
      </c>
      <c r="C83" s="92">
        <v>0</v>
      </c>
      <c r="D83" s="92">
        <v>0</v>
      </c>
      <c r="E83" s="92">
        <v>32</v>
      </c>
      <c r="F83" s="92">
        <v>0</v>
      </c>
      <c r="G83" s="92">
        <v>0</v>
      </c>
      <c r="H83" s="92">
        <v>32</v>
      </c>
      <c r="I83" s="83"/>
      <c r="J83" s="91"/>
      <c r="K83" s="83"/>
      <c r="L83" s="83"/>
      <c r="M83" s="83"/>
      <c r="N83" s="83"/>
      <c r="O83" s="83"/>
      <c r="P83" s="83"/>
      <c r="Q83" s="83"/>
      <c r="R83" s="83"/>
      <c r="S83" s="83"/>
    </row>
    <row r="84" spans="1:19" customFormat="1" ht="17.25" customHeight="1" x14ac:dyDescent="0.3">
      <c r="A84" s="88" t="s">
        <v>1022</v>
      </c>
      <c r="B84" s="92">
        <v>50</v>
      </c>
      <c r="C84" s="92">
        <v>0</v>
      </c>
      <c r="D84" s="92">
        <v>0</v>
      </c>
      <c r="E84" s="92">
        <v>97</v>
      </c>
      <c r="F84" s="92">
        <v>119</v>
      </c>
      <c r="G84" s="92">
        <v>0</v>
      </c>
      <c r="H84" s="92">
        <v>266</v>
      </c>
      <c r="I84" s="83"/>
      <c r="J84" s="91"/>
      <c r="K84" s="83"/>
      <c r="L84" s="83"/>
      <c r="M84" s="83"/>
      <c r="N84" s="83"/>
      <c r="O84" s="83"/>
      <c r="P84" s="83"/>
      <c r="Q84" s="83"/>
      <c r="R84" s="83"/>
      <c r="S84" s="83"/>
    </row>
    <row r="85" spans="1:19" customFormat="1" ht="17.25" customHeight="1" x14ac:dyDescent="0.3">
      <c r="A85" s="85" t="s">
        <v>1023</v>
      </c>
      <c r="B85" s="90">
        <v>0</v>
      </c>
      <c r="C85" s="90">
        <v>96</v>
      </c>
      <c r="D85" s="90">
        <v>342</v>
      </c>
      <c r="E85" s="90">
        <v>107</v>
      </c>
      <c r="F85" s="90">
        <v>156</v>
      </c>
      <c r="G85" s="90">
        <v>2</v>
      </c>
      <c r="H85" s="90">
        <v>703</v>
      </c>
      <c r="I85" s="83"/>
      <c r="J85" s="91"/>
      <c r="K85" s="83"/>
      <c r="L85" s="83"/>
      <c r="M85" s="83"/>
      <c r="N85" s="83"/>
      <c r="O85" s="83"/>
      <c r="P85" s="83"/>
      <c r="Q85" s="83"/>
      <c r="R85" s="83"/>
      <c r="S85" s="83"/>
    </row>
    <row r="86" spans="1:19" customFormat="1" ht="17.25" customHeight="1" x14ac:dyDescent="0.3">
      <c r="A86" s="88" t="s">
        <v>1024</v>
      </c>
      <c r="B86" s="92">
        <v>0</v>
      </c>
      <c r="C86" s="92">
        <v>0</v>
      </c>
      <c r="D86" s="92">
        <v>0</v>
      </c>
      <c r="E86" s="92">
        <v>3</v>
      </c>
      <c r="F86" s="92">
        <v>0</v>
      </c>
      <c r="G86" s="92">
        <v>0</v>
      </c>
      <c r="H86" s="92">
        <v>3</v>
      </c>
      <c r="I86" s="83"/>
      <c r="J86" s="91"/>
      <c r="K86" s="83"/>
      <c r="L86" s="83"/>
      <c r="M86" s="83"/>
      <c r="N86" s="83"/>
      <c r="O86" s="83"/>
      <c r="P86" s="83"/>
      <c r="Q86" s="83"/>
      <c r="R86" s="83"/>
      <c r="S86" s="83"/>
    </row>
    <row r="87" spans="1:19" customFormat="1" ht="17.25" customHeight="1" x14ac:dyDescent="0.3">
      <c r="A87" s="88" t="s">
        <v>1025</v>
      </c>
      <c r="B87" s="92">
        <v>0</v>
      </c>
      <c r="C87" s="92">
        <v>0</v>
      </c>
      <c r="D87" s="92">
        <v>0</v>
      </c>
      <c r="E87" s="92">
        <v>0</v>
      </c>
      <c r="F87" s="92">
        <v>0</v>
      </c>
      <c r="G87" s="92">
        <v>2</v>
      </c>
      <c r="H87" s="92">
        <v>2</v>
      </c>
      <c r="I87" s="83"/>
      <c r="J87" s="91"/>
      <c r="K87" s="83"/>
      <c r="L87" s="83"/>
      <c r="M87" s="83"/>
      <c r="N87" s="83"/>
      <c r="O87" s="83"/>
      <c r="P87" s="83"/>
      <c r="Q87" s="83"/>
      <c r="R87" s="83"/>
      <c r="S87" s="83"/>
    </row>
    <row r="88" spans="1:19" s="95" customFormat="1" ht="17.25" customHeight="1" x14ac:dyDescent="0.3">
      <c r="A88" s="88" t="s">
        <v>1026</v>
      </c>
      <c r="B88" s="92">
        <v>0</v>
      </c>
      <c r="C88" s="92">
        <v>0</v>
      </c>
      <c r="D88" s="92">
        <v>205</v>
      </c>
      <c r="E88" s="92">
        <v>12</v>
      </c>
      <c r="F88" s="92">
        <v>0</v>
      </c>
      <c r="G88" s="92">
        <v>0</v>
      </c>
      <c r="H88" s="92">
        <v>217</v>
      </c>
      <c r="J88" s="91"/>
    </row>
    <row r="89" spans="1:19" customFormat="1" ht="17.25" customHeight="1" x14ac:dyDescent="0.3">
      <c r="A89" s="88" t="s">
        <v>1027</v>
      </c>
      <c r="B89" s="92">
        <v>0</v>
      </c>
      <c r="C89" s="92">
        <v>20</v>
      </c>
      <c r="D89" s="92">
        <v>0</v>
      </c>
      <c r="E89" s="92">
        <v>16</v>
      </c>
      <c r="F89" s="92">
        <v>0</v>
      </c>
      <c r="G89" s="92">
        <v>0</v>
      </c>
      <c r="H89" s="92">
        <v>36</v>
      </c>
      <c r="I89" s="83"/>
      <c r="J89" s="91"/>
      <c r="K89" s="83"/>
      <c r="L89" s="83"/>
      <c r="M89" s="83"/>
      <c r="N89" s="83"/>
      <c r="O89" s="83"/>
      <c r="P89" s="83"/>
      <c r="Q89" s="83"/>
      <c r="R89" s="83"/>
      <c r="S89" s="83"/>
    </row>
    <row r="90" spans="1:19" customFormat="1" ht="17.25" customHeight="1" x14ac:dyDescent="0.3">
      <c r="A90" s="88" t="s">
        <v>1028</v>
      </c>
      <c r="B90" s="91">
        <v>0</v>
      </c>
      <c r="C90" s="91">
        <v>0</v>
      </c>
      <c r="D90" s="91">
        <v>9</v>
      </c>
      <c r="E90" s="91">
        <v>0</v>
      </c>
      <c r="F90" s="92">
        <v>0</v>
      </c>
      <c r="G90" s="92">
        <v>0</v>
      </c>
      <c r="H90" s="92">
        <v>9</v>
      </c>
      <c r="I90" s="83"/>
      <c r="J90" s="91"/>
      <c r="K90" s="83"/>
      <c r="L90" s="83"/>
      <c r="M90" s="83"/>
      <c r="N90" s="83"/>
      <c r="O90" s="83"/>
      <c r="P90" s="83"/>
      <c r="Q90" s="83"/>
      <c r="R90" s="83"/>
      <c r="S90" s="83"/>
    </row>
    <row r="91" spans="1:19" customFormat="1" ht="17.25" customHeight="1" x14ac:dyDescent="0.3">
      <c r="A91" s="88" t="s">
        <v>1029</v>
      </c>
      <c r="B91" s="91">
        <v>0</v>
      </c>
      <c r="C91" s="91">
        <v>0</v>
      </c>
      <c r="D91" s="91">
        <v>8</v>
      </c>
      <c r="E91" s="91">
        <v>0</v>
      </c>
      <c r="F91" s="91">
        <v>0</v>
      </c>
      <c r="G91" s="91">
        <v>0</v>
      </c>
      <c r="H91" s="91">
        <v>8</v>
      </c>
      <c r="I91" s="83"/>
      <c r="J91" s="91"/>
      <c r="K91" s="83"/>
      <c r="L91" s="83"/>
      <c r="M91" s="83"/>
      <c r="N91" s="83"/>
      <c r="O91" s="83"/>
      <c r="P91" s="83"/>
      <c r="Q91" s="83"/>
      <c r="R91" s="83"/>
      <c r="S91" s="83"/>
    </row>
    <row r="92" spans="1:19" customFormat="1" ht="17.25" customHeight="1" x14ac:dyDescent="0.3">
      <c r="A92" s="88" t="s">
        <v>1030</v>
      </c>
      <c r="B92" s="91">
        <v>0</v>
      </c>
      <c r="C92" s="91">
        <v>3</v>
      </c>
      <c r="D92" s="91">
        <v>0</v>
      </c>
      <c r="E92" s="91">
        <v>0</v>
      </c>
      <c r="F92" s="91">
        <v>0</v>
      </c>
      <c r="G92" s="91">
        <v>0</v>
      </c>
      <c r="H92" s="91">
        <v>3</v>
      </c>
      <c r="I92" s="83"/>
      <c r="J92" s="91"/>
      <c r="K92" s="83"/>
      <c r="L92" s="83"/>
      <c r="M92" s="83"/>
      <c r="N92" s="83"/>
      <c r="O92" s="83"/>
      <c r="P92" s="83"/>
      <c r="Q92" s="83"/>
      <c r="R92" s="83"/>
      <c r="S92" s="83"/>
    </row>
    <row r="93" spans="1:19" s="95" customFormat="1" ht="17.25" customHeight="1" x14ac:dyDescent="0.3">
      <c r="A93" s="88" t="s">
        <v>1031</v>
      </c>
      <c r="B93" s="92">
        <v>0</v>
      </c>
      <c r="C93" s="92">
        <v>0</v>
      </c>
      <c r="D93" s="92">
        <v>0</v>
      </c>
      <c r="E93" s="92">
        <v>26</v>
      </c>
      <c r="F93" s="92">
        <v>0</v>
      </c>
      <c r="G93" s="92">
        <v>0</v>
      </c>
      <c r="H93" s="92">
        <v>26</v>
      </c>
      <c r="J93" s="91"/>
    </row>
    <row r="94" spans="1:19" customFormat="1" ht="17.25" customHeight="1" x14ac:dyDescent="0.3">
      <c r="A94" s="88" t="s">
        <v>1032</v>
      </c>
      <c r="B94" s="92">
        <v>0</v>
      </c>
      <c r="C94" s="92">
        <v>0</v>
      </c>
      <c r="D94" s="92">
        <v>0</v>
      </c>
      <c r="E94" s="92">
        <v>0</v>
      </c>
      <c r="F94" s="92">
        <v>10</v>
      </c>
      <c r="G94" s="92">
        <v>0</v>
      </c>
      <c r="H94" s="92">
        <v>10</v>
      </c>
      <c r="I94" s="83"/>
      <c r="J94" s="91"/>
      <c r="K94" s="83"/>
      <c r="L94" s="83"/>
      <c r="M94" s="83"/>
      <c r="N94" s="83"/>
      <c r="O94" s="83"/>
      <c r="P94" s="83"/>
      <c r="Q94" s="83"/>
      <c r="R94" s="83"/>
      <c r="S94" s="83"/>
    </row>
    <row r="95" spans="1:19" customFormat="1" ht="17.25" customHeight="1" x14ac:dyDescent="0.3">
      <c r="A95" s="88" t="s">
        <v>1033</v>
      </c>
      <c r="B95" s="92">
        <v>0</v>
      </c>
      <c r="C95" s="92">
        <v>0</v>
      </c>
      <c r="D95" s="92">
        <v>0</v>
      </c>
      <c r="E95" s="92">
        <v>50</v>
      </c>
      <c r="F95" s="92">
        <v>0</v>
      </c>
      <c r="G95" s="92">
        <v>0</v>
      </c>
      <c r="H95" s="92">
        <v>50</v>
      </c>
      <c r="I95" s="83"/>
      <c r="J95" s="91"/>
      <c r="K95" s="83"/>
      <c r="L95" s="83"/>
      <c r="M95" s="83"/>
      <c r="N95" s="83"/>
      <c r="O95" s="83"/>
      <c r="P95" s="83"/>
      <c r="Q95" s="83"/>
      <c r="R95" s="83"/>
      <c r="S95" s="83"/>
    </row>
    <row r="96" spans="1:19" customFormat="1" ht="17.25" customHeight="1" x14ac:dyDescent="0.3">
      <c r="A96" s="88" t="s">
        <v>1034</v>
      </c>
      <c r="B96" s="92">
        <v>0</v>
      </c>
      <c r="C96" s="92">
        <v>0</v>
      </c>
      <c r="D96" s="92">
        <v>0</v>
      </c>
      <c r="E96" s="92">
        <v>0</v>
      </c>
      <c r="F96" s="92">
        <v>27</v>
      </c>
      <c r="G96" s="92">
        <v>0</v>
      </c>
      <c r="H96" s="92">
        <v>27</v>
      </c>
      <c r="I96" s="83"/>
      <c r="J96" s="91"/>
      <c r="K96" s="83"/>
      <c r="L96" s="83"/>
      <c r="M96" s="83"/>
      <c r="N96" s="83"/>
      <c r="O96" s="83"/>
      <c r="P96" s="83"/>
      <c r="Q96" s="83"/>
      <c r="R96" s="83"/>
      <c r="S96" s="83"/>
    </row>
    <row r="97" spans="1:1024 1031:2046 2053:3068 3075:4090 4097:5119 5126:6141 6148:7163 7170:8192 8199:9214 9221:10236 10243:11258 11265:12287 12294:13309 13316:14331 14338:15360 15367:16382" customFormat="1" ht="17.25" customHeight="1" x14ac:dyDescent="0.3">
      <c r="A97" s="88" t="s">
        <v>1035</v>
      </c>
      <c r="B97" s="92">
        <v>0</v>
      </c>
      <c r="C97" s="92">
        <v>0</v>
      </c>
      <c r="D97" s="92">
        <v>0</v>
      </c>
      <c r="E97" s="92">
        <v>0</v>
      </c>
      <c r="F97" s="92">
        <v>119</v>
      </c>
      <c r="G97" s="92">
        <v>0</v>
      </c>
      <c r="H97" s="92">
        <v>119</v>
      </c>
      <c r="I97" s="83"/>
      <c r="J97" s="91"/>
      <c r="K97" s="83"/>
      <c r="L97" s="83"/>
      <c r="M97" s="83"/>
      <c r="N97" s="83"/>
      <c r="O97" s="83"/>
      <c r="P97" s="83"/>
      <c r="Q97" s="83"/>
      <c r="R97" s="83"/>
      <c r="S97" s="83"/>
    </row>
    <row r="98" spans="1:1024 1031:2046 2053:3068 3075:4090 4097:5119 5126:6141 6148:7163 7170:8192 8199:9214 9221:10236 10243:11258 11265:12287 12294:13309 13316:14331 14338:15360 15367:16382" customFormat="1" ht="17.25" customHeight="1" x14ac:dyDescent="0.3">
      <c r="A98" s="88" t="s">
        <v>1036</v>
      </c>
      <c r="B98" s="92">
        <v>0</v>
      </c>
      <c r="C98" s="92">
        <v>36</v>
      </c>
      <c r="D98" s="92">
        <v>62</v>
      </c>
      <c r="E98" s="92">
        <v>0</v>
      </c>
      <c r="F98" s="92">
        <v>0</v>
      </c>
      <c r="G98" s="92">
        <v>0</v>
      </c>
      <c r="H98" s="92">
        <v>98</v>
      </c>
      <c r="I98" s="83"/>
      <c r="J98" s="91"/>
      <c r="K98" s="83"/>
      <c r="L98" s="83"/>
      <c r="M98" s="83"/>
      <c r="N98" s="83"/>
      <c r="O98" s="83"/>
      <c r="P98" s="83"/>
      <c r="Q98" s="83"/>
      <c r="R98" s="83"/>
      <c r="S98" s="83"/>
    </row>
    <row r="99" spans="1:1024 1031:2046 2053:3068 3075:4090 4097:5119 5126:6141 6148:7163 7170:8192 8199:9214 9221:10236 10243:11258 11265:12287 12294:13309 13316:14331 14338:15360 15367:16382" s="92" customFormat="1" ht="17.25" customHeight="1" x14ac:dyDescent="0.3">
      <c r="A99" s="88" t="s">
        <v>1037</v>
      </c>
      <c r="B99" s="92">
        <v>0</v>
      </c>
      <c r="C99" s="92">
        <v>0</v>
      </c>
      <c r="D99" s="92">
        <v>18</v>
      </c>
      <c r="E99" s="92">
        <v>0</v>
      </c>
      <c r="F99" s="92">
        <v>0</v>
      </c>
      <c r="G99" s="92">
        <v>0</v>
      </c>
      <c r="H99" s="92">
        <v>18</v>
      </c>
      <c r="I99" s="88"/>
      <c r="J99" s="91"/>
      <c r="P99" s="88"/>
      <c r="W99" s="88"/>
      <c r="AD99" s="88"/>
      <c r="AK99" s="88"/>
      <c r="AR99" s="88"/>
      <c r="AY99" s="88"/>
      <c r="BF99" s="88"/>
      <c r="BM99" s="88"/>
      <c r="BT99" s="88"/>
      <c r="CA99" s="88"/>
      <c r="CH99" s="88"/>
      <c r="CO99" s="88"/>
      <c r="CV99" s="88"/>
      <c r="DC99" s="88"/>
      <c r="DJ99" s="88"/>
      <c r="DQ99" s="88"/>
      <c r="DX99" s="88"/>
      <c r="EE99" s="88"/>
      <c r="EL99" s="88"/>
      <c r="ES99" s="88"/>
      <c r="EZ99" s="88"/>
      <c r="FG99" s="88"/>
      <c r="FN99" s="88"/>
      <c r="FU99" s="88"/>
      <c r="GB99" s="88"/>
      <c r="GI99" s="88"/>
      <c r="GP99" s="88"/>
      <c r="GW99" s="88"/>
      <c r="HD99" s="88"/>
      <c r="HK99" s="88"/>
      <c r="HR99" s="88"/>
      <c r="HY99" s="88"/>
      <c r="IF99" s="88"/>
      <c r="IM99" s="88"/>
      <c r="IT99" s="88"/>
      <c r="JA99" s="88"/>
      <c r="JH99" s="88"/>
      <c r="JO99" s="88"/>
      <c r="JV99" s="88"/>
      <c r="KC99" s="88"/>
      <c r="KJ99" s="88"/>
      <c r="KQ99" s="88"/>
      <c r="KX99" s="88"/>
      <c r="LE99" s="88"/>
      <c r="LL99" s="88"/>
      <c r="LS99" s="88"/>
      <c r="LZ99" s="88"/>
      <c r="MG99" s="88"/>
      <c r="MN99" s="88"/>
      <c r="MU99" s="88"/>
      <c r="NB99" s="88"/>
      <c r="NI99" s="88"/>
      <c r="NP99" s="88"/>
      <c r="NW99" s="88"/>
      <c r="OD99" s="88"/>
      <c r="OK99" s="88"/>
      <c r="OR99" s="88"/>
      <c r="OY99" s="88"/>
      <c r="PF99" s="88"/>
      <c r="PM99" s="88"/>
      <c r="PT99" s="88"/>
      <c r="QA99" s="88"/>
      <c r="QH99" s="88"/>
      <c r="QO99" s="88"/>
      <c r="QV99" s="88"/>
      <c r="RC99" s="88"/>
      <c r="RJ99" s="88"/>
      <c r="RQ99" s="88"/>
      <c r="RX99" s="88"/>
      <c r="SE99" s="88"/>
      <c r="SL99" s="88"/>
      <c r="SS99" s="88"/>
      <c r="SZ99" s="88"/>
      <c r="TG99" s="88"/>
      <c r="TN99" s="88"/>
      <c r="TU99" s="88"/>
      <c r="UB99" s="88"/>
      <c r="UI99" s="88"/>
      <c r="UP99" s="88"/>
      <c r="UW99" s="88"/>
      <c r="VD99" s="88"/>
      <c r="VK99" s="88"/>
      <c r="VR99" s="88"/>
      <c r="VY99" s="88"/>
      <c r="WF99" s="88"/>
      <c r="WM99" s="88"/>
      <c r="WT99" s="88"/>
      <c r="XA99" s="88"/>
      <c r="XH99" s="88"/>
      <c r="XO99" s="88"/>
      <c r="XV99" s="88"/>
      <c r="YC99" s="88"/>
      <c r="YJ99" s="88"/>
      <c r="YQ99" s="88"/>
      <c r="YX99" s="88"/>
      <c r="ZE99" s="88"/>
      <c r="ZL99" s="88"/>
      <c r="ZS99" s="88"/>
      <c r="ZZ99" s="88"/>
      <c r="AAG99" s="88"/>
      <c r="AAN99" s="88"/>
      <c r="AAU99" s="88"/>
      <c r="ABB99" s="88"/>
      <c r="ABI99" s="88"/>
      <c r="ABP99" s="88"/>
      <c r="ABW99" s="88"/>
      <c r="ACD99" s="88"/>
      <c r="ACK99" s="88"/>
      <c r="ACR99" s="88"/>
      <c r="ACY99" s="88"/>
      <c r="ADF99" s="88"/>
      <c r="ADM99" s="88"/>
      <c r="ADT99" s="88"/>
      <c r="AEA99" s="88"/>
      <c r="AEH99" s="88"/>
      <c r="AEO99" s="88"/>
      <c r="AEV99" s="88"/>
      <c r="AFC99" s="88"/>
      <c r="AFJ99" s="88"/>
      <c r="AFQ99" s="88"/>
      <c r="AFX99" s="88"/>
      <c r="AGE99" s="88"/>
      <c r="AGL99" s="88"/>
      <c r="AGS99" s="88"/>
      <c r="AGZ99" s="88"/>
      <c r="AHG99" s="88"/>
      <c r="AHN99" s="88"/>
      <c r="AHU99" s="88"/>
      <c r="AIB99" s="88"/>
      <c r="AII99" s="88"/>
      <c r="AIP99" s="88"/>
      <c r="AIW99" s="88"/>
      <c r="AJD99" s="88"/>
      <c r="AJK99" s="88"/>
      <c r="AJR99" s="88"/>
      <c r="AJY99" s="88"/>
      <c r="AKF99" s="88"/>
      <c r="AKM99" s="88"/>
      <c r="AKT99" s="88"/>
      <c r="ALA99" s="88"/>
      <c r="ALH99" s="88"/>
      <c r="ALO99" s="88"/>
      <c r="ALV99" s="88"/>
      <c r="AMC99" s="88"/>
      <c r="AMJ99" s="88"/>
      <c r="AMQ99" s="88"/>
      <c r="AMX99" s="88"/>
      <c r="ANE99" s="88"/>
      <c r="ANL99" s="88"/>
      <c r="ANS99" s="88"/>
      <c r="ANZ99" s="88"/>
      <c r="AOG99" s="88"/>
      <c r="AON99" s="88"/>
      <c r="AOU99" s="88"/>
      <c r="APB99" s="88"/>
      <c r="API99" s="88"/>
      <c r="APP99" s="88"/>
      <c r="APW99" s="88"/>
      <c r="AQD99" s="88"/>
      <c r="AQK99" s="88"/>
      <c r="AQR99" s="88"/>
      <c r="AQY99" s="88"/>
      <c r="ARF99" s="88"/>
      <c r="ARM99" s="88"/>
      <c r="ART99" s="88"/>
      <c r="ASA99" s="88"/>
      <c r="ASH99" s="88"/>
      <c r="ASO99" s="88"/>
      <c r="ASV99" s="88"/>
      <c r="ATC99" s="88"/>
      <c r="ATJ99" s="88"/>
      <c r="ATQ99" s="88"/>
      <c r="ATX99" s="88"/>
      <c r="AUE99" s="88"/>
      <c r="AUL99" s="88"/>
      <c r="AUS99" s="88"/>
      <c r="AUZ99" s="88"/>
      <c r="AVG99" s="88"/>
      <c r="AVN99" s="88"/>
      <c r="AVU99" s="88"/>
      <c r="AWB99" s="88"/>
      <c r="AWI99" s="88"/>
      <c r="AWP99" s="88"/>
      <c r="AWW99" s="88"/>
      <c r="AXD99" s="88"/>
      <c r="AXK99" s="88"/>
      <c r="AXR99" s="88"/>
      <c r="AXY99" s="88"/>
      <c r="AYF99" s="88"/>
      <c r="AYM99" s="88"/>
      <c r="AYT99" s="88"/>
      <c r="AZA99" s="88"/>
      <c r="AZH99" s="88"/>
      <c r="AZO99" s="88"/>
      <c r="AZV99" s="88"/>
      <c r="BAC99" s="88"/>
      <c r="BAJ99" s="88"/>
      <c r="BAQ99" s="88"/>
      <c r="BAX99" s="88"/>
      <c r="BBE99" s="88"/>
      <c r="BBL99" s="88"/>
      <c r="BBS99" s="88"/>
      <c r="BBZ99" s="88"/>
      <c r="BCG99" s="88"/>
      <c r="BCN99" s="88"/>
      <c r="BCU99" s="88"/>
      <c r="BDB99" s="88"/>
      <c r="BDI99" s="88"/>
      <c r="BDP99" s="88"/>
      <c r="BDW99" s="88"/>
      <c r="BED99" s="88"/>
      <c r="BEK99" s="88"/>
      <c r="BER99" s="88"/>
      <c r="BEY99" s="88"/>
      <c r="BFF99" s="88"/>
      <c r="BFM99" s="88"/>
      <c r="BFT99" s="88"/>
      <c r="BGA99" s="88"/>
      <c r="BGH99" s="88"/>
      <c r="BGO99" s="88"/>
      <c r="BGV99" s="88"/>
      <c r="BHC99" s="88"/>
      <c r="BHJ99" s="88"/>
      <c r="BHQ99" s="88"/>
      <c r="BHX99" s="88"/>
      <c r="BIE99" s="88"/>
      <c r="BIL99" s="88"/>
      <c r="BIS99" s="88"/>
      <c r="BIZ99" s="88"/>
      <c r="BJG99" s="88"/>
      <c r="BJN99" s="88"/>
      <c r="BJU99" s="88"/>
      <c r="BKB99" s="88"/>
      <c r="BKI99" s="88"/>
      <c r="BKP99" s="88"/>
      <c r="BKW99" s="88"/>
      <c r="BLD99" s="88"/>
      <c r="BLK99" s="88"/>
      <c r="BLR99" s="88"/>
      <c r="BLY99" s="88"/>
      <c r="BMF99" s="88"/>
      <c r="BMM99" s="88"/>
      <c r="BMT99" s="88"/>
      <c r="BNA99" s="88"/>
      <c r="BNH99" s="88"/>
      <c r="BNO99" s="88"/>
      <c r="BNV99" s="88"/>
      <c r="BOC99" s="88"/>
      <c r="BOJ99" s="88"/>
      <c r="BOQ99" s="88"/>
      <c r="BOX99" s="88"/>
      <c r="BPE99" s="88"/>
      <c r="BPL99" s="88"/>
      <c r="BPS99" s="88"/>
      <c r="BPZ99" s="88"/>
      <c r="BQG99" s="88"/>
      <c r="BQN99" s="88"/>
      <c r="BQU99" s="88"/>
      <c r="BRB99" s="88"/>
      <c r="BRI99" s="88"/>
      <c r="BRP99" s="88"/>
      <c r="BRW99" s="88"/>
      <c r="BSD99" s="88"/>
      <c r="BSK99" s="88"/>
      <c r="BSR99" s="88"/>
      <c r="BSY99" s="88"/>
      <c r="BTF99" s="88"/>
      <c r="BTM99" s="88"/>
      <c r="BTT99" s="88"/>
      <c r="BUA99" s="88"/>
      <c r="BUH99" s="88"/>
      <c r="BUO99" s="88"/>
      <c r="BUV99" s="88"/>
      <c r="BVC99" s="88"/>
      <c r="BVJ99" s="88"/>
      <c r="BVQ99" s="88"/>
      <c r="BVX99" s="88"/>
      <c r="BWE99" s="88"/>
      <c r="BWL99" s="88"/>
      <c r="BWS99" s="88"/>
      <c r="BWZ99" s="88"/>
      <c r="BXG99" s="88"/>
      <c r="BXN99" s="88"/>
      <c r="BXU99" s="88"/>
      <c r="BYB99" s="88"/>
      <c r="BYI99" s="88"/>
      <c r="BYP99" s="88"/>
      <c r="BYW99" s="88"/>
      <c r="BZD99" s="88"/>
      <c r="BZK99" s="88"/>
      <c r="BZR99" s="88"/>
      <c r="BZY99" s="88"/>
      <c r="CAF99" s="88"/>
      <c r="CAM99" s="88"/>
      <c r="CAT99" s="88"/>
      <c r="CBA99" s="88"/>
      <c r="CBH99" s="88"/>
      <c r="CBO99" s="88"/>
      <c r="CBV99" s="88"/>
      <c r="CCC99" s="88"/>
      <c r="CCJ99" s="88"/>
      <c r="CCQ99" s="88"/>
      <c r="CCX99" s="88"/>
      <c r="CDE99" s="88"/>
      <c r="CDL99" s="88"/>
      <c r="CDS99" s="88"/>
      <c r="CDZ99" s="88"/>
      <c r="CEG99" s="88"/>
      <c r="CEN99" s="88"/>
      <c r="CEU99" s="88"/>
      <c r="CFB99" s="88"/>
      <c r="CFI99" s="88"/>
      <c r="CFP99" s="88"/>
      <c r="CFW99" s="88"/>
      <c r="CGD99" s="88"/>
      <c r="CGK99" s="88"/>
      <c r="CGR99" s="88"/>
      <c r="CGY99" s="88"/>
      <c r="CHF99" s="88"/>
      <c r="CHM99" s="88"/>
      <c r="CHT99" s="88"/>
      <c r="CIA99" s="88"/>
      <c r="CIH99" s="88"/>
      <c r="CIO99" s="88"/>
      <c r="CIV99" s="88"/>
      <c r="CJC99" s="88"/>
      <c r="CJJ99" s="88"/>
      <c r="CJQ99" s="88"/>
      <c r="CJX99" s="88"/>
      <c r="CKE99" s="88"/>
      <c r="CKL99" s="88"/>
      <c r="CKS99" s="88"/>
      <c r="CKZ99" s="88"/>
      <c r="CLG99" s="88"/>
      <c r="CLN99" s="88"/>
      <c r="CLU99" s="88"/>
      <c r="CMB99" s="88"/>
      <c r="CMI99" s="88"/>
      <c r="CMP99" s="88"/>
      <c r="CMW99" s="88"/>
      <c r="CND99" s="88"/>
      <c r="CNK99" s="88"/>
      <c r="CNR99" s="88"/>
      <c r="CNY99" s="88"/>
      <c r="COF99" s="88"/>
      <c r="COM99" s="88"/>
      <c r="COT99" s="88"/>
      <c r="CPA99" s="88"/>
      <c r="CPH99" s="88"/>
      <c r="CPO99" s="88"/>
      <c r="CPV99" s="88"/>
      <c r="CQC99" s="88"/>
      <c r="CQJ99" s="88"/>
      <c r="CQQ99" s="88"/>
      <c r="CQX99" s="88"/>
      <c r="CRE99" s="88"/>
      <c r="CRL99" s="88"/>
      <c r="CRS99" s="88"/>
      <c r="CRZ99" s="88"/>
      <c r="CSG99" s="88"/>
      <c r="CSN99" s="88"/>
      <c r="CSU99" s="88"/>
      <c r="CTB99" s="88"/>
      <c r="CTI99" s="88"/>
      <c r="CTP99" s="88"/>
      <c r="CTW99" s="88"/>
      <c r="CUD99" s="88"/>
      <c r="CUK99" s="88"/>
      <c r="CUR99" s="88"/>
      <c r="CUY99" s="88"/>
      <c r="CVF99" s="88"/>
      <c r="CVM99" s="88"/>
      <c r="CVT99" s="88"/>
      <c r="CWA99" s="88"/>
      <c r="CWH99" s="88"/>
      <c r="CWO99" s="88"/>
      <c r="CWV99" s="88"/>
      <c r="CXC99" s="88"/>
      <c r="CXJ99" s="88"/>
      <c r="CXQ99" s="88"/>
      <c r="CXX99" s="88"/>
      <c r="CYE99" s="88"/>
      <c r="CYL99" s="88"/>
      <c r="CYS99" s="88"/>
      <c r="CYZ99" s="88"/>
      <c r="CZG99" s="88"/>
      <c r="CZN99" s="88"/>
      <c r="CZU99" s="88"/>
      <c r="DAB99" s="88"/>
      <c r="DAI99" s="88"/>
      <c r="DAP99" s="88"/>
      <c r="DAW99" s="88"/>
      <c r="DBD99" s="88"/>
      <c r="DBK99" s="88"/>
      <c r="DBR99" s="88"/>
      <c r="DBY99" s="88"/>
      <c r="DCF99" s="88"/>
      <c r="DCM99" s="88"/>
      <c r="DCT99" s="88"/>
      <c r="DDA99" s="88"/>
      <c r="DDH99" s="88"/>
      <c r="DDO99" s="88"/>
      <c r="DDV99" s="88"/>
      <c r="DEC99" s="88"/>
      <c r="DEJ99" s="88"/>
      <c r="DEQ99" s="88"/>
      <c r="DEX99" s="88"/>
      <c r="DFE99" s="88"/>
      <c r="DFL99" s="88"/>
      <c r="DFS99" s="88"/>
      <c r="DFZ99" s="88"/>
      <c r="DGG99" s="88"/>
      <c r="DGN99" s="88"/>
      <c r="DGU99" s="88"/>
      <c r="DHB99" s="88"/>
      <c r="DHI99" s="88"/>
      <c r="DHP99" s="88"/>
      <c r="DHW99" s="88"/>
      <c r="DID99" s="88"/>
      <c r="DIK99" s="88"/>
      <c r="DIR99" s="88"/>
      <c r="DIY99" s="88"/>
      <c r="DJF99" s="88"/>
      <c r="DJM99" s="88"/>
      <c r="DJT99" s="88"/>
      <c r="DKA99" s="88"/>
      <c r="DKH99" s="88"/>
      <c r="DKO99" s="88"/>
      <c r="DKV99" s="88"/>
      <c r="DLC99" s="88"/>
      <c r="DLJ99" s="88"/>
      <c r="DLQ99" s="88"/>
      <c r="DLX99" s="88"/>
      <c r="DME99" s="88"/>
      <c r="DML99" s="88"/>
      <c r="DMS99" s="88"/>
      <c r="DMZ99" s="88"/>
      <c r="DNG99" s="88"/>
      <c r="DNN99" s="88"/>
      <c r="DNU99" s="88"/>
      <c r="DOB99" s="88"/>
      <c r="DOI99" s="88"/>
      <c r="DOP99" s="88"/>
      <c r="DOW99" s="88"/>
      <c r="DPD99" s="88"/>
      <c r="DPK99" s="88"/>
      <c r="DPR99" s="88"/>
      <c r="DPY99" s="88"/>
      <c r="DQF99" s="88"/>
      <c r="DQM99" s="88"/>
      <c r="DQT99" s="88"/>
      <c r="DRA99" s="88"/>
      <c r="DRH99" s="88"/>
      <c r="DRO99" s="88"/>
      <c r="DRV99" s="88"/>
      <c r="DSC99" s="88"/>
      <c r="DSJ99" s="88"/>
      <c r="DSQ99" s="88"/>
      <c r="DSX99" s="88"/>
      <c r="DTE99" s="88"/>
      <c r="DTL99" s="88"/>
      <c r="DTS99" s="88"/>
      <c r="DTZ99" s="88"/>
      <c r="DUG99" s="88"/>
      <c r="DUN99" s="88"/>
      <c r="DUU99" s="88"/>
      <c r="DVB99" s="88"/>
      <c r="DVI99" s="88"/>
      <c r="DVP99" s="88"/>
      <c r="DVW99" s="88"/>
      <c r="DWD99" s="88"/>
      <c r="DWK99" s="88"/>
      <c r="DWR99" s="88"/>
      <c r="DWY99" s="88"/>
      <c r="DXF99" s="88"/>
      <c r="DXM99" s="88"/>
      <c r="DXT99" s="88"/>
      <c r="DYA99" s="88"/>
      <c r="DYH99" s="88"/>
      <c r="DYO99" s="88"/>
      <c r="DYV99" s="88"/>
      <c r="DZC99" s="88"/>
      <c r="DZJ99" s="88"/>
      <c r="DZQ99" s="88"/>
      <c r="DZX99" s="88"/>
      <c r="EAE99" s="88"/>
      <c r="EAL99" s="88"/>
      <c r="EAS99" s="88"/>
      <c r="EAZ99" s="88"/>
      <c r="EBG99" s="88"/>
      <c r="EBN99" s="88"/>
      <c r="EBU99" s="88"/>
      <c r="ECB99" s="88"/>
      <c r="ECI99" s="88"/>
      <c r="ECP99" s="88"/>
      <c r="ECW99" s="88"/>
      <c r="EDD99" s="88"/>
      <c r="EDK99" s="88"/>
      <c r="EDR99" s="88"/>
      <c r="EDY99" s="88"/>
      <c r="EEF99" s="88"/>
      <c r="EEM99" s="88"/>
      <c r="EET99" s="88"/>
      <c r="EFA99" s="88"/>
      <c r="EFH99" s="88"/>
      <c r="EFO99" s="88"/>
      <c r="EFV99" s="88"/>
      <c r="EGC99" s="88"/>
      <c r="EGJ99" s="88"/>
      <c r="EGQ99" s="88"/>
      <c r="EGX99" s="88"/>
      <c r="EHE99" s="88"/>
      <c r="EHL99" s="88"/>
      <c r="EHS99" s="88"/>
      <c r="EHZ99" s="88"/>
      <c r="EIG99" s="88"/>
      <c r="EIN99" s="88"/>
      <c r="EIU99" s="88"/>
      <c r="EJB99" s="88"/>
      <c r="EJI99" s="88"/>
      <c r="EJP99" s="88"/>
      <c r="EJW99" s="88"/>
      <c r="EKD99" s="88"/>
      <c r="EKK99" s="88"/>
      <c r="EKR99" s="88"/>
      <c r="EKY99" s="88"/>
      <c r="ELF99" s="88"/>
      <c r="ELM99" s="88"/>
      <c r="ELT99" s="88"/>
      <c r="EMA99" s="88"/>
      <c r="EMH99" s="88"/>
      <c r="EMO99" s="88"/>
      <c r="EMV99" s="88"/>
      <c r="ENC99" s="88"/>
      <c r="ENJ99" s="88"/>
      <c r="ENQ99" s="88"/>
      <c r="ENX99" s="88"/>
      <c r="EOE99" s="88"/>
      <c r="EOL99" s="88"/>
      <c r="EOS99" s="88"/>
      <c r="EOZ99" s="88"/>
      <c r="EPG99" s="88"/>
      <c r="EPN99" s="88"/>
      <c r="EPU99" s="88"/>
      <c r="EQB99" s="88"/>
      <c r="EQI99" s="88"/>
      <c r="EQP99" s="88"/>
      <c r="EQW99" s="88"/>
      <c r="ERD99" s="88"/>
      <c r="ERK99" s="88"/>
      <c r="ERR99" s="88"/>
      <c r="ERY99" s="88"/>
      <c r="ESF99" s="88"/>
      <c r="ESM99" s="88"/>
      <c r="EST99" s="88"/>
      <c r="ETA99" s="88"/>
      <c r="ETH99" s="88"/>
      <c r="ETO99" s="88"/>
      <c r="ETV99" s="88"/>
      <c r="EUC99" s="88"/>
      <c r="EUJ99" s="88"/>
      <c r="EUQ99" s="88"/>
      <c r="EUX99" s="88"/>
      <c r="EVE99" s="88"/>
      <c r="EVL99" s="88"/>
      <c r="EVS99" s="88"/>
      <c r="EVZ99" s="88"/>
      <c r="EWG99" s="88"/>
      <c r="EWN99" s="88"/>
      <c r="EWU99" s="88"/>
      <c r="EXB99" s="88"/>
      <c r="EXI99" s="88"/>
      <c r="EXP99" s="88"/>
      <c r="EXW99" s="88"/>
      <c r="EYD99" s="88"/>
      <c r="EYK99" s="88"/>
      <c r="EYR99" s="88"/>
      <c r="EYY99" s="88"/>
      <c r="EZF99" s="88"/>
      <c r="EZM99" s="88"/>
      <c r="EZT99" s="88"/>
      <c r="FAA99" s="88"/>
      <c r="FAH99" s="88"/>
      <c r="FAO99" s="88"/>
      <c r="FAV99" s="88"/>
      <c r="FBC99" s="88"/>
      <c r="FBJ99" s="88"/>
      <c r="FBQ99" s="88"/>
      <c r="FBX99" s="88"/>
      <c r="FCE99" s="88"/>
      <c r="FCL99" s="88"/>
      <c r="FCS99" s="88"/>
      <c r="FCZ99" s="88"/>
      <c r="FDG99" s="88"/>
      <c r="FDN99" s="88"/>
      <c r="FDU99" s="88"/>
      <c r="FEB99" s="88"/>
      <c r="FEI99" s="88"/>
      <c r="FEP99" s="88"/>
      <c r="FEW99" s="88"/>
      <c r="FFD99" s="88"/>
      <c r="FFK99" s="88"/>
      <c r="FFR99" s="88"/>
      <c r="FFY99" s="88"/>
      <c r="FGF99" s="88"/>
      <c r="FGM99" s="88"/>
      <c r="FGT99" s="88"/>
      <c r="FHA99" s="88"/>
      <c r="FHH99" s="88"/>
      <c r="FHO99" s="88"/>
      <c r="FHV99" s="88"/>
      <c r="FIC99" s="88"/>
      <c r="FIJ99" s="88"/>
      <c r="FIQ99" s="88"/>
      <c r="FIX99" s="88"/>
      <c r="FJE99" s="88"/>
      <c r="FJL99" s="88"/>
      <c r="FJS99" s="88"/>
      <c r="FJZ99" s="88"/>
      <c r="FKG99" s="88"/>
      <c r="FKN99" s="88"/>
      <c r="FKU99" s="88"/>
      <c r="FLB99" s="88"/>
      <c r="FLI99" s="88"/>
      <c r="FLP99" s="88"/>
      <c r="FLW99" s="88"/>
      <c r="FMD99" s="88"/>
      <c r="FMK99" s="88"/>
      <c r="FMR99" s="88"/>
      <c r="FMY99" s="88"/>
      <c r="FNF99" s="88"/>
      <c r="FNM99" s="88"/>
      <c r="FNT99" s="88"/>
      <c r="FOA99" s="88"/>
      <c r="FOH99" s="88"/>
      <c r="FOO99" s="88"/>
      <c r="FOV99" s="88"/>
      <c r="FPC99" s="88"/>
      <c r="FPJ99" s="88"/>
      <c r="FPQ99" s="88"/>
      <c r="FPX99" s="88"/>
      <c r="FQE99" s="88"/>
      <c r="FQL99" s="88"/>
      <c r="FQS99" s="88"/>
      <c r="FQZ99" s="88"/>
      <c r="FRG99" s="88"/>
      <c r="FRN99" s="88"/>
      <c r="FRU99" s="88"/>
      <c r="FSB99" s="88"/>
      <c r="FSI99" s="88"/>
      <c r="FSP99" s="88"/>
      <c r="FSW99" s="88"/>
      <c r="FTD99" s="88"/>
      <c r="FTK99" s="88"/>
      <c r="FTR99" s="88"/>
      <c r="FTY99" s="88"/>
      <c r="FUF99" s="88"/>
      <c r="FUM99" s="88"/>
      <c r="FUT99" s="88"/>
      <c r="FVA99" s="88"/>
      <c r="FVH99" s="88"/>
      <c r="FVO99" s="88"/>
      <c r="FVV99" s="88"/>
      <c r="FWC99" s="88"/>
      <c r="FWJ99" s="88"/>
      <c r="FWQ99" s="88"/>
      <c r="FWX99" s="88"/>
      <c r="FXE99" s="88"/>
      <c r="FXL99" s="88"/>
      <c r="FXS99" s="88"/>
      <c r="FXZ99" s="88"/>
      <c r="FYG99" s="88"/>
      <c r="FYN99" s="88"/>
      <c r="FYU99" s="88"/>
      <c r="FZB99" s="88"/>
      <c r="FZI99" s="88"/>
      <c r="FZP99" s="88"/>
      <c r="FZW99" s="88"/>
      <c r="GAD99" s="88"/>
      <c r="GAK99" s="88"/>
      <c r="GAR99" s="88"/>
      <c r="GAY99" s="88"/>
      <c r="GBF99" s="88"/>
      <c r="GBM99" s="88"/>
      <c r="GBT99" s="88"/>
      <c r="GCA99" s="88"/>
      <c r="GCH99" s="88"/>
      <c r="GCO99" s="88"/>
      <c r="GCV99" s="88"/>
      <c r="GDC99" s="88"/>
      <c r="GDJ99" s="88"/>
      <c r="GDQ99" s="88"/>
      <c r="GDX99" s="88"/>
      <c r="GEE99" s="88"/>
      <c r="GEL99" s="88"/>
      <c r="GES99" s="88"/>
      <c r="GEZ99" s="88"/>
      <c r="GFG99" s="88"/>
      <c r="GFN99" s="88"/>
      <c r="GFU99" s="88"/>
      <c r="GGB99" s="88"/>
      <c r="GGI99" s="88"/>
      <c r="GGP99" s="88"/>
      <c r="GGW99" s="88"/>
      <c r="GHD99" s="88"/>
      <c r="GHK99" s="88"/>
      <c r="GHR99" s="88"/>
      <c r="GHY99" s="88"/>
      <c r="GIF99" s="88"/>
      <c r="GIM99" s="88"/>
      <c r="GIT99" s="88"/>
      <c r="GJA99" s="88"/>
      <c r="GJH99" s="88"/>
      <c r="GJO99" s="88"/>
      <c r="GJV99" s="88"/>
      <c r="GKC99" s="88"/>
      <c r="GKJ99" s="88"/>
      <c r="GKQ99" s="88"/>
      <c r="GKX99" s="88"/>
      <c r="GLE99" s="88"/>
      <c r="GLL99" s="88"/>
      <c r="GLS99" s="88"/>
      <c r="GLZ99" s="88"/>
      <c r="GMG99" s="88"/>
      <c r="GMN99" s="88"/>
      <c r="GMU99" s="88"/>
      <c r="GNB99" s="88"/>
      <c r="GNI99" s="88"/>
      <c r="GNP99" s="88"/>
      <c r="GNW99" s="88"/>
      <c r="GOD99" s="88"/>
      <c r="GOK99" s="88"/>
      <c r="GOR99" s="88"/>
      <c r="GOY99" s="88"/>
      <c r="GPF99" s="88"/>
      <c r="GPM99" s="88"/>
      <c r="GPT99" s="88"/>
      <c r="GQA99" s="88"/>
      <c r="GQH99" s="88"/>
      <c r="GQO99" s="88"/>
      <c r="GQV99" s="88"/>
      <c r="GRC99" s="88"/>
      <c r="GRJ99" s="88"/>
      <c r="GRQ99" s="88"/>
      <c r="GRX99" s="88"/>
      <c r="GSE99" s="88"/>
      <c r="GSL99" s="88"/>
      <c r="GSS99" s="88"/>
      <c r="GSZ99" s="88"/>
      <c r="GTG99" s="88"/>
      <c r="GTN99" s="88"/>
      <c r="GTU99" s="88"/>
      <c r="GUB99" s="88"/>
      <c r="GUI99" s="88"/>
      <c r="GUP99" s="88"/>
      <c r="GUW99" s="88"/>
      <c r="GVD99" s="88"/>
      <c r="GVK99" s="88"/>
      <c r="GVR99" s="88"/>
      <c r="GVY99" s="88"/>
      <c r="GWF99" s="88"/>
      <c r="GWM99" s="88"/>
      <c r="GWT99" s="88"/>
      <c r="GXA99" s="88"/>
      <c r="GXH99" s="88"/>
      <c r="GXO99" s="88"/>
      <c r="GXV99" s="88"/>
      <c r="GYC99" s="88"/>
      <c r="GYJ99" s="88"/>
      <c r="GYQ99" s="88"/>
      <c r="GYX99" s="88"/>
      <c r="GZE99" s="88"/>
      <c r="GZL99" s="88"/>
      <c r="GZS99" s="88"/>
      <c r="GZZ99" s="88"/>
      <c r="HAG99" s="88"/>
      <c r="HAN99" s="88"/>
      <c r="HAU99" s="88"/>
      <c r="HBB99" s="88"/>
      <c r="HBI99" s="88"/>
      <c r="HBP99" s="88"/>
      <c r="HBW99" s="88"/>
      <c r="HCD99" s="88"/>
      <c r="HCK99" s="88"/>
      <c r="HCR99" s="88"/>
      <c r="HCY99" s="88"/>
      <c r="HDF99" s="88"/>
      <c r="HDM99" s="88"/>
      <c r="HDT99" s="88"/>
      <c r="HEA99" s="88"/>
      <c r="HEH99" s="88"/>
      <c r="HEO99" s="88"/>
      <c r="HEV99" s="88"/>
      <c r="HFC99" s="88"/>
      <c r="HFJ99" s="88"/>
      <c r="HFQ99" s="88"/>
      <c r="HFX99" s="88"/>
      <c r="HGE99" s="88"/>
      <c r="HGL99" s="88"/>
      <c r="HGS99" s="88"/>
      <c r="HGZ99" s="88"/>
      <c r="HHG99" s="88"/>
      <c r="HHN99" s="88"/>
      <c r="HHU99" s="88"/>
      <c r="HIB99" s="88"/>
      <c r="HII99" s="88"/>
      <c r="HIP99" s="88"/>
      <c r="HIW99" s="88"/>
      <c r="HJD99" s="88"/>
      <c r="HJK99" s="88"/>
      <c r="HJR99" s="88"/>
      <c r="HJY99" s="88"/>
      <c r="HKF99" s="88"/>
      <c r="HKM99" s="88"/>
      <c r="HKT99" s="88"/>
      <c r="HLA99" s="88"/>
      <c r="HLH99" s="88"/>
      <c r="HLO99" s="88"/>
      <c r="HLV99" s="88"/>
      <c r="HMC99" s="88"/>
      <c r="HMJ99" s="88"/>
      <c r="HMQ99" s="88"/>
      <c r="HMX99" s="88"/>
      <c r="HNE99" s="88"/>
      <c r="HNL99" s="88"/>
      <c r="HNS99" s="88"/>
      <c r="HNZ99" s="88"/>
      <c r="HOG99" s="88"/>
      <c r="HON99" s="88"/>
      <c r="HOU99" s="88"/>
      <c r="HPB99" s="88"/>
      <c r="HPI99" s="88"/>
      <c r="HPP99" s="88"/>
      <c r="HPW99" s="88"/>
      <c r="HQD99" s="88"/>
      <c r="HQK99" s="88"/>
      <c r="HQR99" s="88"/>
      <c r="HQY99" s="88"/>
      <c r="HRF99" s="88"/>
      <c r="HRM99" s="88"/>
      <c r="HRT99" s="88"/>
      <c r="HSA99" s="88"/>
      <c r="HSH99" s="88"/>
      <c r="HSO99" s="88"/>
      <c r="HSV99" s="88"/>
      <c r="HTC99" s="88"/>
      <c r="HTJ99" s="88"/>
      <c r="HTQ99" s="88"/>
      <c r="HTX99" s="88"/>
      <c r="HUE99" s="88"/>
      <c r="HUL99" s="88"/>
      <c r="HUS99" s="88"/>
      <c r="HUZ99" s="88"/>
      <c r="HVG99" s="88"/>
      <c r="HVN99" s="88"/>
      <c r="HVU99" s="88"/>
      <c r="HWB99" s="88"/>
      <c r="HWI99" s="88"/>
      <c r="HWP99" s="88"/>
      <c r="HWW99" s="88"/>
      <c r="HXD99" s="88"/>
      <c r="HXK99" s="88"/>
      <c r="HXR99" s="88"/>
      <c r="HXY99" s="88"/>
      <c r="HYF99" s="88"/>
      <c r="HYM99" s="88"/>
      <c r="HYT99" s="88"/>
      <c r="HZA99" s="88"/>
      <c r="HZH99" s="88"/>
      <c r="HZO99" s="88"/>
      <c r="HZV99" s="88"/>
      <c r="IAC99" s="88"/>
      <c r="IAJ99" s="88"/>
      <c r="IAQ99" s="88"/>
      <c r="IAX99" s="88"/>
      <c r="IBE99" s="88"/>
      <c r="IBL99" s="88"/>
      <c r="IBS99" s="88"/>
      <c r="IBZ99" s="88"/>
      <c r="ICG99" s="88"/>
      <c r="ICN99" s="88"/>
      <c r="ICU99" s="88"/>
      <c r="IDB99" s="88"/>
      <c r="IDI99" s="88"/>
      <c r="IDP99" s="88"/>
      <c r="IDW99" s="88"/>
      <c r="IED99" s="88"/>
      <c r="IEK99" s="88"/>
      <c r="IER99" s="88"/>
      <c r="IEY99" s="88"/>
      <c r="IFF99" s="88"/>
      <c r="IFM99" s="88"/>
      <c r="IFT99" s="88"/>
      <c r="IGA99" s="88"/>
      <c r="IGH99" s="88"/>
      <c r="IGO99" s="88"/>
      <c r="IGV99" s="88"/>
      <c r="IHC99" s="88"/>
      <c r="IHJ99" s="88"/>
      <c r="IHQ99" s="88"/>
      <c r="IHX99" s="88"/>
      <c r="IIE99" s="88"/>
      <c r="IIL99" s="88"/>
      <c r="IIS99" s="88"/>
      <c r="IIZ99" s="88"/>
      <c r="IJG99" s="88"/>
      <c r="IJN99" s="88"/>
      <c r="IJU99" s="88"/>
      <c r="IKB99" s="88"/>
      <c r="IKI99" s="88"/>
      <c r="IKP99" s="88"/>
      <c r="IKW99" s="88"/>
      <c r="ILD99" s="88"/>
      <c r="ILK99" s="88"/>
      <c r="ILR99" s="88"/>
      <c r="ILY99" s="88"/>
      <c r="IMF99" s="88"/>
      <c r="IMM99" s="88"/>
      <c r="IMT99" s="88"/>
      <c r="INA99" s="88"/>
      <c r="INH99" s="88"/>
      <c r="INO99" s="88"/>
      <c r="INV99" s="88"/>
      <c r="IOC99" s="88"/>
      <c r="IOJ99" s="88"/>
      <c r="IOQ99" s="88"/>
      <c r="IOX99" s="88"/>
      <c r="IPE99" s="88"/>
      <c r="IPL99" s="88"/>
      <c r="IPS99" s="88"/>
      <c r="IPZ99" s="88"/>
      <c r="IQG99" s="88"/>
      <c r="IQN99" s="88"/>
      <c r="IQU99" s="88"/>
      <c r="IRB99" s="88"/>
      <c r="IRI99" s="88"/>
      <c r="IRP99" s="88"/>
      <c r="IRW99" s="88"/>
      <c r="ISD99" s="88"/>
      <c r="ISK99" s="88"/>
      <c r="ISR99" s="88"/>
      <c r="ISY99" s="88"/>
      <c r="ITF99" s="88"/>
      <c r="ITM99" s="88"/>
      <c r="ITT99" s="88"/>
      <c r="IUA99" s="88"/>
      <c r="IUH99" s="88"/>
      <c r="IUO99" s="88"/>
      <c r="IUV99" s="88"/>
      <c r="IVC99" s="88"/>
      <c r="IVJ99" s="88"/>
      <c r="IVQ99" s="88"/>
      <c r="IVX99" s="88"/>
      <c r="IWE99" s="88"/>
      <c r="IWL99" s="88"/>
      <c r="IWS99" s="88"/>
      <c r="IWZ99" s="88"/>
      <c r="IXG99" s="88"/>
      <c r="IXN99" s="88"/>
      <c r="IXU99" s="88"/>
      <c r="IYB99" s="88"/>
      <c r="IYI99" s="88"/>
      <c r="IYP99" s="88"/>
      <c r="IYW99" s="88"/>
      <c r="IZD99" s="88"/>
      <c r="IZK99" s="88"/>
      <c r="IZR99" s="88"/>
      <c r="IZY99" s="88"/>
      <c r="JAF99" s="88"/>
      <c r="JAM99" s="88"/>
      <c r="JAT99" s="88"/>
      <c r="JBA99" s="88"/>
      <c r="JBH99" s="88"/>
      <c r="JBO99" s="88"/>
      <c r="JBV99" s="88"/>
      <c r="JCC99" s="88"/>
      <c r="JCJ99" s="88"/>
      <c r="JCQ99" s="88"/>
      <c r="JCX99" s="88"/>
      <c r="JDE99" s="88"/>
      <c r="JDL99" s="88"/>
      <c r="JDS99" s="88"/>
      <c r="JDZ99" s="88"/>
      <c r="JEG99" s="88"/>
      <c r="JEN99" s="88"/>
      <c r="JEU99" s="88"/>
      <c r="JFB99" s="88"/>
      <c r="JFI99" s="88"/>
      <c r="JFP99" s="88"/>
      <c r="JFW99" s="88"/>
      <c r="JGD99" s="88"/>
      <c r="JGK99" s="88"/>
      <c r="JGR99" s="88"/>
      <c r="JGY99" s="88"/>
      <c r="JHF99" s="88"/>
      <c r="JHM99" s="88"/>
      <c r="JHT99" s="88"/>
      <c r="JIA99" s="88"/>
      <c r="JIH99" s="88"/>
      <c r="JIO99" s="88"/>
      <c r="JIV99" s="88"/>
      <c r="JJC99" s="88"/>
      <c r="JJJ99" s="88"/>
      <c r="JJQ99" s="88"/>
      <c r="JJX99" s="88"/>
      <c r="JKE99" s="88"/>
      <c r="JKL99" s="88"/>
      <c r="JKS99" s="88"/>
      <c r="JKZ99" s="88"/>
      <c r="JLG99" s="88"/>
      <c r="JLN99" s="88"/>
      <c r="JLU99" s="88"/>
      <c r="JMB99" s="88"/>
      <c r="JMI99" s="88"/>
      <c r="JMP99" s="88"/>
      <c r="JMW99" s="88"/>
      <c r="JND99" s="88"/>
      <c r="JNK99" s="88"/>
      <c r="JNR99" s="88"/>
      <c r="JNY99" s="88"/>
      <c r="JOF99" s="88"/>
      <c r="JOM99" s="88"/>
      <c r="JOT99" s="88"/>
      <c r="JPA99" s="88"/>
      <c r="JPH99" s="88"/>
      <c r="JPO99" s="88"/>
      <c r="JPV99" s="88"/>
      <c r="JQC99" s="88"/>
      <c r="JQJ99" s="88"/>
      <c r="JQQ99" s="88"/>
      <c r="JQX99" s="88"/>
      <c r="JRE99" s="88"/>
      <c r="JRL99" s="88"/>
      <c r="JRS99" s="88"/>
      <c r="JRZ99" s="88"/>
      <c r="JSG99" s="88"/>
      <c r="JSN99" s="88"/>
      <c r="JSU99" s="88"/>
      <c r="JTB99" s="88"/>
      <c r="JTI99" s="88"/>
      <c r="JTP99" s="88"/>
      <c r="JTW99" s="88"/>
      <c r="JUD99" s="88"/>
      <c r="JUK99" s="88"/>
      <c r="JUR99" s="88"/>
      <c r="JUY99" s="88"/>
      <c r="JVF99" s="88"/>
      <c r="JVM99" s="88"/>
      <c r="JVT99" s="88"/>
      <c r="JWA99" s="88"/>
      <c r="JWH99" s="88"/>
      <c r="JWO99" s="88"/>
      <c r="JWV99" s="88"/>
      <c r="JXC99" s="88"/>
      <c r="JXJ99" s="88"/>
      <c r="JXQ99" s="88"/>
      <c r="JXX99" s="88"/>
      <c r="JYE99" s="88"/>
      <c r="JYL99" s="88"/>
      <c r="JYS99" s="88"/>
      <c r="JYZ99" s="88"/>
      <c r="JZG99" s="88"/>
      <c r="JZN99" s="88"/>
      <c r="JZU99" s="88"/>
      <c r="KAB99" s="88"/>
      <c r="KAI99" s="88"/>
      <c r="KAP99" s="88"/>
      <c r="KAW99" s="88"/>
      <c r="KBD99" s="88"/>
      <c r="KBK99" s="88"/>
      <c r="KBR99" s="88"/>
      <c r="KBY99" s="88"/>
      <c r="KCF99" s="88"/>
      <c r="KCM99" s="88"/>
      <c r="KCT99" s="88"/>
      <c r="KDA99" s="88"/>
      <c r="KDH99" s="88"/>
      <c r="KDO99" s="88"/>
      <c r="KDV99" s="88"/>
      <c r="KEC99" s="88"/>
      <c r="KEJ99" s="88"/>
      <c r="KEQ99" s="88"/>
      <c r="KEX99" s="88"/>
      <c r="KFE99" s="88"/>
      <c r="KFL99" s="88"/>
      <c r="KFS99" s="88"/>
      <c r="KFZ99" s="88"/>
      <c r="KGG99" s="88"/>
      <c r="KGN99" s="88"/>
      <c r="KGU99" s="88"/>
      <c r="KHB99" s="88"/>
      <c r="KHI99" s="88"/>
      <c r="KHP99" s="88"/>
      <c r="KHW99" s="88"/>
      <c r="KID99" s="88"/>
      <c r="KIK99" s="88"/>
      <c r="KIR99" s="88"/>
      <c r="KIY99" s="88"/>
      <c r="KJF99" s="88"/>
      <c r="KJM99" s="88"/>
      <c r="KJT99" s="88"/>
      <c r="KKA99" s="88"/>
      <c r="KKH99" s="88"/>
      <c r="KKO99" s="88"/>
      <c r="KKV99" s="88"/>
      <c r="KLC99" s="88"/>
      <c r="KLJ99" s="88"/>
      <c r="KLQ99" s="88"/>
      <c r="KLX99" s="88"/>
      <c r="KME99" s="88"/>
      <c r="KML99" s="88"/>
      <c r="KMS99" s="88"/>
      <c r="KMZ99" s="88"/>
      <c r="KNG99" s="88"/>
      <c r="KNN99" s="88"/>
      <c r="KNU99" s="88"/>
      <c r="KOB99" s="88"/>
      <c r="KOI99" s="88"/>
      <c r="KOP99" s="88"/>
      <c r="KOW99" s="88"/>
      <c r="KPD99" s="88"/>
      <c r="KPK99" s="88"/>
      <c r="KPR99" s="88"/>
      <c r="KPY99" s="88"/>
      <c r="KQF99" s="88"/>
      <c r="KQM99" s="88"/>
      <c r="KQT99" s="88"/>
      <c r="KRA99" s="88"/>
      <c r="KRH99" s="88"/>
      <c r="KRO99" s="88"/>
      <c r="KRV99" s="88"/>
      <c r="KSC99" s="88"/>
      <c r="KSJ99" s="88"/>
      <c r="KSQ99" s="88"/>
      <c r="KSX99" s="88"/>
      <c r="KTE99" s="88"/>
      <c r="KTL99" s="88"/>
      <c r="KTS99" s="88"/>
      <c r="KTZ99" s="88"/>
      <c r="KUG99" s="88"/>
      <c r="KUN99" s="88"/>
      <c r="KUU99" s="88"/>
      <c r="KVB99" s="88"/>
      <c r="KVI99" s="88"/>
      <c r="KVP99" s="88"/>
      <c r="KVW99" s="88"/>
      <c r="KWD99" s="88"/>
      <c r="KWK99" s="88"/>
      <c r="KWR99" s="88"/>
      <c r="KWY99" s="88"/>
      <c r="KXF99" s="88"/>
      <c r="KXM99" s="88"/>
      <c r="KXT99" s="88"/>
      <c r="KYA99" s="88"/>
      <c r="KYH99" s="88"/>
      <c r="KYO99" s="88"/>
      <c r="KYV99" s="88"/>
      <c r="KZC99" s="88"/>
      <c r="KZJ99" s="88"/>
      <c r="KZQ99" s="88"/>
      <c r="KZX99" s="88"/>
      <c r="LAE99" s="88"/>
      <c r="LAL99" s="88"/>
      <c r="LAS99" s="88"/>
      <c r="LAZ99" s="88"/>
      <c r="LBG99" s="88"/>
      <c r="LBN99" s="88"/>
      <c r="LBU99" s="88"/>
      <c r="LCB99" s="88"/>
      <c r="LCI99" s="88"/>
      <c r="LCP99" s="88"/>
      <c r="LCW99" s="88"/>
      <c r="LDD99" s="88"/>
      <c r="LDK99" s="88"/>
      <c r="LDR99" s="88"/>
      <c r="LDY99" s="88"/>
      <c r="LEF99" s="88"/>
      <c r="LEM99" s="88"/>
      <c r="LET99" s="88"/>
      <c r="LFA99" s="88"/>
      <c r="LFH99" s="88"/>
      <c r="LFO99" s="88"/>
      <c r="LFV99" s="88"/>
      <c r="LGC99" s="88"/>
      <c r="LGJ99" s="88"/>
      <c r="LGQ99" s="88"/>
      <c r="LGX99" s="88"/>
      <c r="LHE99" s="88"/>
      <c r="LHL99" s="88"/>
      <c r="LHS99" s="88"/>
      <c r="LHZ99" s="88"/>
      <c r="LIG99" s="88"/>
      <c r="LIN99" s="88"/>
      <c r="LIU99" s="88"/>
      <c r="LJB99" s="88"/>
      <c r="LJI99" s="88"/>
      <c r="LJP99" s="88"/>
      <c r="LJW99" s="88"/>
      <c r="LKD99" s="88"/>
      <c r="LKK99" s="88"/>
      <c r="LKR99" s="88"/>
      <c r="LKY99" s="88"/>
      <c r="LLF99" s="88"/>
      <c r="LLM99" s="88"/>
      <c r="LLT99" s="88"/>
      <c r="LMA99" s="88"/>
      <c r="LMH99" s="88"/>
      <c r="LMO99" s="88"/>
      <c r="LMV99" s="88"/>
      <c r="LNC99" s="88"/>
      <c r="LNJ99" s="88"/>
      <c r="LNQ99" s="88"/>
      <c r="LNX99" s="88"/>
      <c r="LOE99" s="88"/>
      <c r="LOL99" s="88"/>
      <c r="LOS99" s="88"/>
      <c r="LOZ99" s="88"/>
      <c r="LPG99" s="88"/>
      <c r="LPN99" s="88"/>
      <c r="LPU99" s="88"/>
      <c r="LQB99" s="88"/>
      <c r="LQI99" s="88"/>
      <c r="LQP99" s="88"/>
      <c r="LQW99" s="88"/>
      <c r="LRD99" s="88"/>
      <c r="LRK99" s="88"/>
      <c r="LRR99" s="88"/>
      <c r="LRY99" s="88"/>
      <c r="LSF99" s="88"/>
      <c r="LSM99" s="88"/>
      <c r="LST99" s="88"/>
      <c r="LTA99" s="88"/>
      <c r="LTH99" s="88"/>
      <c r="LTO99" s="88"/>
      <c r="LTV99" s="88"/>
      <c r="LUC99" s="88"/>
      <c r="LUJ99" s="88"/>
      <c r="LUQ99" s="88"/>
      <c r="LUX99" s="88"/>
      <c r="LVE99" s="88"/>
      <c r="LVL99" s="88"/>
      <c r="LVS99" s="88"/>
      <c r="LVZ99" s="88"/>
      <c r="LWG99" s="88"/>
      <c r="LWN99" s="88"/>
      <c r="LWU99" s="88"/>
      <c r="LXB99" s="88"/>
      <c r="LXI99" s="88"/>
      <c r="LXP99" s="88"/>
      <c r="LXW99" s="88"/>
      <c r="LYD99" s="88"/>
      <c r="LYK99" s="88"/>
      <c r="LYR99" s="88"/>
      <c r="LYY99" s="88"/>
      <c r="LZF99" s="88"/>
      <c r="LZM99" s="88"/>
      <c r="LZT99" s="88"/>
      <c r="MAA99" s="88"/>
      <c r="MAH99" s="88"/>
      <c r="MAO99" s="88"/>
      <c r="MAV99" s="88"/>
      <c r="MBC99" s="88"/>
      <c r="MBJ99" s="88"/>
      <c r="MBQ99" s="88"/>
      <c r="MBX99" s="88"/>
      <c r="MCE99" s="88"/>
      <c r="MCL99" s="88"/>
      <c r="MCS99" s="88"/>
      <c r="MCZ99" s="88"/>
      <c r="MDG99" s="88"/>
      <c r="MDN99" s="88"/>
      <c r="MDU99" s="88"/>
      <c r="MEB99" s="88"/>
      <c r="MEI99" s="88"/>
      <c r="MEP99" s="88"/>
      <c r="MEW99" s="88"/>
      <c r="MFD99" s="88"/>
      <c r="MFK99" s="88"/>
      <c r="MFR99" s="88"/>
      <c r="MFY99" s="88"/>
      <c r="MGF99" s="88"/>
      <c r="MGM99" s="88"/>
      <c r="MGT99" s="88"/>
      <c r="MHA99" s="88"/>
      <c r="MHH99" s="88"/>
      <c r="MHO99" s="88"/>
      <c r="MHV99" s="88"/>
      <c r="MIC99" s="88"/>
      <c r="MIJ99" s="88"/>
      <c r="MIQ99" s="88"/>
      <c r="MIX99" s="88"/>
      <c r="MJE99" s="88"/>
      <c r="MJL99" s="88"/>
      <c r="MJS99" s="88"/>
      <c r="MJZ99" s="88"/>
      <c r="MKG99" s="88"/>
      <c r="MKN99" s="88"/>
      <c r="MKU99" s="88"/>
      <c r="MLB99" s="88"/>
      <c r="MLI99" s="88"/>
      <c r="MLP99" s="88"/>
      <c r="MLW99" s="88"/>
      <c r="MMD99" s="88"/>
      <c r="MMK99" s="88"/>
      <c r="MMR99" s="88"/>
      <c r="MMY99" s="88"/>
      <c r="MNF99" s="88"/>
      <c r="MNM99" s="88"/>
      <c r="MNT99" s="88"/>
      <c r="MOA99" s="88"/>
      <c r="MOH99" s="88"/>
      <c r="MOO99" s="88"/>
      <c r="MOV99" s="88"/>
      <c r="MPC99" s="88"/>
      <c r="MPJ99" s="88"/>
      <c r="MPQ99" s="88"/>
      <c r="MPX99" s="88"/>
      <c r="MQE99" s="88"/>
      <c r="MQL99" s="88"/>
      <c r="MQS99" s="88"/>
      <c r="MQZ99" s="88"/>
      <c r="MRG99" s="88"/>
      <c r="MRN99" s="88"/>
      <c r="MRU99" s="88"/>
      <c r="MSB99" s="88"/>
      <c r="MSI99" s="88"/>
      <c r="MSP99" s="88"/>
      <c r="MSW99" s="88"/>
      <c r="MTD99" s="88"/>
      <c r="MTK99" s="88"/>
      <c r="MTR99" s="88"/>
      <c r="MTY99" s="88"/>
      <c r="MUF99" s="88"/>
      <c r="MUM99" s="88"/>
      <c r="MUT99" s="88"/>
      <c r="MVA99" s="88"/>
      <c r="MVH99" s="88"/>
      <c r="MVO99" s="88"/>
      <c r="MVV99" s="88"/>
      <c r="MWC99" s="88"/>
      <c r="MWJ99" s="88"/>
      <c r="MWQ99" s="88"/>
      <c r="MWX99" s="88"/>
      <c r="MXE99" s="88"/>
      <c r="MXL99" s="88"/>
      <c r="MXS99" s="88"/>
      <c r="MXZ99" s="88"/>
      <c r="MYG99" s="88"/>
      <c r="MYN99" s="88"/>
      <c r="MYU99" s="88"/>
      <c r="MZB99" s="88"/>
      <c r="MZI99" s="88"/>
      <c r="MZP99" s="88"/>
      <c r="MZW99" s="88"/>
      <c r="NAD99" s="88"/>
      <c r="NAK99" s="88"/>
      <c r="NAR99" s="88"/>
      <c r="NAY99" s="88"/>
      <c r="NBF99" s="88"/>
      <c r="NBM99" s="88"/>
      <c r="NBT99" s="88"/>
      <c r="NCA99" s="88"/>
      <c r="NCH99" s="88"/>
      <c r="NCO99" s="88"/>
      <c r="NCV99" s="88"/>
      <c r="NDC99" s="88"/>
      <c r="NDJ99" s="88"/>
      <c r="NDQ99" s="88"/>
      <c r="NDX99" s="88"/>
      <c r="NEE99" s="88"/>
      <c r="NEL99" s="88"/>
      <c r="NES99" s="88"/>
      <c r="NEZ99" s="88"/>
      <c r="NFG99" s="88"/>
      <c r="NFN99" s="88"/>
      <c r="NFU99" s="88"/>
      <c r="NGB99" s="88"/>
      <c r="NGI99" s="88"/>
      <c r="NGP99" s="88"/>
      <c r="NGW99" s="88"/>
      <c r="NHD99" s="88"/>
      <c r="NHK99" s="88"/>
      <c r="NHR99" s="88"/>
      <c r="NHY99" s="88"/>
      <c r="NIF99" s="88"/>
      <c r="NIM99" s="88"/>
      <c r="NIT99" s="88"/>
      <c r="NJA99" s="88"/>
      <c r="NJH99" s="88"/>
      <c r="NJO99" s="88"/>
      <c r="NJV99" s="88"/>
      <c r="NKC99" s="88"/>
      <c r="NKJ99" s="88"/>
      <c r="NKQ99" s="88"/>
      <c r="NKX99" s="88"/>
      <c r="NLE99" s="88"/>
      <c r="NLL99" s="88"/>
      <c r="NLS99" s="88"/>
      <c r="NLZ99" s="88"/>
      <c r="NMG99" s="88"/>
      <c r="NMN99" s="88"/>
      <c r="NMU99" s="88"/>
      <c r="NNB99" s="88"/>
      <c r="NNI99" s="88"/>
      <c r="NNP99" s="88"/>
      <c r="NNW99" s="88"/>
      <c r="NOD99" s="88"/>
      <c r="NOK99" s="88"/>
      <c r="NOR99" s="88"/>
      <c r="NOY99" s="88"/>
      <c r="NPF99" s="88"/>
      <c r="NPM99" s="88"/>
      <c r="NPT99" s="88"/>
      <c r="NQA99" s="88"/>
      <c r="NQH99" s="88"/>
      <c r="NQO99" s="88"/>
      <c r="NQV99" s="88"/>
      <c r="NRC99" s="88"/>
      <c r="NRJ99" s="88"/>
      <c r="NRQ99" s="88"/>
      <c r="NRX99" s="88"/>
      <c r="NSE99" s="88"/>
      <c r="NSL99" s="88"/>
      <c r="NSS99" s="88"/>
      <c r="NSZ99" s="88"/>
      <c r="NTG99" s="88"/>
      <c r="NTN99" s="88"/>
      <c r="NTU99" s="88"/>
      <c r="NUB99" s="88"/>
      <c r="NUI99" s="88"/>
      <c r="NUP99" s="88"/>
      <c r="NUW99" s="88"/>
      <c r="NVD99" s="88"/>
      <c r="NVK99" s="88"/>
      <c r="NVR99" s="88"/>
      <c r="NVY99" s="88"/>
      <c r="NWF99" s="88"/>
      <c r="NWM99" s="88"/>
      <c r="NWT99" s="88"/>
      <c r="NXA99" s="88"/>
      <c r="NXH99" s="88"/>
      <c r="NXO99" s="88"/>
      <c r="NXV99" s="88"/>
      <c r="NYC99" s="88"/>
      <c r="NYJ99" s="88"/>
      <c r="NYQ99" s="88"/>
      <c r="NYX99" s="88"/>
      <c r="NZE99" s="88"/>
      <c r="NZL99" s="88"/>
      <c r="NZS99" s="88"/>
      <c r="NZZ99" s="88"/>
      <c r="OAG99" s="88"/>
      <c r="OAN99" s="88"/>
      <c r="OAU99" s="88"/>
      <c r="OBB99" s="88"/>
      <c r="OBI99" s="88"/>
      <c r="OBP99" s="88"/>
      <c r="OBW99" s="88"/>
      <c r="OCD99" s="88"/>
      <c r="OCK99" s="88"/>
      <c r="OCR99" s="88"/>
      <c r="OCY99" s="88"/>
      <c r="ODF99" s="88"/>
      <c r="ODM99" s="88"/>
      <c r="ODT99" s="88"/>
      <c r="OEA99" s="88"/>
      <c r="OEH99" s="88"/>
      <c r="OEO99" s="88"/>
      <c r="OEV99" s="88"/>
      <c r="OFC99" s="88"/>
      <c r="OFJ99" s="88"/>
      <c r="OFQ99" s="88"/>
      <c r="OFX99" s="88"/>
      <c r="OGE99" s="88"/>
      <c r="OGL99" s="88"/>
      <c r="OGS99" s="88"/>
      <c r="OGZ99" s="88"/>
      <c r="OHG99" s="88"/>
      <c r="OHN99" s="88"/>
      <c r="OHU99" s="88"/>
      <c r="OIB99" s="88"/>
      <c r="OII99" s="88"/>
      <c r="OIP99" s="88"/>
      <c r="OIW99" s="88"/>
      <c r="OJD99" s="88"/>
      <c r="OJK99" s="88"/>
      <c r="OJR99" s="88"/>
      <c r="OJY99" s="88"/>
      <c r="OKF99" s="88"/>
      <c r="OKM99" s="88"/>
      <c r="OKT99" s="88"/>
      <c r="OLA99" s="88"/>
      <c r="OLH99" s="88"/>
      <c r="OLO99" s="88"/>
      <c r="OLV99" s="88"/>
      <c r="OMC99" s="88"/>
      <c r="OMJ99" s="88"/>
      <c r="OMQ99" s="88"/>
      <c r="OMX99" s="88"/>
      <c r="ONE99" s="88"/>
      <c r="ONL99" s="88"/>
      <c r="ONS99" s="88"/>
      <c r="ONZ99" s="88"/>
      <c r="OOG99" s="88"/>
      <c r="OON99" s="88"/>
      <c r="OOU99" s="88"/>
      <c r="OPB99" s="88"/>
      <c r="OPI99" s="88"/>
      <c r="OPP99" s="88"/>
      <c r="OPW99" s="88"/>
      <c r="OQD99" s="88"/>
      <c r="OQK99" s="88"/>
      <c r="OQR99" s="88"/>
      <c r="OQY99" s="88"/>
      <c r="ORF99" s="88"/>
      <c r="ORM99" s="88"/>
      <c r="ORT99" s="88"/>
      <c r="OSA99" s="88"/>
      <c r="OSH99" s="88"/>
      <c r="OSO99" s="88"/>
      <c r="OSV99" s="88"/>
      <c r="OTC99" s="88"/>
      <c r="OTJ99" s="88"/>
      <c r="OTQ99" s="88"/>
      <c r="OTX99" s="88"/>
      <c r="OUE99" s="88"/>
      <c r="OUL99" s="88"/>
      <c r="OUS99" s="88"/>
      <c r="OUZ99" s="88"/>
      <c r="OVG99" s="88"/>
      <c r="OVN99" s="88"/>
      <c r="OVU99" s="88"/>
      <c r="OWB99" s="88"/>
      <c r="OWI99" s="88"/>
      <c r="OWP99" s="88"/>
      <c r="OWW99" s="88"/>
      <c r="OXD99" s="88"/>
      <c r="OXK99" s="88"/>
      <c r="OXR99" s="88"/>
      <c r="OXY99" s="88"/>
      <c r="OYF99" s="88"/>
      <c r="OYM99" s="88"/>
      <c r="OYT99" s="88"/>
      <c r="OZA99" s="88"/>
      <c r="OZH99" s="88"/>
      <c r="OZO99" s="88"/>
      <c r="OZV99" s="88"/>
      <c r="PAC99" s="88"/>
      <c r="PAJ99" s="88"/>
      <c r="PAQ99" s="88"/>
      <c r="PAX99" s="88"/>
      <c r="PBE99" s="88"/>
      <c r="PBL99" s="88"/>
      <c r="PBS99" s="88"/>
      <c r="PBZ99" s="88"/>
      <c r="PCG99" s="88"/>
      <c r="PCN99" s="88"/>
      <c r="PCU99" s="88"/>
      <c r="PDB99" s="88"/>
      <c r="PDI99" s="88"/>
      <c r="PDP99" s="88"/>
      <c r="PDW99" s="88"/>
      <c r="PED99" s="88"/>
      <c r="PEK99" s="88"/>
      <c r="PER99" s="88"/>
      <c r="PEY99" s="88"/>
      <c r="PFF99" s="88"/>
      <c r="PFM99" s="88"/>
      <c r="PFT99" s="88"/>
      <c r="PGA99" s="88"/>
      <c r="PGH99" s="88"/>
      <c r="PGO99" s="88"/>
      <c r="PGV99" s="88"/>
      <c r="PHC99" s="88"/>
      <c r="PHJ99" s="88"/>
      <c r="PHQ99" s="88"/>
      <c r="PHX99" s="88"/>
      <c r="PIE99" s="88"/>
      <c r="PIL99" s="88"/>
      <c r="PIS99" s="88"/>
      <c r="PIZ99" s="88"/>
      <c r="PJG99" s="88"/>
      <c r="PJN99" s="88"/>
      <c r="PJU99" s="88"/>
      <c r="PKB99" s="88"/>
      <c r="PKI99" s="88"/>
      <c r="PKP99" s="88"/>
      <c r="PKW99" s="88"/>
      <c r="PLD99" s="88"/>
      <c r="PLK99" s="88"/>
      <c r="PLR99" s="88"/>
      <c r="PLY99" s="88"/>
      <c r="PMF99" s="88"/>
      <c r="PMM99" s="88"/>
      <c r="PMT99" s="88"/>
      <c r="PNA99" s="88"/>
      <c r="PNH99" s="88"/>
      <c r="PNO99" s="88"/>
      <c r="PNV99" s="88"/>
      <c r="POC99" s="88"/>
      <c r="POJ99" s="88"/>
      <c r="POQ99" s="88"/>
      <c r="POX99" s="88"/>
      <c r="PPE99" s="88"/>
      <c r="PPL99" s="88"/>
      <c r="PPS99" s="88"/>
      <c r="PPZ99" s="88"/>
      <c r="PQG99" s="88"/>
      <c r="PQN99" s="88"/>
      <c r="PQU99" s="88"/>
      <c r="PRB99" s="88"/>
      <c r="PRI99" s="88"/>
      <c r="PRP99" s="88"/>
      <c r="PRW99" s="88"/>
      <c r="PSD99" s="88"/>
      <c r="PSK99" s="88"/>
      <c r="PSR99" s="88"/>
      <c r="PSY99" s="88"/>
      <c r="PTF99" s="88"/>
      <c r="PTM99" s="88"/>
      <c r="PTT99" s="88"/>
      <c r="PUA99" s="88"/>
      <c r="PUH99" s="88"/>
      <c r="PUO99" s="88"/>
      <c r="PUV99" s="88"/>
      <c r="PVC99" s="88"/>
      <c r="PVJ99" s="88"/>
      <c r="PVQ99" s="88"/>
      <c r="PVX99" s="88"/>
      <c r="PWE99" s="88"/>
      <c r="PWL99" s="88"/>
      <c r="PWS99" s="88"/>
      <c r="PWZ99" s="88"/>
      <c r="PXG99" s="88"/>
      <c r="PXN99" s="88"/>
      <c r="PXU99" s="88"/>
      <c r="PYB99" s="88"/>
      <c r="PYI99" s="88"/>
      <c r="PYP99" s="88"/>
      <c r="PYW99" s="88"/>
      <c r="PZD99" s="88"/>
      <c r="PZK99" s="88"/>
      <c r="PZR99" s="88"/>
      <c r="PZY99" s="88"/>
      <c r="QAF99" s="88"/>
      <c r="QAM99" s="88"/>
      <c r="QAT99" s="88"/>
      <c r="QBA99" s="88"/>
      <c r="QBH99" s="88"/>
      <c r="QBO99" s="88"/>
      <c r="QBV99" s="88"/>
      <c r="QCC99" s="88"/>
      <c r="QCJ99" s="88"/>
      <c r="QCQ99" s="88"/>
      <c r="QCX99" s="88"/>
      <c r="QDE99" s="88"/>
      <c r="QDL99" s="88"/>
      <c r="QDS99" s="88"/>
      <c r="QDZ99" s="88"/>
      <c r="QEG99" s="88"/>
      <c r="QEN99" s="88"/>
      <c r="QEU99" s="88"/>
      <c r="QFB99" s="88"/>
      <c r="QFI99" s="88"/>
      <c r="QFP99" s="88"/>
      <c r="QFW99" s="88"/>
      <c r="QGD99" s="88"/>
      <c r="QGK99" s="88"/>
      <c r="QGR99" s="88"/>
      <c r="QGY99" s="88"/>
      <c r="QHF99" s="88"/>
      <c r="QHM99" s="88"/>
      <c r="QHT99" s="88"/>
      <c r="QIA99" s="88"/>
      <c r="QIH99" s="88"/>
      <c r="QIO99" s="88"/>
      <c r="QIV99" s="88"/>
      <c r="QJC99" s="88"/>
      <c r="QJJ99" s="88"/>
      <c r="QJQ99" s="88"/>
      <c r="QJX99" s="88"/>
      <c r="QKE99" s="88"/>
      <c r="QKL99" s="88"/>
      <c r="QKS99" s="88"/>
      <c r="QKZ99" s="88"/>
      <c r="QLG99" s="88"/>
      <c r="QLN99" s="88"/>
      <c r="QLU99" s="88"/>
      <c r="QMB99" s="88"/>
      <c r="QMI99" s="88"/>
      <c r="QMP99" s="88"/>
      <c r="QMW99" s="88"/>
      <c r="QND99" s="88"/>
      <c r="QNK99" s="88"/>
      <c r="QNR99" s="88"/>
      <c r="QNY99" s="88"/>
      <c r="QOF99" s="88"/>
      <c r="QOM99" s="88"/>
      <c r="QOT99" s="88"/>
      <c r="QPA99" s="88"/>
      <c r="QPH99" s="88"/>
      <c r="QPO99" s="88"/>
      <c r="QPV99" s="88"/>
      <c r="QQC99" s="88"/>
      <c r="QQJ99" s="88"/>
      <c r="QQQ99" s="88"/>
      <c r="QQX99" s="88"/>
      <c r="QRE99" s="88"/>
      <c r="QRL99" s="88"/>
      <c r="QRS99" s="88"/>
      <c r="QRZ99" s="88"/>
      <c r="QSG99" s="88"/>
      <c r="QSN99" s="88"/>
      <c r="QSU99" s="88"/>
      <c r="QTB99" s="88"/>
      <c r="QTI99" s="88"/>
      <c r="QTP99" s="88"/>
      <c r="QTW99" s="88"/>
      <c r="QUD99" s="88"/>
      <c r="QUK99" s="88"/>
      <c r="QUR99" s="88"/>
      <c r="QUY99" s="88"/>
      <c r="QVF99" s="88"/>
      <c r="QVM99" s="88"/>
      <c r="QVT99" s="88"/>
      <c r="QWA99" s="88"/>
      <c r="QWH99" s="88"/>
      <c r="QWO99" s="88"/>
      <c r="QWV99" s="88"/>
      <c r="QXC99" s="88"/>
      <c r="QXJ99" s="88"/>
      <c r="QXQ99" s="88"/>
      <c r="QXX99" s="88"/>
      <c r="QYE99" s="88"/>
      <c r="QYL99" s="88"/>
      <c r="QYS99" s="88"/>
      <c r="QYZ99" s="88"/>
      <c r="QZG99" s="88"/>
      <c r="QZN99" s="88"/>
      <c r="QZU99" s="88"/>
      <c r="RAB99" s="88"/>
      <c r="RAI99" s="88"/>
      <c r="RAP99" s="88"/>
      <c r="RAW99" s="88"/>
      <c r="RBD99" s="88"/>
      <c r="RBK99" s="88"/>
      <c r="RBR99" s="88"/>
      <c r="RBY99" s="88"/>
      <c r="RCF99" s="88"/>
      <c r="RCM99" s="88"/>
      <c r="RCT99" s="88"/>
      <c r="RDA99" s="88"/>
      <c r="RDH99" s="88"/>
      <c r="RDO99" s="88"/>
      <c r="RDV99" s="88"/>
      <c r="REC99" s="88"/>
      <c r="REJ99" s="88"/>
      <c r="REQ99" s="88"/>
      <c r="REX99" s="88"/>
      <c r="RFE99" s="88"/>
      <c r="RFL99" s="88"/>
      <c r="RFS99" s="88"/>
      <c r="RFZ99" s="88"/>
      <c r="RGG99" s="88"/>
      <c r="RGN99" s="88"/>
      <c r="RGU99" s="88"/>
      <c r="RHB99" s="88"/>
      <c r="RHI99" s="88"/>
      <c r="RHP99" s="88"/>
      <c r="RHW99" s="88"/>
      <c r="RID99" s="88"/>
      <c r="RIK99" s="88"/>
      <c r="RIR99" s="88"/>
      <c r="RIY99" s="88"/>
      <c r="RJF99" s="88"/>
      <c r="RJM99" s="88"/>
      <c r="RJT99" s="88"/>
      <c r="RKA99" s="88"/>
      <c r="RKH99" s="88"/>
      <c r="RKO99" s="88"/>
      <c r="RKV99" s="88"/>
      <c r="RLC99" s="88"/>
      <c r="RLJ99" s="88"/>
      <c r="RLQ99" s="88"/>
      <c r="RLX99" s="88"/>
      <c r="RME99" s="88"/>
      <c r="RML99" s="88"/>
      <c r="RMS99" s="88"/>
      <c r="RMZ99" s="88"/>
      <c r="RNG99" s="88"/>
      <c r="RNN99" s="88"/>
      <c r="RNU99" s="88"/>
      <c r="ROB99" s="88"/>
      <c r="ROI99" s="88"/>
      <c r="ROP99" s="88"/>
      <c r="ROW99" s="88"/>
      <c r="RPD99" s="88"/>
      <c r="RPK99" s="88"/>
      <c r="RPR99" s="88"/>
      <c r="RPY99" s="88"/>
      <c r="RQF99" s="88"/>
      <c r="RQM99" s="88"/>
      <c r="RQT99" s="88"/>
      <c r="RRA99" s="88"/>
      <c r="RRH99" s="88"/>
      <c r="RRO99" s="88"/>
      <c r="RRV99" s="88"/>
      <c r="RSC99" s="88"/>
      <c r="RSJ99" s="88"/>
      <c r="RSQ99" s="88"/>
      <c r="RSX99" s="88"/>
      <c r="RTE99" s="88"/>
      <c r="RTL99" s="88"/>
      <c r="RTS99" s="88"/>
      <c r="RTZ99" s="88"/>
      <c r="RUG99" s="88"/>
      <c r="RUN99" s="88"/>
      <c r="RUU99" s="88"/>
      <c r="RVB99" s="88"/>
      <c r="RVI99" s="88"/>
      <c r="RVP99" s="88"/>
      <c r="RVW99" s="88"/>
      <c r="RWD99" s="88"/>
      <c r="RWK99" s="88"/>
      <c r="RWR99" s="88"/>
      <c r="RWY99" s="88"/>
      <c r="RXF99" s="88"/>
      <c r="RXM99" s="88"/>
      <c r="RXT99" s="88"/>
      <c r="RYA99" s="88"/>
      <c r="RYH99" s="88"/>
      <c r="RYO99" s="88"/>
      <c r="RYV99" s="88"/>
      <c r="RZC99" s="88"/>
      <c r="RZJ99" s="88"/>
      <c r="RZQ99" s="88"/>
      <c r="RZX99" s="88"/>
      <c r="SAE99" s="88"/>
      <c r="SAL99" s="88"/>
      <c r="SAS99" s="88"/>
      <c r="SAZ99" s="88"/>
      <c r="SBG99" s="88"/>
      <c r="SBN99" s="88"/>
      <c r="SBU99" s="88"/>
      <c r="SCB99" s="88"/>
      <c r="SCI99" s="88"/>
      <c r="SCP99" s="88"/>
      <c r="SCW99" s="88"/>
      <c r="SDD99" s="88"/>
      <c r="SDK99" s="88"/>
      <c r="SDR99" s="88"/>
      <c r="SDY99" s="88"/>
      <c r="SEF99" s="88"/>
      <c r="SEM99" s="88"/>
      <c r="SET99" s="88"/>
      <c r="SFA99" s="88"/>
      <c r="SFH99" s="88"/>
      <c r="SFO99" s="88"/>
      <c r="SFV99" s="88"/>
      <c r="SGC99" s="88"/>
      <c r="SGJ99" s="88"/>
      <c r="SGQ99" s="88"/>
      <c r="SGX99" s="88"/>
      <c r="SHE99" s="88"/>
      <c r="SHL99" s="88"/>
      <c r="SHS99" s="88"/>
      <c r="SHZ99" s="88"/>
      <c r="SIG99" s="88"/>
      <c r="SIN99" s="88"/>
      <c r="SIU99" s="88"/>
      <c r="SJB99" s="88"/>
      <c r="SJI99" s="88"/>
      <c r="SJP99" s="88"/>
      <c r="SJW99" s="88"/>
      <c r="SKD99" s="88"/>
      <c r="SKK99" s="88"/>
      <c r="SKR99" s="88"/>
      <c r="SKY99" s="88"/>
      <c r="SLF99" s="88"/>
      <c r="SLM99" s="88"/>
      <c r="SLT99" s="88"/>
      <c r="SMA99" s="88"/>
      <c r="SMH99" s="88"/>
      <c r="SMO99" s="88"/>
      <c r="SMV99" s="88"/>
      <c r="SNC99" s="88"/>
      <c r="SNJ99" s="88"/>
      <c r="SNQ99" s="88"/>
      <c r="SNX99" s="88"/>
      <c r="SOE99" s="88"/>
      <c r="SOL99" s="88"/>
      <c r="SOS99" s="88"/>
      <c r="SOZ99" s="88"/>
      <c r="SPG99" s="88"/>
      <c r="SPN99" s="88"/>
      <c r="SPU99" s="88"/>
      <c r="SQB99" s="88"/>
      <c r="SQI99" s="88"/>
      <c r="SQP99" s="88"/>
      <c r="SQW99" s="88"/>
      <c r="SRD99" s="88"/>
      <c r="SRK99" s="88"/>
      <c r="SRR99" s="88"/>
      <c r="SRY99" s="88"/>
      <c r="SSF99" s="88"/>
      <c r="SSM99" s="88"/>
      <c r="SST99" s="88"/>
      <c r="STA99" s="88"/>
      <c r="STH99" s="88"/>
      <c r="STO99" s="88"/>
      <c r="STV99" s="88"/>
      <c r="SUC99" s="88"/>
      <c r="SUJ99" s="88"/>
      <c r="SUQ99" s="88"/>
      <c r="SUX99" s="88"/>
      <c r="SVE99" s="88"/>
      <c r="SVL99" s="88"/>
      <c r="SVS99" s="88"/>
      <c r="SVZ99" s="88"/>
      <c r="SWG99" s="88"/>
      <c r="SWN99" s="88"/>
      <c r="SWU99" s="88"/>
      <c r="SXB99" s="88"/>
      <c r="SXI99" s="88"/>
      <c r="SXP99" s="88"/>
      <c r="SXW99" s="88"/>
      <c r="SYD99" s="88"/>
      <c r="SYK99" s="88"/>
      <c r="SYR99" s="88"/>
      <c r="SYY99" s="88"/>
      <c r="SZF99" s="88"/>
      <c r="SZM99" s="88"/>
      <c r="SZT99" s="88"/>
      <c r="TAA99" s="88"/>
      <c r="TAH99" s="88"/>
      <c r="TAO99" s="88"/>
      <c r="TAV99" s="88"/>
      <c r="TBC99" s="88"/>
      <c r="TBJ99" s="88"/>
      <c r="TBQ99" s="88"/>
      <c r="TBX99" s="88"/>
      <c r="TCE99" s="88"/>
      <c r="TCL99" s="88"/>
      <c r="TCS99" s="88"/>
      <c r="TCZ99" s="88"/>
      <c r="TDG99" s="88"/>
      <c r="TDN99" s="88"/>
      <c r="TDU99" s="88"/>
      <c r="TEB99" s="88"/>
      <c r="TEI99" s="88"/>
      <c r="TEP99" s="88"/>
      <c r="TEW99" s="88"/>
      <c r="TFD99" s="88"/>
      <c r="TFK99" s="88"/>
      <c r="TFR99" s="88"/>
      <c r="TFY99" s="88"/>
      <c r="TGF99" s="88"/>
      <c r="TGM99" s="88"/>
      <c r="TGT99" s="88"/>
      <c r="THA99" s="88"/>
      <c r="THH99" s="88"/>
      <c r="THO99" s="88"/>
      <c r="THV99" s="88"/>
      <c r="TIC99" s="88"/>
      <c r="TIJ99" s="88"/>
      <c r="TIQ99" s="88"/>
      <c r="TIX99" s="88"/>
      <c r="TJE99" s="88"/>
      <c r="TJL99" s="88"/>
      <c r="TJS99" s="88"/>
      <c r="TJZ99" s="88"/>
      <c r="TKG99" s="88"/>
      <c r="TKN99" s="88"/>
      <c r="TKU99" s="88"/>
      <c r="TLB99" s="88"/>
      <c r="TLI99" s="88"/>
      <c r="TLP99" s="88"/>
      <c r="TLW99" s="88"/>
      <c r="TMD99" s="88"/>
      <c r="TMK99" s="88"/>
      <c r="TMR99" s="88"/>
      <c r="TMY99" s="88"/>
      <c r="TNF99" s="88"/>
      <c r="TNM99" s="88"/>
      <c r="TNT99" s="88"/>
      <c r="TOA99" s="88"/>
      <c r="TOH99" s="88"/>
      <c r="TOO99" s="88"/>
      <c r="TOV99" s="88"/>
      <c r="TPC99" s="88"/>
      <c r="TPJ99" s="88"/>
      <c r="TPQ99" s="88"/>
      <c r="TPX99" s="88"/>
      <c r="TQE99" s="88"/>
      <c r="TQL99" s="88"/>
      <c r="TQS99" s="88"/>
      <c r="TQZ99" s="88"/>
      <c r="TRG99" s="88"/>
      <c r="TRN99" s="88"/>
      <c r="TRU99" s="88"/>
      <c r="TSB99" s="88"/>
      <c r="TSI99" s="88"/>
      <c r="TSP99" s="88"/>
      <c r="TSW99" s="88"/>
      <c r="TTD99" s="88"/>
      <c r="TTK99" s="88"/>
      <c r="TTR99" s="88"/>
      <c r="TTY99" s="88"/>
      <c r="TUF99" s="88"/>
      <c r="TUM99" s="88"/>
      <c r="TUT99" s="88"/>
      <c r="TVA99" s="88"/>
      <c r="TVH99" s="88"/>
      <c r="TVO99" s="88"/>
      <c r="TVV99" s="88"/>
      <c r="TWC99" s="88"/>
      <c r="TWJ99" s="88"/>
      <c r="TWQ99" s="88"/>
      <c r="TWX99" s="88"/>
      <c r="TXE99" s="88"/>
      <c r="TXL99" s="88"/>
      <c r="TXS99" s="88"/>
      <c r="TXZ99" s="88"/>
      <c r="TYG99" s="88"/>
      <c r="TYN99" s="88"/>
      <c r="TYU99" s="88"/>
      <c r="TZB99" s="88"/>
      <c r="TZI99" s="88"/>
      <c r="TZP99" s="88"/>
      <c r="TZW99" s="88"/>
      <c r="UAD99" s="88"/>
      <c r="UAK99" s="88"/>
      <c r="UAR99" s="88"/>
      <c r="UAY99" s="88"/>
      <c r="UBF99" s="88"/>
      <c r="UBM99" s="88"/>
      <c r="UBT99" s="88"/>
      <c r="UCA99" s="88"/>
      <c r="UCH99" s="88"/>
      <c r="UCO99" s="88"/>
      <c r="UCV99" s="88"/>
      <c r="UDC99" s="88"/>
      <c r="UDJ99" s="88"/>
      <c r="UDQ99" s="88"/>
      <c r="UDX99" s="88"/>
      <c r="UEE99" s="88"/>
      <c r="UEL99" s="88"/>
      <c r="UES99" s="88"/>
      <c r="UEZ99" s="88"/>
      <c r="UFG99" s="88"/>
      <c r="UFN99" s="88"/>
      <c r="UFU99" s="88"/>
      <c r="UGB99" s="88"/>
      <c r="UGI99" s="88"/>
      <c r="UGP99" s="88"/>
      <c r="UGW99" s="88"/>
      <c r="UHD99" s="88"/>
      <c r="UHK99" s="88"/>
      <c r="UHR99" s="88"/>
      <c r="UHY99" s="88"/>
      <c r="UIF99" s="88"/>
      <c r="UIM99" s="88"/>
      <c r="UIT99" s="88"/>
      <c r="UJA99" s="88"/>
      <c r="UJH99" s="88"/>
      <c r="UJO99" s="88"/>
      <c r="UJV99" s="88"/>
      <c r="UKC99" s="88"/>
      <c r="UKJ99" s="88"/>
      <c r="UKQ99" s="88"/>
      <c r="UKX99" s="88"/>
      <c r="ULE99" s="88"/>
      <c r="ULL99" s="88"/>
      <c r="ULS99" s="88"/>
      <c r="ULZ99" s="88"/>
      <c r="UMG99" s="88"/>
      <c r="UMN99" s="88"/>
      <c r="UMU99" s="88"/>
      <c r="UNB99" s="88"/>
      <c r="UNI99" s="88"/>
      <c r="UNP99" s="88"/>
      <c r="UNW99" s="88"/>
      <c r="UOD99" s="88"/>
      <c r="UOK99" s="88"/>
      <c r="UOR99" s="88"/>
      <c r="UOY99" s="88"/>
      <c r="UPF99" s="88"/>
      <c r="UPM99" s="88"/>
      <c r="UPT99" s="88"/>
      <c r="UQA99" s="88"/>
      <c r="UQH99" s="88"/>
      <c r="UQO99" s="88"/>
      <c r="UQV99" s="88"/>
      <c r="URC99" s="88"/>
      <c r="URJ99" s="88"/>
      <c r="URQ99" s="88"/>
      <c r="URX99" s="88"/>
      <c r="USE99" s="88"/>
      <c r="USL99" s="88"/>
      <c r="USS99" s="88"/>
      <c r="USZ99" s="88"/>
      <c r="UTG99" s="88"/>
      <c r="UTN99" s="88"/>
      <c r="UTU99" s="88"/>
      <c r="UUB99" s="88"/>
      <c r="UUI99" s="88"/>
      <c r="UUP99" s="88"/>
      <c r="UUW99" s="88"/>
      <c r="UVD99" s="88"/>
      <c r="UVK99" s="88"/>
      <c r="UVR99" s="88"/>
      <c r="UVY99" s="88"/>
      <c r="UWF99" s="88"/>
      <c r="UWM99" s="88"/>
      <c r="UWT99" s="88"/>
      <c r="UXA99" s="88"/>
      <c r="UXH99" s="88"/>
      <c r="UXO99" s="88"/>
      <c r="UXV99" s="88"/>
      <c r="UYC99" s="88"/>
      <c r="UYJ99" s="88"/>
      <c r="UYQ99" s="88"/>
      <c r="UYX99" s="88"/>
      <c r="UZE99" s="88"/>
      <c r="UZL99" s="88"/>
      <c r="UZS99" s="88"/>
      <c r="UZZ99" s="88"/>
      <c r="VAG99" s="88"/>
      <c r="VAN99" s="88"/>
      <c r="VAU99" s="88"/>
      <c r="VBB99" s="88"/>
      <c r="VBI99" s="88"/>
      <c r="VBP99" s="88"/>
      <c r="VBW99" s="88"/>
      <c r="VCD99" s="88"/>
      <c r="VCK99" s="88"/>
      <c r="VCR99" s="88"/>
      <c r="VCY99" s="88"/>
      <c r="VDF99" s="88"/>
      <c r="VDM99" s="88"/>
      <c r="VDT99" s="88"/>
      <c r="VEA99" s="88"/>
      <c r="VEH99" s="88"/>
      <c r="VEO99" s="88"/>
      <c r="VEV99" s="88"/>
      <c r="VFC99" s="88"/>
      <c r="VFJ99" s="88"/>
      <c r="VFQ99" s="88"/>
      <c r="VFX99" s="88"/>
      <c r="VGE99" s="88"/>
      <c r="VGL99" s="88"/>
      <c r="VGS99" s="88"/>
      <c r="VGZ99" s="88"/>
      <c r="VHG99" s="88"/>
      <c r="VHN99" s="88"/>
      <c r="VHU99" s="88"/>
      <c r="VIB99" s="88"/>
      <c r="VII99" s="88"/>
      <c r="VIP99" s="88"/>
      <c r="VIW99" s="88"/>
      <c r="VJD99" s="88"/>
      <c r="VJK99" s="88"/>
      <c r="VJR99" s="88"/>
      <c r="VJY99" s="88"/>
      <c r="VKF99" s="88"/>
      <c r="VKM99" s="88"/>
      <c r="VKT99" s="88"/>
      <c r="VLA99" s="88"/>
      <c r="VLH99" s="88"/>
      <c r="VLO99" s="88"/>
      <c r="VLV99" s="88"/>
      <c r="VMC99" s="88"/>
      <c r="VMJ99" s="88"/>
      <c r="VMQ99" s="88"/>
      <c r="VMX99" s="88"/>
      <c r="VNE99" s="88"/>
      <c r="VNL99" s="88"/>
      <c r="VNS99" s="88"/>
      <c r="VNZ99" s="88"/>
      <c r="VOG99" s="88"/>
      <c r="VON99" s="88"/>
      <c r="VOU99" s="88"/>
      <c r="VPB99" s="88"/>
      <c r="VPI99" s="88"/>
      <c r="VPP99" s="88"/>
      <c r="VPW99" s="88"/>
      <c r="VQD99" s="88"/>
      <c r="VQK99" s="88"/>
      <c r="VQR99" s="88"/>
      <c r="VQY99" s="88"/>
      <c r="VRF99" s="88"/>
      <c r="VRM99" s="88"/>
      <c r="VRT99" s="88"/>
      <c r="VSA99" s="88"/>
      <c r="VSH99" s="88"/>
      <c r="VSO99" s="88"/>
      <c r="VSV99" s="88"/>
      <c r="VTC99" s="88"/>
      <c r="VTJ99" s="88"/>
      <c r="VTQ99" s="88"/>
      <c r="VTX99" s="88"/>
      <c r="VUE99" s="88"/>
      <c r="VUL99" s="88"/>
      <c r="VUS99" s="88"/>
      <c r="VUZ99" s="88"/>
      <c r="VVG99" s="88"/>
      <c r="VVN99" s="88"/>
      <c r="VVU99" s="88"/>
      <c r="VWB99" s="88"/>
      <c r="VWI99" s="88"/>
      <c r="VWP99" s="88"/>
      <c r="VWW99" s="88"/>
      <c r="VXD99" s="88"/>
      <c r="VXK99" s="88"/>
      <c r="VXR99" s="88"/>
      <c r="VXY99" s="88"/>
      <c r="VYF99" s="88"/>
      <c r="VYM99" s="88"/>
      <c r="VYT99" s="88"/>
      <c r="VZA99" s="88"/>
      <c r="VZH99" s="88"/>
      <c r="VZO99" s="88"/>
      <c r="VZV99" s="88"/>
      <c r="WAC99" s="88"/>
      <c r="WAJ99" s="88"/>
      <c r="WAQ99" s="88"/>
      <c r="WAX99" s="88"/>
      <c r="WBE99" s="88"/>
      <c r="WBL99" s="88"/>
      <c r="WBS99" s="88"/>
      <c r="WBZ99" s="88"/>
      <c r="WCG99" s="88"/>
      <c r="WCN99" s="88"/>
      <c r="WCU99" s="88"/>
      <c r="WDB99" s="88"/>
      <c r="WDI99" s="88"/>
      <c r="WDP99" s="88"/>
      <c r="WDW99" s="88"/>
      <c r="WED99" s="88"/>
      <c r="WEK99" s="88"/>
      <c r="WER99" s="88"/>
      <c r="WEY99" s="88"/>
      <c r="WFF99" s="88"/>
      <c r="WFM99" s="88"/>
      <c r="WFT99" s="88"/>
      <c r="WGA99" s="88"/>
      <c r="WGH99" s="88"/>
      <c r="WGO99" s="88"/>
      <c r="WGV99" s="88"/>
      <c r="WHC99" s="88"/>
      <c r="WHJ99" s="88"/>
      <c r="WHQ99" s="88"/>
      <c r="WHX99" s="88"/>
      <c r="WIE99" s="88"/>
      <c r="WIL99" s="88"/>
      <c r="WIS99" s="88"/>
      <c r="WIZ99" s="88"/>
      <c r="WJG99" s="88"/>
      <c r="WJN99" s="88"/>
      <c r="WJU99" s="88"/>
      <c r="WKB99" s="88"/>
      <c r="WKI99" s="88"/>
      <c r="WKP99" s="88"/>
      <c r="WKW99" s="88"/>
      <c r="WLD99" s="88"/>
      <c r="WLK99" s="88"/>
      <c r="WLR99" s="88"/>
      <c r="WLY99" s="88"/>
      <c r="WMF99" s="88"/>
      <c r="WMM99" s="88"/>
      <c r="WMT99" s="88"/>
      <c r="WNA99" s="88"/>
      <c r="WNH99" s="88"/>
      <c r="WNO99" s="88"/>
      <c r="WNV99" s="88"/>
      <c r="WOC99" s="88"/>
      <c r="WOJ99" s="88"/>
      <c r="WOQ99" s="88"/>
      <c r="WOX99" s="88"/>
      <c r="WPE99" s="88"/>
      <c r="WPL99" s="88"/>
      <c r="WPS99" s="88"/>
      <c r="WPZ99" s="88"/>
      <c r="WQG99" s="88"/>
      <c r="WQN99" s="88"/>
      <c r="WQU99" s="88"/>
      <c r="WRB99" s="88"/>
      <c r="WRI99" s="88"/>
      <c r="WRP99" s="88"/>
      <c r="WRW99" s="88"/>
      <c r="WSD99" s="88"/>
      <c r="WSK99" s="88"/>
      <c r="WSR99" s="88"/>
      <c r="WSY99" s="88"/>
      <c r="WTF99" s="88"/>
      <c r="WTM99" s="88"/>
      <c r="WTT99" s="88"/>
      <c r="WUA99" s="88"/>
      <c r="WUH99" s="88"/>
      <c r="WUO99" s="88"/>
      <c r="WUV99" s="88"/>
      <c r="WVC99" s="88"/>
      <c r="WVJ99" s="88"/>
      <c r="WVQ99" s="88"/>
      <c r="WVX99" s="88"/>
      <c r="WWE99" s="88"/>
      <c r="WWL99" s="88"/>
      <c r="WWS99" s="88"/>
      <c r="WWZ99" s="88"/>
      <c r="WXG99" s="88"/>
      <c r="WXN99" s="88"/>
      <c r="WXU99" s="88"/>
      <c r="WYB99" s="88"/>
      <c r="WYI99" s="88"/>
      <c r="WYP99" s="88"/>
      <c r="WYW99" s="88"/>
      <c r="WZD99" s="88"/>
      <c r="WZK99" s="88"/>
      <c r="WZR99" s="88"/>
      <c r="WZY99" s="88"/>
      <c r="XAF99" s="88"/>
      <c r="XAM99" s="88"/>
      <c r="XAT99" s="88"/>
      <c r="XBA99" s="88"/>
      <c r="XBH99" s="88"/>
      <c r="XBO99" s="88"/>
      <c r="XBV99" s="88"/>
      <c r="XCC99" s="88"/>
      <c r="XCJ99" s="88"/>
      <c r="XCQ99" s="88"/>
      <c r="XCX99" s="88"/>
      <c r="XDE99" s="88"/>
      <c r="XDL99" s="88"/>
      <c r="XDS99" s="88"/>
      <c r="XDZ99" s="88"/>
      <c r="XEG99" s="88"/>
      <c r="XEN99" s="88"/>
      <c r="XEU99" s="88"/>
      <c r="XFB99" s="88"/>
    </row>
    <row r="100" spans="1:1024 1031:2046 2053:3068 3075:4090 4097:5119 5126:6141 6148:7163 7170:8192 8199:9214 9221:10236 10243:11258 11265:12287 12294:13309 13316:14331 14338:15360 15367:16382" s="92" customFormat="1" ht="17.25" customHeight="1" x14ac:dyDescent="0.3">
      <c r="A100" s="88" t="s">
        <v>1038</v>
      </c>
      <c r="B100" s="92">
        <v>0</v>
      </c>
      <c r="C100" s="92">
        <v>1</v>
      </c>
      <c r="D100" s="92">
        <v>0</v>
      </c>
      <c r="E100" s="92">
        <v>0</v>
      </c>
      <c r="F100" s="92">
        <v>0</v>
      </c>
      <c r="G100" s="92">
        <v>0</v>
      </c>
      <c r="H100" s="92">
        <v>1</v>
      </c>
      <c r="I100" s="88"/>
      <c r="J100" s="91"/>
      <c r="P100" s="88"/>
      <c r="W100" s="88"/>
      <c r="AD100" s="88"/>
      <c r="AK100" s="88"/>
      <c r="AR100" s="88"/>
      <c r="AY100" s="88"/>
      <c r="BF100" s="88"/>
      <c r="BM100" s="88"/>
      <c r="BT100" s="88"/>
      <c r="CA100" s="88"/>
      <c r="CH100" s="88"/>
      <c r="CO100" s="88"/>
      <c r="CV100" s="88"/>
      <c r="DC100" s="88"/>
      <c r="DJ100" s="88"/>
      <c r="DQ100" s="88"/>
      <c r="DX100" s="88"/>
      <c r="EE100" s="88"/>
      <c r="EL100" s="88"/>
      <c r="ES100" s="88"/>
      <c r="EZ100" s="88"/>
      <c r="FG100" s="88"/>
      <c r="FN100" s="88"/>
      <c r="FU100" s="88"/>
      <c r="GB100" s="88"/>
      <c r="GI100" s="88"/>
      <c r="GP100" s="88"/>
      <c r="GW100" s="88"/>
      <c r="HD100" s="88"/>
      <c r="HK100" s="88"/>
      <c r="HR100" s="88"/>
      <c r="HY100" s="88"/>
      <c r="IF100" s="88"/>
      <c r="IM100" s="88"/>
      <c r="IT100" s="88"/>
      <c r="JA100" s="88"/>
      <c r="JH100" s="88"/>
      <c r="JO100" s="88"/>
      <c r="JV100" s="88"/>
      <c r="KC100" s="88"/>
      <c r="KJ100" s="88"/>
      <c r="KQ100" s="88"/>
      <c r="KX100" s="88"/>
      <c r="LE100" s="88"/>
      <c r="LL100" s="88"/>
      <c r="LS100" s="88"/>
      <c r="LZ100" s="88"/>
      <c r="MG100" s="88"/>
      <c r="MN100" s="88"/>
      <c r="MU100" s="88"/>
      <c r="NB100" s="88"/>
      <c r="NI100" s="88"/>
      <c r="NP100" s="88"/>
      <c r="NW100" s="88"/>
      <c r="OD100" s="88"/>
      <c r="OK100" s="88"/>
      <c r="OR100" s="88"/>
      <c r="OY100" s="88"/>
      <c r="PF100" s="88"/>
      <c r="PM100" s="88"/>
      <c r="PT100" s="88"/>
      <c r="QA100" s="88"/>
      <c r="QH100" s="88"/>
      <c r="QO100" s="88"/>
      <c r="QV100" s="88"/>
      <c r="RC100" s="88"/>
      <c r="RJ100" s="88"/>
      <c r="RQ100" s="88"/>
      <c r="RX100" s="88"/>
      <c r="SE100" s="88"/>
      <c r="SL100" s="88"/>
      <c r="SS100" s="88"/>
      <c r="SZ100" s="88"/>
      <c r="TG100" s="88"/>
      <c r="TN100" s="88"/>
      <c r="TU100" s="88"/>
      <c r="UB100" s="88"/>
      <c r="UI100" s="88"/>
      <c r="UP100" s="88"/>
      <c r="UW100" s="88"/>
      <c r="VD100" s="88"/>
      <c r="VK100" s="88"/>
      <c r="VR100" s="88"/>
      <c r="VY100" s="88"/>
      <c r="WF100" s="88"/>
      <c r="WM100" s="88"/>
      <c r="WT100" s="88"/>
      <c r="XA100" s="88"/>
      <c r="XH100" s="88"/>
      <c r="XO100" s="88"/>
      <c r="XV100" s="88"/>
      <c r="YC100" s="88"/>
      <c r="YJ100" s="88"/>
      <c r="YQ100" s="88"/>
      <c r="YX100" s="88"/>
      <c r="ZE100" s="88"/>
      <c r="ZL100" s="88"/>
      <c r="ZS100" s="88"/>
      <c r="ZZ100" s="88"/>
      <c r="AAG100" s="88"/>
      <c r="AAN100" s="88"/>
      <c r="AAU100" s="88"/>
      <c r="ABB100" s="88"/>
      <c r="ABI100" s="88"/>
      <c r="ABP100" s="88"/>
      <c r="ABW100" s="88"/>
      <c r="ACD100" s="88"/>
      <c r="ACK100" s="88"/>
      <c r="ACR100" s="88"/>
      <c r="ACY100" s="88"/>
      <c r="ADF100" s="88"/>
      <c r="ADM100" s="88"/>
      <c r="ADT100" s="88"/>
      <c r="AEA100" s="88"/>
      <c r="AEH100" s="88"/>
      <c r="AEO100" s="88"/>
      <c r="AEV100" s="88"/>
      <c r="AFC100" s="88"/>
      <c r="AFJ100" s="88"/>
      <c r="AFQ100" s="88"/>
      <c r="AFX100" s="88"/>
      <c r="AGE100" s="88"/>
      <c r="AGL100" s="88"/>
      <c r="AGS100" s="88"/>
      <c r="AGZ100" s="88"/>
      <c r="AHG100" s="88"/>
      <c r="AHN100" s="88"/>
      <c r="AHU100" s="88"/>
      <c r="AIB100" s="88"/>
      <c r="AII100" s="88"/>
      <c r="AIP100" s="88"/>
      <c r="AIW100" s="88"/>
      <c r="AJD100" s="88"/>
      <c r="AJK100" s="88"/>
      <c r="AJR100" s="88"/>
      <c r="AJY100" s="88"/>
      <c r="AKF100" s="88"/>
      <c r="AKM100" s="88"/>
      <c r="AKT100" s="88"/>
      <c r="ALA100" s="88"/>
      <c r="ALH100" s="88"/>
      <c r="ALO100" s="88"/>
      <c r="ALV100" s="88"/>
      <c r="AMC100" s="88"/>
      <c r="AMJ100" s="88"/>
      <c r="AMQ100" s="88"/>
      <c r="AMX100" s="88"/>
      <c r="ANE100" s="88"/>
      <c r="ANL100" s="88"/>
      <c r="ANS100" s="88"/>
      <c r="ANZ100" s="88"/>
      <c r="AOG100" s="88"/>
      <c r="AON100" s="88"/>
      <c r="AOU100" s="88"/>
      <c r="APB100" s="88"/>
      <c r="API100" s="88"/>
      <c r="APP100" s="88"/>
      <c r="APW100" s="88"/>
      <c r="AQD100" s="88"/>
      <c r="AQK100" s="88"/>
      <c r="AQR100" s="88"/>
      <c r="AQY100" s="88"/>
      <c r="ARF100" s="88"/>
      <c r="ARM100" s="88"/>
      <c r="ART100" s="88"/>
      <c r="ASA100" s="88"/>
      <c r="ASH100" s="88"/>
      <c r="ASO100" s="88"/>
      <c r="ASV100" s="88"/>
      <c r="ATC100" s="88"/>
      <c r="ATJ100" s="88"/>
      <c r="ATQ100" s="88"/>
      <c r="ATX100" s="88"/>
      <c r="AUE100" s="88"/>
      <c r="AUL100" s="88"/>
      <c r="AUS100" s="88"/>
      <c r="AUZ100" s="88"/>
      <c r="AVG100" s="88"/>
      <c r="AVN100" s="88"/>
      <c r="AVU100" s="88"/>
      <c r="AWB100" s="88"/>
      <c r="AWI100" s="88"/>
      <c r="AWP100" s="88"/>
      <c r="AWW100" s="88"/>
      <c r="AXD100" s="88"/>
      <c r="AXK100" s="88"/>
      <c r="AXR100" s="88"/>
      <c r="AXY100" s="88"/>
      <c r="AYF100" s="88"/>
      <c r="AYM100" s="88"/>
      <c r="AYT100" s="88"/>
      <c r="AZA100" s="88"/>
      <c r="AZH100" s="88"/>
      <c r="AZO100" s="88"/>
      <c r="AZV100" s="88"/>
      <c r="BAC100" s="88"/>
      <c r="BAJ100" s="88"/>
      <c r="BAQ100" s="88"/>
      <c r="BAX100" s="88"/>
      <c r="BBE100" s="88"/>
      <c r="BBL100" s="88"/>
      <c r="BBS100" s="88"/>
      <c r="BBZ100" s="88"/>
      <c r="BCG100" s="88"/>
      <c r="BCN100" s="88"/>
      <c r="BCU100" s="88"/>
      <c r="BDB100" s="88"/>
      <c r="BDI100" s="88"/>
      <c r="BDP100" s="88"/>
      <c r="BDW100" s="88"/>
      <c r="BED100" s="88"/>
      <c r="BEK100" s="88"/>
      <c r="BER100" s="88"/>
      <c r="BEY100" s="88"/>
      <c r="BFF100" s="88"/>
      <c r="BFM100" s="88"/>
      <c r="BFT100" s="88"/>
      <c r="BGA100" s="88"/>
      <c r="BGH100" s="88"/>
      <c r="BGO100" s="88"/>
      <c r="BGV100" s="88"/>
      <c r="BHC100" s="88"/>
      <c r="BHJ100" s="88"/>
      <c r="BHQ100" s="88"/>
      <c r="BHX100" s="88"/>
      <c r="BIE100" s="88"/>
      <c r="BIL100" s="88"/>
      <c r="BIS100" s="88"/>
      <c r="BIZ100" s="88"/>
      <c r="BJG100" s="88"/>
      <c r="BJN100" s="88"/>
      <c r="BJU100" s="88"/>
      <c r="BKB100" s="88"/>
      <c r="BKI100" s="88"/>
      <c r="BKP100" s="88"/>
      <c r="BKW100" s="88"/>
      <c r="BLD100" s="88"/>
      <c r="BLK100" s="88"/>
      <c r="BLR100" s="88"/>
      <c r="BLY100" s="88"/>
      <c r="BMF100" s="88"/>
      <c r="BMM100" s="88"/>
      <c r="BMT100" s="88"/>
      <c r="BNA100" s="88"/>
      <c r="BNH100" s="88"/>
      <c r="BNO100" s="88"/>
      <c r="BNV100" s="88"/>
      <c r="BOC100" s="88"/>
      <c r="BOJ100" s="88"/>
      <c r="BOQ100" s="88"/>
      <c r="BOX100" s="88"/>
      <c r="BPE100" s="88"/>
      <c r="BPL100" s="88"/>
      <c r="BPS100" s="88"/>
      <c r="BPZ100" s="88"/>
      <c r="BQG100" s="88"/>
      <c r="BQN100" s="88"/>
      <c r="BQU100" s="88"/>
      <c r="BRB100" s="88"/>
      <c r="BRI100" s="88"/>
      <c r="BRP100" s="88"/>
      <c r="BRW100" s="88"/>
      <c r="BSD100" s="88"/>
      <c r="BSK100" s="88"/>
      <c r="BSR100" s="88"/>
      <c r="BSY100" s="88"/>
      <c r="BTF100" s="88"/>
      <c r="BTM100" s="88"/>
      <c r="BTT100" s="88"/>
      <c r="BUA100" s="88"/>
      <c r="BUH100" s="88"/>
      <c r="BUO100" s="88"/>
      <c r="BUV100" s="88"/>
      <c r="BVC100" s="88"/>
      <c r="BVJ100" s="88"/>
      <c r="BVQ100" s="88"/>
      <c r="BVX100" s="88"/>
      <c r="BWE100" s="88"/>
      <c r="BWL100" s="88"/>
      <c r="BWS100" s="88"/>
      <c r="BWZ100" s="88"/>
      <c r="BXG100" s="88"/>
      <c r="BXN100" s="88"/>
      <c r="BXU100" s="88"/>
      <c r="BYB100" s="88"/>
      <c r="BYI100" s="88"/>
      <c r="BYP100" s="88"/>
      <c r="BYW100" s="88"/>
      <c r="BZD100" s="88"/>
      <c r="BZK100" s="88"/>
      <c r="BZR100" s="88"/>
      <c r="BZY100" s="88"/>
      <c r="CAF100" s="88"/>
      <c r="CAM100" s="88"/>
      <c r="CAT100" s="88"/>
      <c r="CBA100" s="88"/>
      <c r="CBH100" s="88"/>
      <c r="CBO100" s="88"/>
      <c r="CBV100" s="88"/>
      <c r="CCC100" s="88"/>
      <c r="CCJ100" s="88"/>
      <c r="CCQ100" s="88"/>
      <c r="CCX100" s="88"/>
      <c r="CDE100" s="88"/>
      <c r="CDL100" s="88"/>
      <c r="CDS100" s="88"/>
      <c r="CDZ100" s="88"/>
      <c r="CEG100" s="88"/>
      <c r="CEN100" s="88"/>
      <c r="CEU100" s="88"/>
      <c r="CFB100" s="88"/>
      <c r="CFI100" s="88"/>
      <c r="CFP100" s="88"/>
      <c r="CFW100" s="88"/>
      <c r="CGD100" s="88"/>
      <c r="CGK100" s="88"/>
      <c r="CGR100" s="88"/>
      <c r="CGY100" s="88"/>
      <c r="CHF100" s="88"/>
      <c r="CHM100" s="88"/>
      <c r="CHT100" s="88"/>
      <c r="CIA100" s="88"/>
      <c r="CIH100" s="88"/>
      <c r="CIO100" s="88"/>
      <c r="CIV100" s="88"/>
      <c r="CJC100" s="88"/>
      <c r="CJJ100" s="88"/>
      <c r="CJQ100" s="88"/>
      <c r="CJX100" s="88"/>
      <c r="CKE100" s="88"/>
      <c r="CKL100" s="88"/>
      <c r="CKS100" s="88"/>
      <c r="CKZ100" s="88"/>
      <c r="CLG100" s="88"/>
      <c r="CLN100" s="88"/>
      <c r="CLU100" s="88"/>
      <c r="CMB100" s="88"/>
      <c r="CMI100" s="88"/>
      <c r="CMP100" s="88"/>
      <c r="CMW100" s="88"/>
      <c r="CND100" s="88"/>
      <c r="CNK100" s="88"/>
      <c r="CNR100" s="88"/>
      <c r="CNY100" s="88"/>
      <c r="COF100" s="88"/>
      <c r="COM100" s="88"/>
      <c r="COT100" s="88"/>
      <c r="CPA100" s="88"/>
      <c r="CPH100" s="88"/>
      <c r="CPO100" s="88"/>
      <c r="CPV100" s="88"/>
      <c r="CQC100" s="88"/>
      <c r="CQJ100" s="88"/>
      <c r="CQQ100" s="88"/>
      <c r="CQX100" s="88"/>
      <c r="CRE100" s="88"/>
      <c r="CRL100" s="88"/>
      <c r="CRS100" s="88"/>
      <c r="CRZ100" s="88"/>
      <c r="CSG100" s="88"/>
      <c r="CSN100" s="88"/>
      <c r="CSU100" s="88"/>
      <c r="CTB100" s="88"/>
      <c r="CTI100" s="88"/>
      <c r="CTP100" s="88"/>
      <c r="CTW100" s="88"/>
      <c r="CUD100" s="88"/>
      <c r="CUK100" s="88"/>
      <c r="CUR100" s="88"/>
      <c r="CUY100" s="88"/>
      <c r="CVF100" s="88"/>
      <c r="CVM100" s="88"/>
      <c r="CVT100" s="88"/>
      <c r="CWA100" s="88"/>
      <c r="CWH100" s="88"/>
      <c r="CWO100" s="88"/>
      <c r="CWV100" s="88"/>
      <c r="CXC100" s="88"/>
      <c r="CXJ100" s="88"/>
      <c r="CXQ100" s="88"/>
      <c r="CXX100" s="88"/>
      <c r="CYE100" s="88"/>
      <c r="CYL100" s="88"/>
      <c r="CYS100" s="88"/>
      <c r="CYZ100" s="88"/>
      <c r="CZG100" s="88"/>
      <c r="CZN100" s="88"/>
      <c r="CZU100" s="88"/>
      <c r="DAB100" s="88"/>
      <c r="DAI100" s="88"/>
      <c r="DAP100" s="88"/>
      <c r="DAW100" s="88"/>
      <c r="DBD100" s="88"/>
      <c r="DBK100" s="88"/>
      <c r="DBR100" s="88"/>
      <c r="DBY100" s="88"/>
      <c r="DCF100" s="88"/>
      <c r="DCM100" s="88"/>
      <c r="DCT100" s="88"/>
      <c r="DDA100" s="88"/>
      <c r="DDH100" s="88"/>
      <c r="DDO100" s="88"/>
      <c r="DDV100" s="88"/>
      <c r="DEC100" s="88"/>
      <c r="DEJ100" s="88"/>
      <c r="DEQ100" s="88"/>
      <c r="DEX100" s="88"/>
      <c r="DFE100" s="88"/>
      <c r="DFL100" s="88"/>
      <c r="DFS100" s="88"/>
      <c r="DFZ100" s="88"/>
      <c r="DGG100" s="88"/>
      <c r="DGN100" s="88"/>
      <c r="DGU100" s="88"/>
      <c r="DHB100" s="88"/>
      <c r="DHI100" s="88"/>
      <c r="DHP100" s="88"/>
      <c r="DHW100" s="88"/>
      <c r="DID100" s="88"/>
      <c r="DIK100" s="88"/>
      <c r="DIR100" s="88"/>
      <c r="DIY100" s="88"/>
      <c r="DJF100" s="88"/>
      <c r="DJM100" s="88"/>
      <c r="DJT100" s="88"/>
      <c r="DKA100" s="88"/>
      <c r="DKH100" s="88"/>
      <c r="DKO100" s="88"/>
      <c r="DKV100" s="88"/>
      <c r="DLC100" s="88"/>
      <c r="DLJ100" s="88"/>
      <c r="DLQ100" s="88"/>
      <c r="DLX100" s="88"/>
      <c r="DME100" s="88"/>
      <c r="DML100" s="88"/>
      <c r="DMS100" s="88"/>
      <c r="DMZ100" s="88"/>
      <c r="DNG100" s="88"/>
      <c r="DNN100" s="88"/>
      <c r="DNU100" s="88"/>
      <c r="DOB100" s="88"/>
      <c r="DOI100" s="88"/>
      <c r="DOP100" s="88"/>
      <c r="DOW100" s="88"/>
      <c r="DPD100" s="88"/>
      <c r="DPK100" s="88"/>
      <c r="DPR100" s="88"/>
      <c r="DPY100" s="88"/>
      <c r="DQF100" s="88"/>
      <c r="DQM100" s="88"/>
      <c r="DQT100" s="88"/>
      <c r="DRA100" s="88"/>
      <c r="DRH100" s="88"/>
      <c r="DRO100" s="88"/>
      <c r="DRV100" s="88"/>
      <c r="DSC100" s="88"/>
      <c r="DSJ100" s="88"/>
      <c r="DSQ100" s="88"/>
      <c r="DSX100" s="88"/>
      <c r="DTE100" s="88"/>
      <c r="DTL100" s="88"/>
      <c r="DTS100" s="88"/>
      <c r="DTZ100" s="88"/>
      <c r="DUG100" s="88"/>
      <c r="DUN100" s="88"/>
      <c r="DUU100" s="88"/>
      <c r="DVB100" s="88"/>
      <c r="DVI100" s="88"/>
      <c r="DVP100" s="88"/>
      <c r="DVW100" s="88"/>
      <c r="DWD100" s="88"/>
      <c r="DWK100" s="88"/>
      <c r="DWR100" s="88"/>
      <c r="DWY100" s="88"/>
      <c r="DXF100" s="88"/>
      <c r="DXM100" s="88"/>
      <c r="DXT100" s="88"/>
      <c r="DYA100" s="88"/>
      <c r="DYH100" s="88"/>
      <c r="DYO100" s="88"/>
      <c r="DYV100" s="88"/>
      <c r="DZC100" s="88"/>
      <c r="DZJ100" s="88"/>
      <c r="DZQ100" s="88"/>
      <c r="DZX100" s="88"/>
      <c r="EAE100" s="88"/>
      <c r="EAL100" s="88"/>
      <c r="EAS100" s="88"/>
      <c r="EAZ100" s="88"/>
      <c r="EBG100" s="88"/>
      <c r="EBN100" s="88"/>
      <c r="EBU100" s="88"/>
      <c r="ECB100" s="88"/>
      <c r="ECI100" s="88"/>
      <c r="ECP100" s="88"/>
      <c r="ECW100" s="88"/>
      <c r="EDD100" s="88"/>
      <c r="EDK100" s="88"/>
      <c r="EDR100" s="88"/>
      <c r="EDY100" s="88"/>
      <c r="EEF100" s="88"/>
      <c r="EEM100" s="88"/>
      <c r="EET100" s="88"/>
      <c r="EFA100" s="88"/>
      <c r="EFH100" s="88"/>
      <c r="EFO100" s="88"/>
      <c r="EFV100" s="88"/>
      <c r="EGC100" s="88"/>
      <c r="EGJ100" s="88"/>
      <c r="EGQ100" s="88"/>
      <c r="EGX100" s="88"/>
      <c r="EHE100" s="88"/>
      <c r="EHL100" s="88"/>
      <c r="EHS100" s="88"/>
      <c r="EHZ100" s="88"/>
      <c r="EIG100" s="88"/>
      <c r="EIN100" s="88"/>
      <c r="EIU100" s="88"/>
      <c r="EJB100" s="88"/>
      <c r="EJI100" s="88"/>
      <c r="EJP100" s="88"/>
      <c r="EJW100" s="88"/>
      <c r="EKD100" s="88"/>
      <c r="EKK100" s="88"/>
      <c r="EKR100" s="88"/>
      <c r="EKY100" s="88"/>
      <c r="ELF100" s="88"/>
      <c r="ELM100" s="88"/>
      <c r="ELT100" s="88"/>
      <c r="EMA100" s="88"/>
      <c r="EMH100" s="88"/>
      <c r="EMO100" s="88"/>
      <c r="EMV100" s="88"/>
      <c r="ENC100" s="88"/>
      <c r="ENJ100" s="88"/>
      <c r="ENQ100" s="88"/>
      <c r="ENX100" s="88"/>
      <c r="EOE100" s="88"/>
      <c r="EOL100" s="88"/>
      <c r="EOS100" s="88"/>
      <c r="EOZ100" s="88"/>
      <c r="EPG100" s="88"/>
      <c r="EPN100" s="88"/>
      <c r="EPU100" s="88"/>
      <c r="EQB100" s="88"/>
      <c r="EQI100" s="88"/>
      <c r="EQP100" s="88"/>
      <c r="EQW100" s="88"/>
      <c r="ERD100" s="88"/>
      <c r="ERK100" s="88"/>
      <c r="ERR100" s="88"/>
      <c r="ERY100" s="88"/>
      <c r="ESF100" s="88"/>
      <c r="ESM100" s="88"/>
      <c r="EST100" s="88"/>
      <c r="ETA100" s="88"/>
      <c r="ETH100" s="88"/>
      <c r="ETO100" s="88"/>
      <c r="ETV100" s="88"/>
      <c r="EUC100" s="88"/>
      <c r="EUJ100" s="88"/>
      <c r="EUQ100" s="88"/>
      <c r="EUX100" s="88"/>
      <c r="EVE100" s="88"/>
      <c r="EVL100" s="88"/>
      <c r="EVS100" s="88"/>
      <c r="EVZ100" s="88"/>
      <c r="EWG100" s="88"/>
      <c r="EWN100" s="88"/>
      <c r="EWU100" s="88"/>
      <c r="EXB100" s="88"/>
      <c r="EXI100" s="88"/>
      <c r="EXP100" s="88"/>
      <c r="EXW100" s="88"/>
      <c r="EYD100" s="88"/>
      <c r="EYK100" s="88"/>
      <c r="EYR100" s="88"/>
      <c r="EYY100" s="88"/>
      <c r="EZF100" s="88"/>
      <c r="EZM100" s="88"/>
      <c r="EZT100" s="88"/>
      <c r="FAA100" s="88"/>
      <c r="FAH100" s="88"/>
      <c r="FAO100" s="88"/>
      <c r="FAV100" s="88"/>
      <c r="FBC100" s="88"/>
      <c r="FBJ100" s="88"/>
      <c r="FBQ100" s="88"/>
      <c r="FBX100" s="88"/>
      <c r="FCE100" s="88"/>
      <c r="FCL100" s="88"/>
      <c r="FCS100" s="88"/>
      <c r="FCZ100" s="88"/>
      <c r="FDG100" s="88"/>
      <c r="FDN100" s="88"/>
      <c r="FDU100" s="88"/>
      <c r="FEB100" s="88"/>
      <c r="FEI100" s="88"/>
      <c r="FEP100" s="88"/>
      <c r="FEW100" s="88"/>
      <c r="FFD100" s="88"/>
      <c r="FFK100" s="88"/>
      <c r="FFR100" s="88"/>
      <c r="FFY100" s="88"/>
      <c r="FGF100" s="88"/>
      <c r="FGM100" s="88"/>
      <c r="FGT100" s="88"/>
      <c r="FHA100" s="88"/>
      <c r="FHH100" s="88"/>
      <c r="FHO100" s="88"/>
      <c r="FHV100" s="88"/>
      <c r="FIC100" s="88"/>
      <c r="FIJ100" s="88"/>
      <c r="FIQ100" s="88"/>
      <c r="FIX100" s="88"/>
      <c r="FJE100" s="88"/>
      <c r="FJL100" s="88"/>
      <c r="FJS100" s="88"/>
      <c r="FJZ100" s="88"/>
      <c r="FKG100" s="88"/>
      <c r="FKN100" s="88"/>
      <c r="FKU100" s="88"/>
      <c r="FLB100" s="88"/>
      <c r="FLI100" s="88"/>
      <c r="FLP100" s="88"/>
      <c r="FLW100" s="88"/>
      <c r="FMD100" s="88"/>
      <c r="FMK100" s="88"/>
      <c r="FMR100" s="88"/>
      <c r="FMY100" s="88"/>
      <c r="FNF100" s="88"/>
      <c r="FNM100" s="88"/>
      <c r="FNT100" s="88"/>
      <c r="FOA100" s="88"/>
      <c r="FOH100" s="88"/>
      <c r="FOO100" s="88"/>
      <c r="FOV100" s="88"/>
      <c r="FPC100" s="88"/>
      <c r="FPJ100" s="88"/>
      <c r="FPQ100" s="88"/>
      <c r="FPX100" s="88"/>
      <c r="FQE100" s="88"/>
      <c r="FQL100" s="88"/>
      <c r="FQS100" s="88"/>
      <c r="FQZ100" s="88"/>
      <c r="FRG100" s="88"/>
      <c r="FRN100" s="88"/>
      <c r="FRU100" s="88"/>
      <c r="FSB100" s="88"/>
      <c r="FSI100" s="88"/>
      <c r="FSP100" s="88"/>
      <c r="FSW100" s="88"/>
      <c r="FTD100" s="88"/>
      <c r="FTK100" s="88"/>
      <c r="FTR100" s="88"/>
      <c r="FTY100" s="88"/>
      <c r="FUF100" s="88"/>
      <c r="FUM100" s="88"/>
      <c r="FUT100" s="88"/>
      <c r="FVA100" s="88"/>
      <c r="FVH100" s="88"/>
      <c r="FVO100" s="88"/>
      <c r="FVV100" s="88"/>
      <c r="FWC100" s="88"/>
      <c r="FWJ100" s="88"/>
      <c r="FWQ100" s="88"/>
      <c r="FWX100" s="88"/>
      <c r="FXE100" s="88"/>
      <c r="FXL100" s="88"/>
      <c r="FXS100" s="88"/>
      <c r="FXZ100" s="88"/>
      <c r="FYG100" s="88"/>
      <c r="FYN100" s="88"/>
      <c r="FYU100" s="88"/>
      <c r="FZB100" s="88"/>
      <c r="FZI100" s="88"/>
      <c r="FZP100" s="88"/>
      <c r="FZW100" s="88"/>
      <c r="GAD100" s="88"/>
      <c r="GAK100" s="88"/>
      <c r="GAR100" s="88"/>
      <c r="GAY100" s="88"/>
      <c r="GBF100" s="88"/>
      <c r="GBM100" s="88"/>
      <c r="GBT100" s="88"/>
      <c r="GCA100" s="88"/>
      <c r="GCH100" s="88"/>
      <c r="GCO100" s="88"/>
      <c r="GCV100" s="88"/>
      <c r="GDC100" s="88"/>
      <c r="GDJ100" s="88"/>
      <c r="GDQ100" s="88"/>
      <c r="GDX100" s="88"/>
      <c r="GEE100" s="88"/>
      <c r="GEL100" s="88"/>
      <c r="GES100" s="88"/>
      <c r="GEZ100" s="88"/>
      <c r="GFG100" s="88"/>
      <c r="GFN100" s="88"/>
      <c r="GFU100" s="88"/>
      <c r="GGB100" s="88"/>
      <c r="GGI100" s="88"/>
      <c r="GGP100" s="88"/>
      <c r="GGW100" s="88"/>
      <c r="GHD100" s="88"/>
      <c r="GHK100" s="88"/>
      <c r="GHR100" s="88"/>
      <c r="GHY100" s="88"/>
      <c r="GIF100" s="88"/>
      <c r="GIM100" s="88"/>
      <c r="GIT100" s="88"/>
      <c r="GJA100" s="88"/>
      <c r="GJH100" s="88"/>
      <c r="GJO100" s="88"/>
      <c r="GJV100" s="88"/>
      <c r="GKC100" s="88"/>
      <c r="GKJ100" s="88"/>
      <c r="GKQ100" s="88"/>
      <c r="GKX100" s="88"/>
      <c r="GLE100" s="88"/>
      <c r="GLL100" s="88"/>
      <c r="GLS100" s="88"/>
      <c r="GLZ100" s="88"/>
      <c r="GMG100" s="88"/>
      <c r="GMN100" s="88"/>
      <c r="GMU100" s="88"/>
      <c r="GNB100" s="88"/>
      <c r="GNI100" s="88"/>
      <c r="GNP100" s="88"/>
      <c r="GNW100" s="88"/>
      <c r="GOD100" s="88"/>
      <c r="GOK100" s="88"/>
      <c r="GOR100" s="88"/>
      <c r="GOY100" s="88"/>
      <c r="GPF100" s="88"/>
      <c r="GPM100" s="88"/>
      <c r="GPT100" s="88"/>
      <c r="GQA100" s="88"/>
      <c r="GQH100" s="88"/>
      <c r="GQO100" s="88"/>
      <c r="GQV100" s="88"/>
      <c r="GRC100" s="88"/>
      <c r="GRJ100" s="88"/>
      <c r="GRQ100" s="88"/>
      <c r="GRX100" s="88"/>
      <c r="GSE100" s="88"/>
      <c r="GSL100" s="88"/>
      <c r="GSS100" s="88"/>
      <c r="GSZ100" s="88"/>
      <c r="GTG100" s="88"/>
      <c r="GTN100" s="88"/>
      <c r="GTU100" s="88"/>
      <c r="GUB100" s="88"/>
      <c r="GUI100" s="88"/>
      <c r="GUP100" s="88"/>
      <c r="GUW100" s="88"/>
      <c r="GVD100" s="88"/>
      <c r="GVK100" s="88"/>
      <c r="GVR100" s="88"/>
      <c r="GVY100" s="88"/>
      <c r="GWF100" s="88"/>
      <c r="GWM100" s="88"/>
      <c r="GWT100" s="88"/>
      <c r="GXA100" s="88"/>
      <c r="GXH100" s="88"/>
      <c r="GXO100" s="88"/>
      <c r="GXV100" s="88"/>
      <c r="GYC100" s="88"/>
      <c r="GYJ100" s="88"/>
      <c r="GYQ100" s="88"/>
      <c r="GYX100" s="88"/>
      <c r="GZE100" s="88"/>
      <c r="GZL100" s="88"/>
      <c r="GZS100" s="88"/>
      <c r="GZZ100" s="88"/>
      <c r="HAG100" s="88"/>
      <c r="HAN100" s="88"/>
      <c r="HAU100" s="88"/>
      <c r="HBB100" s="88"/>
      <c r="HBI100" s="88"/>
      <c r="HBP100" s="88"/>
      <c r="HBW100" s="88"/>
      <c r="HCD100" s="88"/>
      <c r="HCK100" s="88"/>
      <c r="HCR100" s="88"/>
      <c r="HCY100" s="88"/>
      <c r="HDF100" s="88"/>
      <c r="HDM100" s="88"/>
      <c r="HDT100" s="88"/>
      <c r="HEA100" s="88"/>
      <c r="HEH100" s="88"/>
      <c r="HEO100" s="88"/>
      <c r="HEV100" s="88"/>
      <c r="HFC100" s="88"/>
      <c r="HFJ100" s="88"/>
      <c r="HFQ100" s="88"/>
      <c r="HFX100" s="88"/>
      <c r="HGE100" s="88"/>
      <c r="HGL100" s="88"/>
      <c r="HGS100" s="88"/>
      <c r="HGZ100" s="88"/>
      <c r="HHG100" s="88"/>
      <c r="HHN100" s="88"/>
      <c r="HHU100" s="88"/>
      <c r="HIB100" s="88"/>
      <c r="HII100" s="88"/>
      <c r="HIP100" s="88"/>
      <c r="HIW100" s="88"/>
      <c r="HJD100" s="88"/>
      <c r="HJK100" s="88"/>
      <c r="HJR100" s="88"/>
      <c r="HJY100" s="88"/>
      <c r="HKF100" s="88"/>
      <c r="HKM100" s="88"/>
      <c r="HKT100" s="88"/>
      <c r="HLA100" s="88"/>
      <c r="HLH100" s="88"/>
      <c r="HLO100" s="88"/>
      <c r="HLV100" s="88"/>
      <c r="HMC100" s="88"/>
      <c r="HMJ100" s="88"/>
      <c r="HMQ100" s="88"/>
      <c r="HMX100" s="88"/>
      <c r="HNE100" s="88"/>
      <c r="HNL100" s="88"/>
      <c r="HNS100" s="88"/>
      <c r="HNZ100" s="88"/>
      <c r="HOG100" s="88"/>
      <c r="HON100" s="88"/>
      <c r="HOU100" s="88"/>
      <c r="HPB100" s="88"/>
      <c r="HPI100" s="88"/>
      <c r="HPP100" s="88"/>
      <c r="HPW100" s="88"/>
      <c r="HQD100" s="88"/>
      <c r="HQK100" s="88"/>
      <c r="HQR100" s="88"/>
      <c r="HQY100" s="88"/>
      <c r="HRF100" s="88"/>
      <c r="HRM100" s="88"/>
      <c r="HRT100" s="88"/>
      <c r="HSA100" s="88"/>
      <c r="HSH100" s="88"/>
      <c r="HSO100" s="88"/>
      <c r="HSV100" s="88"/>
      <c r="HTC100" s="88"/>
      <c r="HTJ100" s="88"/>
      <c r="HTQ100" s="88"/>
      <c r="HTX100" s="88"/>
      <c r="HUE100" s="88"/>
      <c r="HUL100" s="88"/>
      <c r="HUS100" s="88"/>
      <c r="HUZ100" s="88"/>
      <c r="HVG100" s="88"/>
      <c r="HVN100" s="88"/>
      <c r="HVU100" s="88"/>
      <c r="HWB100" s="88"/>
      <c r="HWI100" s="88"/>
      <c r="HWP100" s="88"/>
      <c r="HWW100" s="88"/>
      <c r="HXD100" s="88"/>
      <c r="HXK100" s="88"/>
      <c r="HXR100" s="88"/>
      <c r="HXY100" s="88"/>
      <c r="HYF100" s="88"/>
      <c r="HYM100" s="88"/>
      <c r="HYT100" s="88"/>
      <c r="HZA100" s="88"/>
      <c r="HZH100" s="88"/>
      <c r="HZO100" s="88"/>
      <c r="HZV100" s="88"/>
      <c r="IAC100" s="88"/>
      <c r="IAJ100" s="88"/>
      <c r="IAQ100" s="88"/>
      <c r="IAX100" s="88"/>
      <c r="IBE100" s="88"/>
      <c r="IBL100" s="88"/>
      <c r="IBS100" s="88"/>
      <c r="IBZ100" s="88"/>
      <c r="ICG100" s="88"/>
      <c r="ICN100" s="88"/>
      <c r="ICU100" s="88"/>
      <c r="IDB100" s="88"/>
      <c r="IDI100" s="88"/>
      <c r="IDP100" s="88"/>
      <c r="IDW100" s="88"/>
      <c r="IED100" s="88"/>
      <c r="IEK100" s="88"/>
      <c r="IER100" s="88"/>
      <c r="IEY100" s="88"/>
      <c r="IFF100" s="88"/>
      <c r="IFM100" s="88"/>
      <c r="IFT100" s="88"/>
      <c r="IGA100" s="88"/>
      <c r="IGH100" s="88"/>
      <c r="IGO100" s="88"/>
      <c r="IGV100" s="88"/>
      <c r="IHC100" s="88"/>
      <c r="IHJ100" s="88"/>
      <c r="IHQ100" s="88"/>
      <c r="IHX100" s="88"/>
      <c r="IIE100" s="88"/>
      <c r="IIL100" s="88"/>
      <c r="IIS100" s="88"/>
      <c r="IIZ100" s="88"/>
      <c r="IJG100" s="88"/>
      <c r="IJN100" s="88"/>
      <c r="IJU100" s="88"/>
      <c r="IKB100" s="88"/>
      <c r="IKI100" s="88"/>
      <c r="IKP100" s="88"/>
      <c r="IKW100" s="88"/>
      <c r="ILD100" s="88"/>
      <c r="ILK100" s="88"/>
      <c r="ILR100" s="88"/>
      <c r="ILY100" s="88"/>
      <c r="IMF100" s="88"/>
      <c r="IMM100" s="88"/>
      <c r="IMT100" s="88"/>
      <c r="INA100" s="88"/>
      <c r="INH100" s="88"/>
      <c r="INO100" s="88"/>
      <c r="INV100" s="88"/>
      <c r="IOC100" s="88"/>
      <c r="IOJ100" s="88"/>
      <c r="IOQ100" s="88"/>
      <c r="IOX100" s="88"/>
      <c r="IPE100" s="88"/>
      <c r="IPL100" s="88"/>
      <c r="IPS100" s="88"/>
      <c r="IPZ100" s="88"/>
      <c r="IQG100" s="88"/>
      <c r="IQN100" s="88"/>
      <c r="IQU100" s="88"/>
      <c r="IRB100" s="88"/>
      <c r="IRI100" s="88"/>
      <c r="IRP100" s="88"/>
      <c r="IRW100" s="88"/>
      <c r="ISD100" s="88"/>
      <c r="ISK100" s="88"/>
      <c r="ISR100" s="88"/>
      <c r="ISY100" s="88"/>
      <c r="ITF100" s="88"/>
      <c r="ITM100" s="88"/>
      <c r="ITT100" s="88"/>
      <c r="IUA100" s="88"/>
      <c r="IUH100" s="88"/>
      <c r="IUO100" s="88"/>
      <c r="IUV100" s="88"/>
      <c r="IVC100" s="88"/>
      <c r="IVJ100" s="88"/>
      <c r="IVQ100" s="88"/>
      <c r="IVX100" s="88"/>
      <c r="IWE100" s="88"/>
      <c r="IWL100" s="88"/>
      <c r="IWS100" s="88"/>
      <c r="IWZ100" s="88"/>
      <c r="IXG100" s="88"/>
      <c r="IXN100" s="88"/>
      <c r="IXU100" s="88"/>
      <c r="IYB100" s="88"/>
      <c r="IYI100" s="88"/>
      <c r="IYP100" s="88"/>
      <c r="IYW100" s="88"/>
      <c r="IZD100" s="88"/>
      <c r="IZK100" s="88"/>
      <c r="IZR100" s="88"/>
      <c r="IZY100" s="88"/>
      <c r="JAF100" s="88"/>
      <c r="JAM100" s="88"/>
      <c r="JAT100" s="88"/>
      <c r="JBA100" s="88"/>
      <c r="JBH100" s="88"/>
      <c r="JBO100" s="88"/>
      <c r="JBV100" s="88"/>
      <c r="JCC100" s="88"/>
      <c r="JCJ100" s="88"/>
      <c r="JCQ100" s="88"/>
      <c r="JCX100" s="88"/>
      <c r="JDE100" s="88"/>
      <c r="JDL100" s="88"/>
      <c r="JDS100" s="88"/>
      <c r="JDZ100" s="88"/>
      <c r="JEG100" s="88"/>
      <c r="JEN100" s="88"/>
      <c r="JEU100" s="88"/>
      <c r="JFB100" s="88"/>
      <c r="JFI100" s="88"/>
      <c r="JFP100" s="88"/>
      <c r="JFW100" s="88"/>
      <c r="JGD100" s="88"/>
      <c r="JGK100" s="88"/>
      <c r="JGR100" s="88"/>
      <c r="JGY100" s="88"/>
      <c r="JHF100" s="88"/>
      <c r="JHM100" s="88"/>
      <c r="JHT100" s="88"/>
      <c r="JIA100" s="88"/>
      <c r="JIH100" s="88"/>
      <c r="JIO100" s="88"/>
      <c r="JIV100" s="88"/>
      <c r="JJC100" s="88"/>
      <c r="JJJ100" s="88"/>
      <c r="JJQ100" s="88"/>
      <c r="JJX100" s="88"/>
      <c r="JKE100" s="88"/>
      <c r="JKL100" s="88"/>
      <c r="JKS100" s="88"/>
      <c r="JKZ100" s="88"/>
      <c r="JLG100" s="88"/>
      <c r="JLN100" s="88"/>
      <c r="JLU100" s="88"/>
      <c r="JMB100" s="88"/>
      <c r="JMI100" s="88"/>
      <c r="JMP100" s="88"/>
      <c r="JMW100" s="88"/>
      <c r="JND100" s="88"/>
      <c r="JNK100" s="88"/>
      <c r="JNR100" s="88"/>
      <c r="JNY100" s="88"/>
      <c r="JOF100" s="88"/>
      <c r="JOM100" s="88"/>
      <c r="JOT100" s="88"/>
      <c r="JPA100" s="88"/>
      <c r="JPH100" s="88"/>
      <c r="JPO100" s="88"/>
      <c r="JPV100" s="88"/>
      <c r="JQC100" s="88"/>
      <c r="JQJ100" s="88"/>
      <c r="JQQ100" s="88"/>
      <c r="JQX100" s="88"/>
      <c r="JRE100" s="88"/>
      <c r="JRL100" s="88"/>
      <c r="JRS100" s="88"/>
      <c r="JRZ100" s="88"/>
      <c r="JSG100" s="88"/>
      <c r="JSN100" s="88"/>
      <c r="JSU100" s="88"/>
      <c r="JTB100" s="88"/>
      <c r="JTI100" s="88"/>
      <c r="JTP100" s="88"/>
      <c r="JTW100" s="88"/>
      <c r="JUD100" s="88"/>
      <c r="JUK100" s="88"/>
      <c r="JUR100" s="88"/>
      <c r="JUY100" s="88"/>
      <c r="JVF100" s="88"/>
      <c r="JVM100" s="88"/>
      <c r="JVT100" s="88"/>
      <c r="JWA100" s="88"/>
      <c r="JWH100" s="88"/>
      <c r="JWO100" s="88"/>
      <c r="JWV100" s="88"/>
      <c r="JXC100" s="88"/>
      <c r="JXJ100" s="88"/>
      <c r="JXQ100" s="88"/>
      <c r="JXX100" s="88"/>
      <c r="JYE100" s="88"/>
      <c r="JYL100" s="88"/>
      <c r="JYS100" s="88"/>
      <c r="JYZ100" s="88"/>
      <c r="JZG100" s="88"/>
      <c r="JZN100" s="88"/>
      <c r="JZU100" s="88"/>
      <c r="KAB100" s="88"/>
      <c r="KAI100" s="88"/>
      <c r="KAP100" s="88"/>
      <c r="KAW100" s="88"/>
      <c r="KBD100" s="88"/>
      <c r="KBK100" s="88"/>
      <c r="KBR100" s="88"/>
      <c r="KBY100" s="88"/>
      <c r="KCF100" s="88"/>
      <c r="KCM100" s="88"/>
      <c r="KCT100" s="88"/>
      <c r="KDA100" s="88"/>
      <c r="KDH100" s="88"/>
      <c r="KDO100" s="88"/>
      <c r="KDV100" s="88"/>
      <c r="KEC100" s="88"/>
      <c r="KEJ100" s="88"/>
      <c r="KEQ100" s="88"/>
      <c r="KEX100" s="88"/>
      <c r="KFE100" s="88"/>
      <c r="KFL100" s="88"/>
      <c r="KFS100" s="88"/>
      <c r="KFZ100" s="88"/>
      <c r="KGG100" s="88"/>
      <c r="KGN100" s="88"/>
      <c r="KGU100" s="88"/>
      <c r="KHB100" s="88"/>
      <c r="KHI100" s="88"/>
      <c r="KHP100" s="88"/>
      <c r="KHW100" s="88"/>
      <c r="KID100" s="88"/>
      <c r="KIK100" s="88"/>
      <c r="KIR100" s="88"/>
      <c r="KIY100" s="88"/>
      <c r="KJF100" s="88"/>
      <c r="KJM100" s="88"/>
      <c r="KJT100" s="88"/>
      <c r="KKA100" s="88"/>
      <c r="KKH100" s="88"/>
      <c r="KKO100" s="88"/>
      <c r="KKV100" s="88"/>
      <c r="KLC100" s="88"/>
      <c r="KLJ100" s="88"/>
      <c r="KLQ100" s="88"/>
      <c r="KLX100" s="88"/>
      <c r="KME100" s="88"/>
      <c r="KML100" s="88"/>
      <c r="KMS100" s="88"/>
      <c r="KMZ100" s="88"/>
      <c r="KNG100" s="88"/>
      <c r="KNN100" s="88"/>
      <c r="KNU100" s="88"/>
      <c r="KOB100" s="88"/>
      <c r="KOI100" s="88"/>
      <c r="KOP100" s="88"/>
      <c r="KOW100" s="88"/>
      <c r="KPD100" s="88"/>
      <c r="KPK100" s="88"/>
      <c r="KPR100" s="88"/>
      <c r="KPY100" s="88"/>
      <c r="KQF100" s="88"/>
      <c r="KQM100" s="88"/>
      <c r="KQT100" s="88"/>
      <c r="KRA100" s="88"/>
      <c r="KRH100" s="88"/>
      <c r="KRO100" s="88"/>
      <c r="KRV100" s="88"/>
      <c r="KSC100" s="88"/>
      <c r="KSJ100" s="88"/>
      <c r="KSQ100" s="88"/>
      <c r="KSX100" s="88"/>
      <c r="KTE100" s="88"/>
      <c r="KTL100" s="88"/>
      <c r="KTS100" s="88"/>
      <c r="KTZ100" s="88"/>
      <c r="KUG100" s="88"/>
      <c r="KUN100" s="88"/>
      <c r="KUU100" s="88"/>
      <c r="KVB100" s="88"/>
      <c r="KVI100" s="88"/>
      <c r="KVP100" s="88"/>
      <c r="KVW100" s="88"/>
      <c r="KWD100" s="88"/>
      <c r="KWK100" s="88"/>
      <c r="KWR100" s="88"/>
      <c r="KWY100" s="88"/>
      <c r="KXF100" s="88"/>
      <c r="KXM100" s="88"/>
      <c r="KXT100" s="88"/>
      <c r="KYA100" s="88"/>
      <c r="KYH100" s="88"/>
      <c r="KYO100" s="88"/>
      <c r="KYV100" s="88"/>
      <c r="KZC100" s="88"/>
      <c r="KZJ100" s="88"/>
      <c r="KZQ100" s="88"/>
      <c r="KZX100" s="88"/>
      <c r="LAE100" s="88"/>
      <c r="LAL100" s="88"/>
      <c r="LAS100" s="88"/>
      <c r="LAZ100" s="88"/>
      <c r="LBG100" s="88"/>
      <c r="LBN100" s="88"/>
      <c r="LBU100" s="88"/>
      <c r="LCB100" s="88"/>
      <c r="LCI100" s="88"/>
      <c r="LCP100" s="88"/>
      <c r="LCW100" s="88"/>
      <c r="LDD100" s="88"/>
      <c r="LDK100" s="88"/>
      <c r="LDR100" s="88"/>
      <c r="LDY100" s="88"/>
      <c r="LEF100" s="88"/>
      <c r="LEM100" s="88"/>
      <c r="LET100" s="88"/>
      <c r="LFA100" s="88"/>
      <c r="LFH100" s="88"/>
      <c r="LFO100" s="88"/>
      <c r="LFV100" s="88"/>
      <c r="LGC100" s="88"/>
      <c r="LGJ100" s="88"/>
      <c r="LGQ100" s="88"/>
      <c r="LGX100" s="88"/>
      <c r="LHE100" s="88"/>
      <c r="LHL100" s="88"/>
      <c r="LHS100" s="88"/>
      <c r="LHZ100" s="88"/>
      <c r="LIG100" s="88"/>
      <c r="LIN100" s="88"/>
      <c r="LIU100" s="88"/>
      <c r="LJB100" s="88"/>
      <c r="LJI100" s="88"/>
      <c r="LJP100" s="88"/>
      <c r="LJW100" s="88"/>
      <c r="LKD100" s="88"/>
      <c r="LKK100" s="88"/>
      <c r="LKR100" s="88"/>
      <c r="LKY100" s="88"/>
      <c r="LLF100" s="88"/>
      <c r="LLM100" s="88"/>
      <c r="LLT100" s="88"/>
      <c r="LMA100" s="88"/>
      <c r="LMH100" s="88"/>
      <c r="LMO100" s="88"/>
      <c r="LMV100" s="88"/>
      <c r="LNC100" s="88"/>
      <c r="LNJ100" s="88"/>
      <c r="LNQ100" s="88"/>
      <c r="LNX100" s="88"/>
      <c r="LOE100" s="88"/>
      <c r="LOL100" s="88"/>
      <c r="LOS100" s="88"/>
      <c r="LOZ100" s="88"/>
      <c r="LPG100" s="88"/>
      <c r="LPN100" s="88"/>
      <c r="LPU100" s="88"/>
      <c r="LQB100" s="88"/>
      <c r="LQI100" s="88"/>
      <c r="LQP100" s="88"/>
      <c r="LQW100" s="88"/>
      <c r="LRD100" s="88"/>
      <c r="LRK100" s="88"/>
      <c r="LRR100" s="88"/>
      <c r="LRY100" s="88"/>
      <c r="LSF100" s="88"/>
      <c r="LSM100" s="88"/>
      <c r="LST100" s="88"/>
      <c r="LTA100" s="88"/>
      <c r="LTH100" s="88"/>
      <c r="LTO100" s="88"/>
      <c r="LTV100" s="88"/>
      <c r="LUC100" s="88"/>
      <c r="LUJ100" s="88"/>
      <c r="LUQ100" s="88"/>
      <c r="LUX100" s="88"/>
      <c r="LVE100" s="88"/>
      <c r="LVL100" s="88"/>
      <c r="LVS100" s="88"/>
      <c r="LVZ100" s="88"/>
      <c r="LWG100" s="88"/>
      <c r="LWN100" s="88"/>
      <c r="LWU100" s="88"/>
      <c r="LXB100" s="88"/>
      <c r="LXI100" s="88"/>
      <c r="LXP100" s="88"/>
      <c r="LXW100" s="88"/>
      <c r="LYD100" s="88"/>
      <c r="LYK100" s="88"/>
      <c r="LYR100" s="88"/>
      <c r="LYY100" s="88"/>
      <c r="LZF100" s="88"/>
      <c r="LZM100" s="88"/>
      <c r="LZT100" s="88"/>
      <c r="MAA100" s="88"/>
      <c r="MAH100" s="88"/>
      <c r="MAO100" s="88"/>
      <c r="MAV100" s="88"/>
      <c r="MBC100" s="88"/>
      <c r="MBJ100" s="88"/>
      <c r="MBQ100" s="88"/>
      <c r="MBX100" s="88"/>
      <c r="MCE100" s="88"/>
      <c r="MCL100" s="88"/>
      <c r="MCS100" s="88"/>
      <c r="MCZ100" s="88"/>
      <c r="MDG100" s="88"/>
      <c r="MDN100" s="88"/>
      <c r="MDU100" s="88"/>
      <c r="MEB100" s="88"/>
      <c r="MEI100" s="88"/>
      <c r="MEP100" s="88"/>
      <c r="MEW100" s="88"/>
      <c r="MFD100" s="88"/>
      <c r="MFK100" s="88"/>
      <c r="MFR100" s="88"/>
      <c r="MFY100" s="88"/>
      <c r="MGF100" s="88"/>
      <c r="MGM100" s="88"/>
      <c r="MGT100" s="88"/>
      <c r="MHA100" s="88"/>
      <c r="MHH100" s="88"/>
      <c r="MHO100" s="88"/>
      <c r="MHV100" s="88"/>
      <c r="MIC100" s="88"/>
      <c r="MIJ100" s="88"/>
      <c r="MIQ100" s="88"/>
      <c r="MIX100" s="88"/>
      <c r="MJE100" s="88"/>
      <c r="MJL100" s="88"/>
      <c r="MJS100" s="88"/>
      <c r="MJZ100" s="88"/>
      <c r="MKG100" s="88"/>
      <c r="MKN100" s="88"/>
      <c r="MKU100" s="88"/>
      <c r="MLB100" s="88"/>
      <c r="MLI100" s="88"/>
      <c r="MLP100" s="88"/>
      <c r="MLW100" s="88"/>
      <c r="MMD100" s="88"/>
      <c r="MMK100" s="88"/>
      <c r="MMR100" s="88"/>
      <c r="MMY100" s="88"/>
      <c r="MNF100" s="88"/>
      <c r="MNM100" s="88"/>
      <c r="MNT100" s="88"/>
      <c r="MOA100" s="88"/>
      <c r="MOH100" s="88"/>
      <c r="MOO100" s="88"/>
      <c r="MOV100" s="88"/>
      <c r="MPC100" s="88"/>
      <c r="MPJ100" s="88"/>
      <c r="MPQ100" s="88"/>
      <c r="MPX100" s="88"/>
      <c r="MQE100" s="88"/>
      <c r="MQL100" s="88"/>
      <c r="MQS100" s="88"/>
      <c r="MQZ100" s="88"/>
      <c r="MRG100" s="88"/>
      <c r="MRN100" s="88"/>
      <c r="MRU100" s="88"/>
      <c r="MSB100" s="88"/>
      <c r="MSI100" s="88"/>
      <c r="MSP100" s="88"/>
      <c r="MSW100" s="88"/>
      <c r="MTD100" s="88"/>
      <c r="MTK100" s="88"/>
      <c r="MTR100" s="88"/>
      <c r="MTY100" s="88"/>
      <c r="MUF100" s="88"/>
      <c r="MUM100" s="88"/>
      <c r="MUT100" s="88"/>
      <c r="MVA100" s="88"/>
      <c r="MVH100" s="88"/>
      <c r="MVO100" s="88"/>
      <c r="MVV100" s="88"/>
      <c r="MWC100" s="88"/>
      <c r="MWJ100" s="88"/>
      <c r="MWQ100" s="88"/>
      <c r="MWX100" s="88"/>
      <c r="MXE100" s="88"/>
      <c r="MXL100" s="88"/>
      <c r="MXS100" s="88"/>
      <c r="MXZ100" s="88"/>
      <c r="MYG100" s="88"/>
      <c r="MYN100" s="88"/>
      <c r="MYU100" s="88"/>
      <c r="MZB100" s="88"/>
      <c r="MZI100" s="88"/>
      <c r="MZP100" s="88"/>
      <c r="MZW100" s="88"/>
      <c r="NAD100" s="88"/>
      <c r="NAK100" s="88"/>
      <c r="NAR100" s="88"/>
      <c r="NAY100" s="88"/>
      <c r="NBF100" s="88"/>
      <c r="NBM100" s="88"/>
      <c r="NBT100" s="88"/>
      <c r="NCA100" s="88"/>
      <c r="NCH100" s="88"/>
      <c r="NCO100" s="88"/>
      <c r="NCV100" s="88"/>
      <c r="NDC100" s="88"/>
      <c r="NDJ100" s="88"/>
      <c r="NDQ100" s="88"/>
      <c r="NDX100" s="88"/>
      <c r="NEE100" s="88"/>
      <c r="NEL100" s="88"/>
      <c r="NES100" s="88"/>
      <c r="NEZ100" s="88"/>
      <c r="NFG100" s="88"/>
      <c r="NFN100" s="88"/>
      <c r="NFU100" s="88"/>
      <c r="NGB100" s="88"/>
      <c r="NGI100" s="88"/>
      <c r="NGP100" s="88"/>
      <c r="NGW100" s="88"/>
      <c r="NHD100" s="88"/>
      <c r="NHK100" s="88"/>
      <c r="NHR100" s="88"/>
      <c r="NHY100" s="88"/>
      <c r="NIF100" s="88"/>
      <c r="NIM100" s="88"/>
      <c r="NIT100" s="88"/>
      <c r="NJA100" s="88"/>
      <c r="NJH100" s="88"/>
      <c r="NJO100" s="88"/>
      <c r="NJV100" s="88"/>
      <c r="NKC100" s="88"/>
      <c r="NKJ100" s="88"/>
      <c r="NKQ100" s="88"/>
      <c r="NKX100" s="88"/>
      <c r="NLE100" s="88"/>
      <c r="NLL100" s="88"/>
      <c r="NLS100" s="88"/>
      <c r="NLZ100" s="88"/>
      <c r="NMG100" s="88"/>
      <c r="NMN100" s="88"/>
      <c r="NMU100" s="88"/>
      <c r="NNB100" s="88"/>
      <c r="NNI100" s="88"/>
      <c r="NNP100" s="88"/>
      <c r="NNW100" s="88"/>
      <c r="NOD100" s="88"/>
      <c r="NOK100" s="88"/>
      <c r="NOR100" s="88"/>
      <c r="NOY100" s="88"/>
      <c r="NPF100" s="88"/>
      <c r="NPM100" s="88"/>
      <c r="NPT100" s="88"/>
      <c r="NQA100" s="88"/>
      <c r="NQH100" s="88"/>
      <c r="NQO100" s="88"/>
      <c r="NQV100" s="88"/>
      <c r="NRC100" s="88"/>
      <c r="NRJ100" s="88"/>
      <c r="NRQ100" s="88"/>
      <c r="NRX100" s="88"/>
      <c r="NSE100" s="88"/>
      <c r="NSL100" s="88"/>
      <c r="NSS100" s="88"/>
      <c r="NSZ100" s="88"/>
      <c r="NTG100" s="88"/>
      <c r="NTN100" s="88"/>
      <c r="NTU100" s="88"/>
      <c r="NUB100" s="88"/>
      <c r="NUI100" s="88"/>
      <c r="NUP100" s="88"/>
      <c r="NUW100" s="88"/>
      <c r="NVD100" s="88"/>
      <c r="NVK100" s="88"/>
      <c r="NVR100" s="88"/>
      <c r="NVY100" s="88"/>
      <c r="NWF100" s="88"/>
      <c r="NWM100" s="88"/>
      <c r="NWT100" s="88"/>
      <c r="NXA100" s="88"/>
      <c r="NXH100" s="88"/>
      <c r="NXO100" s="88"/>
      <c r="NXV100" s="88"/>
      <c r="NYC100" s="88"/>
      <c r="NYJ100" s="88"/>
      <c r="NYQ100" s="88"/>
      <c r="NYX100" s="88"/>
      <c r="NZE100" s="88"/>
      <c r="NZL100" s="88"/>
      <c r="NZS100" s="88"/>
      <c r="NZZ100" s="88"/>
      <c r="OAG100" s="88"/>
      <c r="OAN100" s="88"/>
      <c r="OAU100" s="88"/>
      <c r="OBB100" s="88"/>
      <c r="OBI100" s="88"/>
      <c r="OBP100" s="88"/>
      <c r="OBW100" s="88"/>
      <c r="OCD100" s="88"/>
      <c r="OCK100" s="88"/>
      <c r="OCR100" s="88"/>
      <c r="OCY100" s="88"/>
      <c r="ODF100" s="88"/>
      <c r="ODM100" s="88"/>
      <c r="ODT100" s="88"/>
      <c r="OEA100" s="88"/>
      <c r="OEH100" s="88"/>
      <c r="OEO100" s="88"/>
      <c r="OEV100" s="88"/>
      <c r="OFC100" s="88"/>
      <c r="OFJ100" s="88"/>
      <c r="OFQ100" s="88"/>
      <c r="OFX100" s="88"/>
      <c r="OGE100" s="88"/>
      <c r="OGL100" s="88"/>
      <c r="OGS100" s="88"/>
      <c r="OGZ100" s="88"/>
      <c r="OHG100" s="88"/>
      <c r="OHN100" s="88"/>
      <c r="OHU100" s="88"/>
      <c r="OIB100" s="88"/>
      <c r="OII100" s="88"/>
      <c r="OIP100" s="88"/>
      <c r="OIW100" s="88"/>
      <c r="OJD100" s="88"/>
      <c r="OJK100" s="88"/>
      <c r="OJR100" s="88"/>
      <c r="OJY100" s="88"/>
      <c r="OKF100" s="88"/>
      <c r="OKM100" s="88"/>
      <c r="OKT100" s="88"/>
      <c r="OLA100" s="88"/>
      <c r="OLH100" s="88"/>
      <c r="OLO100" s="88"/>
      <c r="OLV100" s="88"/>
      <c r="OMC100" s="88"/>
      <c r="OMJ100" s="88"/>
      <c r="OMQ100" s="88"/>
      <c r="OMX100" s="88"/>
      <c r="ONE100" s="88"/>
      <c r="ONL100" s="88"/>
      <c r="ONS100" s="88"/>
      <c r="ONZ100" s="88"/>
      <c r="OOG100" s="88"/>
      <c r="OON100" s="88"/>
      <c r="OOU100" s="88"/>
      <c r="OPB100" s="88"/>
      <c r="OPI100" s="88"/>
      <c r="OPP100" s="88"/>
      <c r="OPW100" s="88"/>
      <c r="OQD100" s="88"/>
      <c r="OQK100" s="88"/>
      <c r="OQR100" s="88"/>
      <c r="OQY100" s="88"/>
      <c r="ORF100" s="88"/>
      <c r="ORM100" s="88"/>
      <c r="ORT100" s="88"/>
      <c r="OSA100" s="88"/>
      <c r="OSH100" s="88"/>
      <c r="OSO100" s="88"/>
      <c r="OSV100" s="88"/>
      <c r="OTC100" s="88"/>
      <c r="OTJ100" s="88"/>
      <c r="OTQ100" s="88"/>
      <c r="OTX100" s="88"/>
      <c r="OUE100" s="88"/>
      <c r="OUL100" s="88"/>
      <c r="OUS100" s="88"/>
      <c r="OUZ100" s="88"/>
      <c r="OVG100" s="88"/>
      <c r="OVN100" s="88"/>
      <c r="OVU100" s="88"/>
      <c r="OWB100" s="88"/>
      <c r="OWI100" s="88"/>
      <c r="OWP100" s="88"/>
      <c r="OWW100" s="88"/>
      <c r="OXD100" s="88"/>
      <c r="OXK100" s="88"/>
      <c r="OXR100" s="88"/>
      <c r="OXY100" s="88"/>
      <c r="OYF100" s="88"/>
      <c r="OYM100" s="88"/>
      <c r="OYT100" s="88"/>
      <c r="OZA100" s="88"/>
      <c r="OZH100" s="88"/>
      <c r="OZO100" s="88"/>
      <c r="OZV100" s="88"/>
      <c r="PAC100" s="88"/>
      <c r="PAJ100" s="88"/>
      <c r="PAQ100" s="88"/>
      <c r="PAX100" s="88"/>
      <c r="PBE100" s="88"/>
      <c r="PBL100" s="88"/>
      <c r="PBS100" s="88"/>
      <c r="PBZ100" s="88"/>
      <c r="PCG100" s="88"/>
      <c r="PCN100" s="88"/>
      <c r="PCU100" s="88"/>
      <c r="PDB100" s="88"/>
      <c r="PDI100" s="88"/>
      <c r="PDP100" s="88"/>
      <c r="PDW100" s="88"/>
      <c r="PED100" s="88"/>
      <c r="PEK100" s="88"/>
      <c r="PER100" s="88"/>
      <c r="PEY100" s="88"/>
      <c r="PFF100" s="88"/>
      <c r="PFM100" s="88"/>
      <c r="PFT100" s="88"/>
      <c r="PGA100" s="88"/>
      <c r="PGH100" s="88"/>
      <c r="PGO100" s="88"/>
      <c r="PGV100" s="88"/>
      <c r="PHC100" s="88"/>
      <c r="PHJ100" s="88"/>
      <c r="PHQ100" s="88"/>
      <c r="PHX100" s="88"/>
      <c r="PIE100" s="88"/>
      <c r="PIL100" s="88"/>
      <c r="PIS100" s="88"/>
      <c r="PIZ100" s="88"/>
      <c r="PJG100" s="88"/>
      <c r="PJN100" s="88"/>
      <c r="PJU100" s="88"/>
      <c r="PKB100" s="88"/>
      <c r="PKI100" s="88"/>
      <c r="PKP100" s="88"/>
      <c r="PKW100" s="88"/>
      <c r="PLD100" s="88"/>
      <c r="PLK100" s="88"/>
      <c r="PLR100" s="88"/>
      <c r="PLY100" s="88"/>
      <c r="PMF100" s="88"/>
      <c r="PMM100" s="88"/>
      <c r="PMT100" s="88"/>
      <c r="PNA100" s="88"/>
      <c r="PNH100" s="88"/>
      <c r="PNO100" s="88"/>
      <c r="PNV100" s="88"/>
      <c r="POC100" s="88"/>
      <c r="POJ100" s="88"/>
      <c r="POQ100" s="88"/>
      <c r="POX100" s="88"/>
      <c r="PPE100" s="88"/>
      <c r="PPL100" s="88"/>
      <c r="PPS100" s="88"/>
      <c r="PPZ100" s="88"/>
      <c r="PQG100" s="88"/>
      <c r="PQN100" s="88"/>
      <c r="PQU100" s="88"/>
      <c r="PRB100" s="88"/>
      <c r="PRI100" s="88"/>
      <c r="PRP100" s="88"/>
      <c r="PRW100" s="88"/>
      <c r="PSD100" s="88"/>
      <c r="PSK100" s="88"/>
      <c r="PSR100" s="88"/>
      <c r="PSY100" s="88"/>
      <c r="PTF100" s="88"/>
      <c r="PTM100" s="88"/>
      <c r="PTT100" s="88"/>
      <c r="PUA100" s="88"/>
      <c r="PUH100" s="88"/>
      <c r="PUO100" s="88"/>
      <c r="PUV100" s="88"/>
      <c r="PVC100" s="88"/>
      <c r="PVJ100" s="88"/>
      <c r="PVQ100" s="88"/>
      <c r="PVX100" s="88"/>
      <c r="PWE100" s="88"/>
      <c r="PWL100" s="88"/>
      <c r="PWS100" s="88"/>
      <c r="PWZ100" s="88"/>
      <c r="PXG100" s="88"/>
      <c r="PXN100" s="88"/>
      <c r="PXU100" s="88"/>
      <c r="PYB100" s="88"/>
      <c r="PYI100" s="88"/>
      <c r="PYP100" s="88"/>
      <c r="PYW100" s="88"/>
      <c r="PZD100" s="88"/>
      <c r="PZK100" s="88"/>
      <c r="PZR100" s="88"/>
      <c r="PZY100" s="88"/>
      <c r="QAF100" s="88"/>
      <c r="QAM100" s="88"/>
      <c r="QAT100" s="88"/>
      <c r="QBA100" s="88"/>
      <c r="QBH100" s="88"/>
      <c r="QBO100" s="88"/>
      <c r="QBV100" s="88"/>
      <c r="QCC100" s="88"/>
      <c r="QCJ100" s="88"/>
      <c r="QCQ100" s="88"/>
      <c r="QCX100" s="88"/>
      <c r="QDE100" s="88"/>
      <c r="QDL100" s="88"/>
      <c r="QDS100" s="88"/>
      <c r="QDZ100" s="88"/>
      <c r="QEG100" s="88"/>
      <c r="QEN100" s="88"/>
      <c r="QEU100" s="88"/>
      <c r="QFB100" s="88"/>
      <c r="QFI100" s="88"/>
      <c r="QFP100" s="88"/>
      <c r="QFW100" s="88"/>
      <c r="QGD100" s="88"/>
      <c r="QGK100" s="88"/>
      <c r="QGR100" s="88"/>
      <c r="QGY100" s="88"/>
      <c r="QHF100" s="88"/>
      <c r="QHM100" s="88"/>
      <c r="QHT100" s="88"/>
      <c r="QIA100" s="88"/>
      <c r="QIH100" s="88"/>
      <c r="QIO100" s="88"/>
      <c r="QIV100" s="88"/>
      <c r="QJC100" s="88"/>
      <c r="QJJ100" s="88"/>
      <c r="QJQ100" s="88"/>
      <c r="QJX100" s="88"/>
      <c r="QKE100" s="88"/>
      <c r="QKL100" s="88"/>
      <c r="QKS100" s="88"/>
      <c r="QKZ100" s="88"/>
      <c r="QLG100" s="88"/>
      <c r="QLN100" s="88"/>
      <c r="QLU100" s="88"/>
      <c r="QMB100" s="88"/>
      <c r="QMI100" s="88"/>
      <c r="QMP100" s="88"/>
      <c r="QMW100" s="88"/>
      <c r="QND100" s="88"/>
      <c r="QNK100" s="88"/>
      <c r="QNR100" s="88"/>
      <c r="QNY100" s="88"/>
      <c r="QOF100" s="88"/>
      <c r="QOM100" s="88"/>
      <c r="QOT100" s="88"/>
      <c r="QPA100" s="88"/>
      <c r="QPH100" s="88"/>
      <c r="QPO100" s="88"/>
      <c r="QPV100" s="88"/>
      <c r="QQC100" s="88"/>
      <c r="QQJ100" s="88"/>
      <c r="QQQ100" s="88"/>
      <c r="QQX100" s="88"/>
      <c r="QRE100" s="88"/>
      <c r="QRL100" s="88"/>
      <c r="QRS100" s="88"/>
      <c r="QRZ100" s="88"/>
      <c r="QSG100" s="88"/>
      <c r="QSN100" s="88"/>
      <c r="QSU100" s="88"/>
      <c r="QTB100" s="88"/>
      <c r="QTI100" s="88"/>
      <c r="QTP100" s="88"/>
      <c r="QTW100" s="88"/>
      <c r="QUD100" s="88"/>
      <c r="QUK100" s="88"/>
      <c r="QUR100" s="88"/>
      <c r="QUY100" s="88"/>
      <c r="QVF100" s="88"/>
      <c r="QVM100" s="88"/>
      <c r="QVT100" s="88"/>
      <c r="QWA100" s="88"/>
      <c r="QWH100" s="88"/>
      <c r="QWO100" s="88"/>
      <c r="QWV100" s="88"/>
      <c r="QXC100" s="88"/>
      <c r="QXJ100" s="88"/>
      <c r="QXQ100" s="88"/>
      <c r="QXX100" s="88"/>
      <c r="QYE100" s="88"/>
      <c r="QYL100" s="88"/>
      <c r="QYS100" s="88"/>
      <c r="QYZ100" s="88"/>
      <c r="QZG100" s="88"/>
      <c r="QZN100" s="88"/>
      <c r="QZU100" s="88"/>
      <c r="RAB100" s="88"/>
      <c r="RAI100" s="88"/>
      <c r="RAP100" s="88"/>
      <c r="RAW100" s="88"/>
      <c r="RBD100" s="88"/>
      <c r="RBK100" s="88"/>
      <c r="RBR100" s="88"/>
      <c r="RBY100" s="88"/>
      <c r="RCF100" s="88"/>
      <c r="RCM100" s="88"/>
      <c r="RCT100" s="88"/>
      <c r="RDA100" s="88"/>
      <c r="RDH100" s="88"/>
      <c r="RDO100" s="88"/>
      <c r="RDV100" s="88"/>
      <c r="REC100" s="88"/>
      <c r="REJ100" s="88"/>
      <c r="REQ100" s="88"/>
      <c r="REX100" s="88"/>
      <c r="RFE100" s="88"/>
      <c r="RFL100" s="88"/>
      <c r="RFS100" s="88"/>
      <c r="RFZ100" s="88"/>
      <c r="RGG100" s="88"/>
      <c r="RGN100" s="88"/>
      <c r="RGU100" s="88"/>
      <c r="RHB100" s="88"/>
      <c r="RHI100" s="88"/>
      <c r="RHP100" s="88"/>
      <c r="RHW100" s="88"/>
      <c r="RID100" s="88"/>
      <c r="RIK100" s="88"/>
      <c r="RIR100" s="88"/>
      <c r="RIY100" s="88"/>
      <c r="RJF100" s="88"/>
      <c r="RJM100" s="88"/>
      <c r="RJT100" s="88"/>
      <c r="RKA100" s="88"/>
      <c r="RKH100" s="88"/>
      <c r="RKO100" s="88"/>
      <c r="RKV100" s="88"/>
      <c r="RLC100" s="88"/>
      <c r="RLJ100" s="88"/>
      <c r="RLQ100" s="88"/>
      <c r="RLX100" s="88"/>
      <c r="RME100" s="88"/>
      <c r="RML100" s="88"/>
      <c r="RMS100" s="88"/>
      <c r="RMZ100" s="88"/>
      <c r="RNG100" s="88"/>
      <c r="RNN100" s="88"/>
      <c r="RNU100" s="88"/>
      <c r="ROB100" s="88"/>
      <c r="ROI100" s="88"/>
      <c r="ROP100" s="88"/>
      <c r="ROW100" s="88"/>
      <c r="RPD100" s="88"/>
      <c r="RPK100" s="88"/>
      <c r="RPR100" s="88"/>
      <c r="RPY100" s="88"/>
      <c r="RQF100" s="88"/>
      <c r="RQM100" s="88"/>
      <c r="RQT100" s="88"/>
      <c r="RRA100" s="88"/>
      <c r="RRH100" s="88"/>
      <c r="RRO100" s="88"/>
      <c r="RRV100" s="88"/>
      <c r="RSC100" s="88"/>
      <c r="RSJ100" s="88"/>
      <c r="RSQ100" s="88"/>
      <c r="RSX100" s="88"/>
      <c r="RTE100" s="88"/>
      <c r="RTL100" s="88"/>
      <c r="RTS100" s="88"/>
      <c r="RTZ100" s="88"/>
      <c r="RUG100" s="88"/>
      <c r="RUN100" s="88"/>
      <c r="RUU100" s="88"/>
      <c r="RVB100" s="88"/>
      <c r="RVI100" s="88"/>
      <c r="RVP100" s="88"/>
      <c r="RVW100" s="88"/>
      <c r="RWD100" s="88"/>
      <c r="RWK100" s="88"/>
      <c r="RWR100" s="88"/>
      <c r="RWY100" s="88"/>
      <c r="RXF100" s="88"/>
      <c r="RXM100" s="88"/>
      <c r="RXT100" s="88"/>
      <c r="RYA100" s="88"/>
      <c r="RYH100" s="88"/>
      <c r="RYO100" s="88"/>
      <c r="RYV100" s="88"/>
      <c r="RZC100" s="88"/>
      <c r="RZJ100" s="88"/>
      <c r="RZQ100" s="88"/>
      <c r="RZX100" s="88"/>
      <c r="SAE100" s="88"/>
      <c r="SAL100" s="88"/>
      <c r="SAS100" s="88"/>
      <c r="SAZ100" s="88"/>
      <c r="SBG100" s="88"/>
      <c r="SBN100" s="88"/>
      <c r="SBU100" s="88"/>
      <c r="SCB100" s="88"/>
      <c r="SCI100" s="88"/>
      <c r="SCP100" s="88"/>
      <c r="SCW100" s="88"/>
      <c r="SDD100" s="88"/>
      <c r="SDK100" s="88"/>
      <c r="SDR100" s="88"/>
      <c r="SDY100" s="88"/>
      <c r="SEF100" s="88"/>
      <c r="SEM100" s="88"/>
      <c r="SET100" s="88"/>
      <c r="SFA100" s="88"/>
      <c r="SFH100" s="88"/>
      <c r="SFO100" s="88"/>
      <c r="SFV100" s="88"/>
      <c r="SGC100" s="88"/>
      <c r="SGJ100" s="88"/>
      <c r="SGQ100" s="88"/>
      <c r="SGX100" s="88"/>
      <c r="SHE100" s="88"/>
      <c r="SHL100" s="88"/>
      <c r="SHS100" s="88"/>
      <c r="SHZ100" s="88"/>
      <c r="SIG100" s="88"/>
      <c r="SIN100" s="88"/>
      <c r="SIU100" s="88"/>
      <c r="SJB100" s="88"/>
      <c r="SJI100" s="88"/>
      <c r="SJP100" s="88"/>
      <c r="SJW100" s="88"/>
      <c r="SKD100" s="88"/>
      <c r="SKK100" s="88"/>
      <c r="SKR100" s="88"/>
      <c r="SKY100" s="88"/>
      <c r="SLF100" s="88"/>
      <c r="SLM100" s="88"/>
      <c r="SLT100" s="88"/>
      <c r="SMA100" s="88"/>
      <c r="SMH100" s="88"/>
      <c r="SMO100" s="88"/>
      <c r="SMV100" s="88"/>
      <c r="SNC100" s="88"/>
      <c r="SNJ100" s="88"/>
      <c r="SNQ100" s="88"/>
      <c r="SNX100" s="88"/>
      <c r="SOE100" s="88"/>
      <c r="SOL100" s="88"/>
      <c r="SOS100" s="88"/>
      <c r="SOZ100" s="88"/>
      <c r="SPG100" s="88"/>
      <c r="SPN100" s="88"/>
      <c r="SPU100" s="88"/>
      <c r="SQB100" s="88"/>
      <c r="SQI100" s="88"/>
      <c r="SQP100" s="88"/>
      <c r="SQW100" s="88"/>
      <c r="SRD100" s="88"/>
      <c r="SRK100" s="88"/>
      <c r="SRR100" s="88"/>
      <c r="SRY100" s="88"/>
      <c r="SSF100" s="88"/>
      <c r="SSM100" s="88"/>
      <c r="SST100" s="88"/>
      <c r="STA100" s="88"/>
      <c r="STH100" s="88"/>
      <c r="STO100" s="88"/>
      <c r="STV100" s="88"/>
      <c r="SUC100" s="88"/>
      <c r="SUJ100" s="88"/>
      <c r="SUQ100" s="88"/>
      <c r="SUX100" s="88"/>
      <c r="SVE100" s="88"/>
      <c r="SVL100" s="88"/>
      <c r="SVS100" s="88"/>
      <c r="SVZ100" s="88"/>
      <c r="SWG100" s="88"/>
      <c r="SWN100" s="88"/>
      <c r="SWU100" s="88"/>
      <c r="SXB100" s="88"/>
      <c r="SXI100" s="88"/>
      <c r="SXP100" s="88"/>
      <c r="SXW100" s="88"/>
      <c r="SYD100" s="88"/>
      <c r="SYK100" s="88"/>
      <c r="SYR100" s="88"/>
      <c r="SYY100" s="88"/>
      <c r="SZF100" s="88"/>
      <c r="SZM100" s="88"/>
      <c r="SZT100" s="88"/>
      <c r="TAA100" s="88"/>
      <c r="TAH100" s="88"/>
      <c r="TAO100" s="88"/>
      <c r="TAV100" s="88"/>
      <c r="TBC100" s="88"/>
      <c r="TBJ100" s="88"/>
      <c r="TBQ100" s="88"/>
      <c r="TBX100" s="88"/>
      <c r="TCE100" s="88"/>
      <c r="TCL100" s="88"/>
      <c r="TCS100" s="88"/>
      <c r="TCZ100" s="88"/>
      <c r="TDG100" s="88"/>
      <c r="TDN100" s="88"/>
      <c r="TDU100" s="88"/>
      <c r="TEB100" s="88"/>
      <c r="TEI100" s="88"/>
      <c r="TEP100" s="88"/>
      <c r="TEW100" s="88"/>
      <c r="TFD100" s="88"/>
      <c r="TFK100" s="88"/>
      <c r="TFR100" s="88"/>
      <c r="TFY100" s="88"/>
      <c r="TGF100" s="88"/>
      <c r="TGM100" s="88"/>
      <c r="TGT100" s="88"/>
      <c r="THA100" s="88"/>
      <c r="THH100" s="88"/>
      <c r="THO100" s="88"/>
      <c r="THV100" s="88"/>
      <c r="TIC100" s="88"/>
      <c r="TIJ100" s="88"/>
      <c r="TIQ100" s="88"/>
      <c r="TIX100" s="88"/>
      <c r="TJE100" s="88"/>
      <c r="TJL100" s="88"/>
      <c r="TJS100" s="88"/>
      <c r="TJZ100" s="88"/>
      <c r="TKG100" s="88"/>
      <c r="TKN100" s="88"/>
      <c r="TKU100" s="88"/>
      <c r="TLB100" s="88"/>
      <c r="TLI100" s="88"/>
      <c r="TLP100" s="88"/>
      <c r="TLW100" s="88"/>
      <c r="TMD100" s="88"/>
      <c r="TMK100" s="88"/>
      <c r="TMR100" s="88"/>
      <c r="TMY100" s="88"/>
      <c r="TNF100" s="88"/>
      <c r="TNM100" s="88"/>
      <c r="TNT100" s="88"/>
      <c r="TOA100" s="88"/>
      <c r="TOH100" s="88"/>
      <c r="TOO100" s="88"/>
      <c r="TOV100" s="88"/>
      <c r="TPC100" s="88"/>
      <c r="TPJ100" s="88"/>
      <c r="TPQ100" s="88"/>
      <c r="TPX100" s="88"/>
      <c r="TQE100" s="88"/>
      <c r="TQL100" s="88"/>
      <c r="TQS100" s="88"/>
      <c r="TQZ100" s="88"/>
      <c r="TRG100" s="88"/>
      <c r="TRN100" s="88"/>
      <c r="TRU100" s="88"/>
      <c r="TSB100" s="88"/>
      <c r="TSI100" s="88"/>
      <c r="TSP100" s="88"/>
      <c r="TSW100" s="88"/>
      <c r="TTD100" s="88"/>
      <c r="TTK100" s="88"/>
      <c r="TTR100" s="88"/>
      <c r="TTY100" s="88"/>
      <c r="TUF100" s="88"/>
      <c r="TUM100" s="88"/>
      <c r="TUT100" s="88"/>
      <c r="TVA100" s="88"/>
      <c r="TVH100" s="88"/>
      <c r="TVO100" s="88"/>
      <c r="TVV100" s="88"/>
      <c r="TWC100" s="88"/>
      <c r="TWJ100" s="88"/>
      <c r="TWQ100" s="88"/>
      <c r="TWX100" s="88"/>
      <c r="TXE100" s="88"/>
      <c r="TXL100" s="88"/>
      <c r="TXS100" s="88"/>
      <c r="TXZ100" s="88"/>
      <c r="TYG100" s="88"/>
      <c r="TYN100" s="88"/>
      <c r="TYU100" s="88"/>
      <c r="TZB100" s="88"/>
      <c r="TZI100" s="88"/>
      <c r="TZP100" s="88"/>
      <c r="TZW100" s="88"/>
      <c r="UAD100" s="88"/>
      <c r="UAK100" s="88"/>
      <c r="UAR100" s="88"/>
      <c r="UAY100" s="88"/>
      <c r="UBF100" s="88"/>
      <c r="UBM100" s="88"/>
      <c r="UBT100" s="88"/>
      <c r="UCA100" s="88"/>
      <c r="UCH100" s="88"/>
      <c r="UCO100" s="88"/>
      <c r="UCV100" s="88"/>
      <c r="UDC100" s="88"/>
      <c r="UDJ100" s="88"/>
      <c r="UDQ100" s="88"/>
      <c r="UDX100" s="88"/>
      <c r="UEE100" s="88"/>
      <c r="UEL100" s="88"/>
      <c r="UES100" s="88"/>
      <c r="UEZ100" s="88"/>
      <c r="UFG100" s="88"/>
      <c r="UFN100" s="88"/>
      <c r="UFU100" s="88"/>
      <c r="UGB100" s="88"/>
      <c r="UGI100" s="88"/>
      <c r="UGP100" s="88"/>
      <c r="UGW100" s="88"/>
      <c r="UHD100" s="88"/>
      <c r="UHK100" s="88"/>
      <c r="UHR100" s="88"/>
      <c r="UHY100" s="88"/>
      <c r="UIF100" s="88"/>
      <c r="UIM100" s="88"/>
      <c r="UIT100" s="88"/>
      <c r="UJA100" s="88"/>
      <c r="UJH100" s="88"/>
      <c r="UJO100" s="88"/>
      <c r="UJV100" s="88"/>
      <c r="UKC100" s="88"/>
      <c r="UKJ100" s="88"/>
      <c r="UKQ100" s="88"/>
      <c r="UKX100" s="88"/>
      <c r="ULE100" s="88"/>
      <c r="ULL100" s="88"/>
      <c r="ULS100" s="88"/>
      <c r="ULZ100" s="88"/>
      <c r="UMG100" s="88"/>
      <c r="UMN100" s="88"/>
      <c r="UMU100" s="88"/>
      <c r="UNB100" s="88"/>
      <c r="UNI100" s="88"/>
      <c r="UNP100" s="88"/>
      <c r="UNW100" s="88"/>
      <c r="UOD100" s="88"/>
      <c r="UOK100" s="88"/>
      <c r="UOR100" s="88"/>
      <c r="UOY100" s="88"/>
      <c r="UPF100" s="88"/>
      <c r="UPM100" s="88"/>
      <c r="UPT100" s="88"/>
      <c r="UQA100" s="88"/>
      <c r="UQH100" s="88"/>
      <c r="UQO100" s="88"/>
      <c r="UQV100" s="88"/>
      <c r="URC100" s="88"/>
      <c r="URJ100" s="88"/>
      <c r="URQ100" s="88"/>
      <c r="URX100" s="88"/>
      <c r="USE100" s="88"/>
      <c r="USL100" s="88"/>
      <c r="USS100" s="88"/>
      <c r="USZ100" s="88"/>
      <c r="UTG100" s="88"/>
      <c r="UTN100" s="88"/>
      <c r="UTU100" s="88"/>
      <c r="UUB100" s="88"/>
      <c r="UUI100" s="88"/>
      <c r="UUP100" s="88"/>
      <c r="UUW100" s="88"/>
      <c r="UVD100" s="88"/>
      <c r="UVK100" s="88"/>
      <c r="UVR100" s="88"/>
      <c r="UVY100" s="88"/>
      <c r="UWF100" s="88"/>
      <c r="UWM100" s="88"/>
      <c r="UWT100" s="88"/>
      <c r="UXA100" s="88"/>
      <c r="UXH100" s="88"/>
      <c r="UXO100" s="88"/>
      <c r="UXV100" s="88"/>
      <c r="UYC100" s="88"/>
      <c r="UYJ100" s="88"/>
      <c r="UYQ100" s="88"/>
      <c r="UYX100" s="88"/>
      <c r="UZE100" s="88"/>
      <c r="UZL100" s="88"/>
      <c r="UZS100" s="88"/>
      <c r="UZZ100" s="88"/>
      <c r="VAG100" s="88"/>
      <c r="VAN100" s="88"/>
      <c r="VAU100" s="88"/>
      <c r="VBB100" s="88"/>
      <c r="VBI100" s="88"/>
      <c r="VBP100" s="88"/>
      <c r="VBW100" s="88"/>
      <c r="VCD100" s="88"/>
      <c r="VCK100" s="88"/>
      <c r="VCR100" s="88"/>
      <c r="VCY100" s="88"/>
      <c r="VDF100" s="88"/>
      <c r="VDM100" s="88"/>
      <c r="VDT100" s="88"/>
      <c r="VEA100" s="88"/>
      <c r="VEH100" s="88"/>
      <c r="VEO100" s="88"/>
      <c r="VEV100" s="88"/>
      <c r="VFC100" s="88"/>
      <c r="VFJ100" s="88"/>
      <c r="VFQ100" s="88"/>
      <c r="VFX100" s="88"/>
      <c r="VGE100" s="88"/>
      <c r="VGL100" s="88"/>
      <c r="VGS100" s="88"/>
      <c r="VGZ100" s="88"/>
      <c r="VHG100" s="88"/>
      <c r="VHN100" s="88"/>
      <c r="VHU100" s="88"/>
      <c r="VIB100" s="88"/>
      <c r="VII100" s="88"/>
      <c r="VIP100" s="88"/>
      <c r="VIW100" s="88"/>
      <c r="VJD100" s="88"/>
      <c r="VJK100" s="88"/>
      <c r="VJR100" s="88"/>
      <c r="VJY100" s="88"/>
      <c r="VKF100" s="88"/>
      <c r="VKM100" s="88"/>
      <c r="VKT100" s="88"/>
      <c r="VLA100" s="88"/>
      <c r="VLH100" s="88"/>
      <c r="VLO100" s="88"/>
      <c r="VLV100" s="88"/>
      <c r="VMC100" s="88"/>
      <c r="VMJ100" s="88"/>
      <c r="VMQ100" s="88"/>
      <c r="VMX100" s="88"/>
      <c r="VNE100" s="88"/>
      <c r="VNL100" s="88"/>
      <c r="VNS100" s="88"/>
      <c r="VNZ100" s="88"/>
      <c r="VOG100" s="88"/>
      <c r="VON100" s="88"/>
      <c r="VOU100" s="88"/>
      <c r="VPB100" s="88"/>
      <c r="VPI100" s="88"/>
      <c r="VPP100" s="88"/>
      <c r="VPW100" s="88"/>
      <c r="VQD100" s="88"/>
      <c r="VQK100" s="88"/>
      <c r="VQR100" s="88"/>
      <c r="VQY100" s="88"/>
      <c r="VRF100" s="88"/>
      <c r="VRM100" s="88"/>
      <c r="VRT100" s="88"/>
      <c r="VSA100" s="88"/>
      <c r="VSH100" s="88"/>
      <c r="VSO100" s="88"/>
      <c r="VSV100" s="88"/>
      <c r="VTC100" s="88"/>
      <c r="VTJ100" s="88"/>
      <c r="VTQ100" s="88"/>
      <c r="VTX100" s="88"/>
      <c r="VUE100" s="88"/>
      <c r="VUL100" s="88"/>
      <c r="VUS100" s="88"/>
      <c r="VUZ100" s="88"/>
      <c r="VVG100" s="88"/>
      <c r="VVN100" s="88"/>
      <c r="VVU100" s="88"/>
      <c r="VWB100" s="88"/>
      <c r="VWI100" s="88"/>
      <c r="VWP100" s="88"/>
      <c r="VWW100" s="88"/>
      <c r="VXD100" s="88"/>
      <c r="VXK100" s="88"/>
      <c r="VXR100" s="88"/>
      <c r="VXY100" s="88"/>
      <c r="VYF100" s="88"/>
      <c r="VYM100" s="88"/>
      <c r="VYT100" s="88"/>
      <c r="VZA100" s="88"/>
      <c r="VZH100" s="88"/>
      <c r="VZO100" s="88"/>
      <c r="VZV100" s="88"/>
      <c r="WAC100" s="88"/>
      <c r="WAJ100" s="88"/>
      <c r="WAQ100" s="88"/>
      <c r="WAX100" s="88"/>
      <c r="WBE100" s="88"/>
      <c r="WBL100" s="88"/>
      <c r="WBS100" s="88"/>
      <c r="WBZ100" s="88"/>
      <c r="WCG100" s="88"/>
      <c r="WCN100" s="88"/>
      <c r="WCU100" s="88"/>
      <c r="WDB100" s="88"/>
      <c r="WDI100" s="88"/>
      <c r="WDP100" s="88"/>
      <c r="WDW100" s="88"/>
      <c r="WED100" s="88"/>
      <c r="WEK100" s="88"/>
      <c r="WER100" s="88"/>
      <c r="WEY100" s="88"/>
      <c r="WFF100" s="88"/>
      <c r="WFM100" s="88"/>
      <c r="WFT100" s="88"/>
      <c r="WGA100" s="88"/>
      <c r="WGH100" s="88"/>
      <c r="WGO100" s="88"/>
      <c r="WGV100" s="88"/>
      <c r="WHC100" s="88"/>
      <c r="WHJ100" s="88"/>
      <c r="WHQ100" s="88"/>
      <c r="WHX100" s="88"/>
      <c r="WIE100" s="88"/>
      <c r="WIL100" s="88"/>
      <c r="WIS100" s="88"/>
      <c r="WIZ100" s="88"/>
      <c r="WJG100" s="88"/>
      <c r="WJN100" s="88"/>
      <c r="WJU100" s="88"/>
      <c r="WKB100" s="88"/>
      <c r="WKI100" s="88"/>
      <c r="WKP100" s="88"/>
      <c r="WKW100" s="88"/>
      <c r="WLD100" s="88"/>
      <c r="WLK100" s="88"/>
      <c r="WLR100" s="88"/>
      <c r="WLY100" s="88"/>
      <c r="WMF100" s="88"/>
      <c r="WMM100" s="88"/>
      <c r="WMT100" s="88"/>
      <c r="WNA100" s="88"/>
      <c r="WNH100" s="88"/>
      <c r="WNO100" s="88"/>
      <c r="WNV100" s="88"/>
      <c r="WOC100" s="88"/>
      <c r="WOJ100" s="88"/>
      <c r="WOQ100" s="88"/>
      <c r="WOX100" s="88"/>
      <c r="WPE100" s="88"/>
      <c r="WPL100" s="88"/>
      <c r="WPS100" s="88"/>
      <c r="WPZ100" s="88"/>
      <c r="WQG100" s="88"/>
      <c r="WQN100" s="88"/>
      <c r="WQU100" s="88"/>
      <c r="WRB100" s="88"/>
      <c r="WRI100" s="88"/>
      <c r="WRP100" s="88"/>
      <c r="WRW100" s="88"/>
      <c r="WSD100" s="88"/>
      <c r="WSK100" s="88"/>
      <c r="WSR100" s="88"/>
      <c r="WSY100" s="88"/>
      <c r="WTF100" s="88"/>
      <c r="WTM100" s="88"/>
      <c r="WTT100" s="88"/>
      <c r="WUA100" s="88"/>
      <c r="WUH100" s="88"/>
      <c r="WUO100" s="88"/>
      <c r="WUV100" s="88"/>
      <c r="WVC100" s="88"/>
      <c r="WVJ100" s="88"/>
      <c r="WVQ100" s="88"/>
      <c r="WVX100" s="88"/>
      <c r="WWE100" s="88"/>
      <c r="WWL100" s="88"/>
      <c r="WWS100" s="88"/>
      <c r="WWZ100" s="88"/>
      <c r="WXG100" s="88"/>
      <c r="WXN100" s="88"/>
      <c r="WXU100" s="88"/>
      <c r="WYB100" s="88"/>
      <c r="WYI100" s="88"/>
      <c r="WYP100" s="88"/>
      <c r="WYW100" s="88"/>
      <c r="WZD100" s="88"/>
      <c r="WZK100" s="88"/>
      <c r="WZR100" s="88"/>
      <c r="WZY100" s="88"/>
      <c r="XAF100" s="88"/>
      <c r="XAM100" s="88"/>
      <c r="XAT100" s="88"/>
      <c r="XBA100" s="88"/>
      <c r="XBH100" s="88"/>
      <c r="XBO100" s="88"/>
      <c r="XBV100" s="88"/>
      <c r="XCC100" s="88"/>
      <c r="XCJ100" s="88"/>
      <c r="XCQ100" s="88"/>
      <c r="XCX100" s="88"/>
      <c r="XDE100" s="88"/>
      <c r="XDL100" s="88"/>
      <c r="XDS100" s="88"/>
      <c r="XDZ100" s="88"/>
      <c r="XEG100" s="88"/>
      <c r="XEN100" s="88"/>
      <c r="XEU100" s="88"/>
      <c r="XFB100" s="88"/>
    </row>
    <row r="101" spans="1:1024 1031:2046 2053:3068 3075:4090 4097:5119 5126:6141 6148:7163 7170:8192 8199:9214 9221:10236 10243:11258 11265:12287 12294:13309 13316:14331 14338:15360 15367:16382" customFormat="1" ht="17.25" customHeight="1" x14ac:dyDescent="0.3">
      <c r="A101" s="88" t="s">
        <v>1039</v>
      </c>
      <c r="B101" s="92">
        <v>0</v>
      </c>
      <c r="C101" s="92">
        <v>0</v>
      </c>
      <c r="D101" s="92">
        <v>10</v>
      </c>
      <c r="E101" s="92">
        <v>0</v>
      </c>
      <c r="F101" s="92">
        <v>0</v>
      </c>
      <c r="G101" s="92">
        <v>0</v>
      </c>
      <c r="H101" s="92">
        <v>10</v>
      </c>
      <c r="I101" s="83"/>
      <c r="J101" s="91"/>
      <c r="K101" s="83"/>
      <c r="L101" s="83"/>
      <c r="M101" s="83"/>
      <c r="N101" s="83"/>
      <c r="O101" s="83"/>
      <c r="P101" s="83"/>
      <c r="Q101" s="83"/>
      <c r="R101" s="83"/>
      <c r="S101" s="83"/>
    </row>
    <row r="102" spans="1:1024 1031:2046 2053:3068 3075:4090 4097:5119 5126:6141 6148:7163 7170:8192 8199:9214 9221:10236 10243:11258 11265:12287 12294:13309 13316:14331 14338:15360 15367:16382" customFormat="1" ht="17.25" customHeight="1" x14ac:dyDescent="0.3">
      <c r="A102" s="88" t="s">
        <v>1040</v>
      </c>
      <c r="B102" s="92">
        <v>0</v>
      </c>
      <c r="C102" s="92">
        <v>36</v>
      </c>
      <c r="D102" s="92">
        <v>0</v>
      </c>
      <c r="E102" s="92">
        <v>0</v>
      </c>
      <c r="F102" s="92">
        <v>0</v>
      </c>
      <c r="G102" s="92">
        <v>0</v>
      </c>
      <c r="H102" s="92">
        <v>36</v>
      </c>
      <c r="I102" s="83"/>
      <c r="J102" s="91"/>
      <c r="K102" s="83"/>
      <c r="L102" s="83"/>
      <c r="M102" s="83"/>
      <c r="N102" s="83"/>
      <c r="O102" s="83"/>
      <c r="P102" s="83"/>
      <c r="Q102" s="83"/>
      <c r="R102" s="83"/>
      <c r="S102" s="83"/>
    </row>
    <row r="103" spans="1:1024 1031:2046 2053:3068 3075:4090 4097:5119 5126:6141 6148:7163 7170:8192 8199:9214 9221:10236 10243:11258 11265:12287 12294:13309 13316:14331 14338:15360 15367:16382" customFormat="1" ht="17.25" customHeight="1" x14ac:dyDescent="0.3">
      <c r="A103" s="88" t="s">
        <v>615</v>
      </c>
      <c r="B103" s="92">
        <v>0</v>
      </c>
      <c r="C103" s="92">
        <v>0</v>
      </c>
      <c r="D103" s="92">
        <v>30</v>
      </c>
      <c r="E103" s="92">
        <v>0</v>
      </c>
      <c r="F103" s="92">
        <v>0</v>
      </c>
      <c r="G103" s="92">
        <v>0</v>
      </c>
      <c r="H103" s="92">
        <v>30</v>
      </c>
      <c r="I103" s="83"/>
      <c r="J103" s="91"/>
      <c r="K103" s="83"/>
      <c r="L103" s="83"/>
      <c r="M103" s="83"/>
      <c r="N103" s="83"/>
      <c r="O103" s="83"/>
      <c r="P103" s="83"/>
      <c r="Q103" s="83"/>
      <c r="R103" s="83"/>
      <c r="S103" s="83"/>
    </row>
    <row r="104" spans="1:1024 1031:2046 2053:3068 3075:4090 4097:5119 5126:6141 6148:7163 7170:8192 8199:9214 9221:10236 10243:11258 11265:12287 12294:13309 13316:14331 14338:15360 15367:16382" customFormat="1" ht="17.25" customHeight="1" x14ac:dyDescent="0.3">
      <c r="A104" s="85" t="s">
        <v>1041</v>
      </c>
      <c r="B104" s="90">
        <v>0</v>
      </c>
      <c r="C104" s="90">
        <v>1</v>
      </c>
      <c r="D104" s="90">
        <v>0</v>
      </c>
      <c r="E104" s="90">
        <v>11</v>
      </c>
      <c r="F104" s="90">
        <v>21</v>
      </c>
      <c r="G104" s="90">
        <v>0</v>
      </c>
      <c r="H104" s="90">
        <v>33</v>
      </c>
      <c r="I104" s="83"/>
      <c r="J104" s="91"/>
      <c r="K104" s="83"/>
      <c r="L104" s="83"/>
      <c r="M104" s="83"/>
      <c r="N104" s="83"/>
      <c r="O104" s="83"/>
      <c r="P104" s="83"/>
      <c r="Q104" s="83"/>
      <c r="R104" s="83"/>
      <c r="S104" s="83"/>
    </row>
    <row r="105" spans="1:1024 1031:2046 2053:3068 3075:4090 4097:5119 5126:6141 6148:7163 7170:8192 8199:9214 9221:10236 10243:11258 11265:12287 12294:13309 13316:14331 14338:15360 15367:16382" customFormat="1" ht="17.25" customHeight="1" x14ac:dyDescent="0.3">
      <c r="A105" s="88" t="s">
        <v>1042</v>
      </c>
      <c r="B105" s="92">
        <v>0</v>
      </c>
      <c r="C105" s="92">
        <v>1</v>
      </c>
      <c r="D105" s="92">
        <v>0</v>
      </c>
      <c r="E105" s="92">
        <v>0</v>
      </c>
      <c r="F105" s="92">
        <v>0</v>
      </c>
      <c r="G105" s="92">
        <v>0</v>
      </c>
      <c r="H105" s="92">
        <v>1</v>
      </c>
      <c r="I105" s="91"/>
      <c r="J105" s="91"/>
      <c r="K105" s="83"/>
      <c r="L105" s="83"/>
      <c r="M105" s="83"/>
      <c r="N105" s="83"/>
      <c r="O105" s="83"/>
      <c r="P105" s="83"/>
      <c r="Q105" s="83"/>
      <c r="R105" s="83"/>
      <c r="S105" s="83"/>
    </row>
    <row r="106" spans="1:1024 1031:2046 2053:3068 3075:4090 4097:5119 5126:6141 6148:7163 7170:8192 8199:9214 9221:10236 10243:11258 11265:12287 12294:13309 13316:14331 14338:15360 15367:16382" customFormat="1" ht="17.25" customHeight="1" x14ac:dyDescent="0.3">
      <c r="A106" s="88" t="s">
        <v>1043</v>
      </c>
      <c r="B106" s="92">
        <v>0</v>
      </c>
      <c r="C106" s="92">
        <v>0</v>
      </c>
      <c r="D106" s="92">
        <v>0</v>
      </c>
      <c r="E106" s="92">
        <v>0</v>
      </c>
      <c r="F106" s="92">
        <v>2</v>
      </c>
      <c r="G106" s="92">
        <v>0</v>
      </c>
      <c r="H106" s="92">
        <v>2</v>
      </c>
      <c r="I106" s="91"/>
      <c r="J106" s="91"/>
      <c r="K106" s="83"/>
      <c r="L106" s="83"/>
      <c r="M106" s="83"/>
      <c r="N106" s="83"/>
      <c r="O106" s="83"/>
      <c r="P106" s="83"/>
      <c r="Q106" s="83"/>
      <c r="R106" s="83"/>
      <c r="S106" s="83"/>
    </row>
    <row r="107" spans="1:1024 1031:2046 2053:3068 3075:4090 4097:5119 5126:6141 6148:7163 7170:8192 8199:9214 9221:10236 10243:11258 11265:12287 12294:13309 13316:14331 14338:15360 15367:16382" customFormat="1" ht="17.25" customHeight="1" x14ac:dyDescent="0.3">
      <c r="A107" s="88" t="s">
        <v>1044</v>
      </c>
      <c r="B107" s="92">
        <v>0</v>
      </c>
      <c r="C107" s="92">
        <v>0</v>
      </c>
      <c r="D107" s="92">
        <v>0</v>
      </c>
      <c r="E107" s="92">
        <v>0</v>
      </c>
      <c r="F107" s="92">
        <v>3</v>
      </c>
      <c r="G107" s="92">
        <v>0</v>
      </c>
      <c r="H107" s="92">
        <v>3</v>
      </c>
      <c r="I107" s="91"/>
      <c r="J107" s="91"/>
      <c r="K107" s="83"/>
      <c r="L107" s="83"/>
      <c r="M107" s="83"/>
      <c r="N107" s="83"/>
      <c r="O107" s="83"/>
      <c r="P107" s="83"/>
      <c r="Q107" s="83"/>
      <c r="R107" s="83"/>
      <c r="S107" s="83"/>
    </row>
    <row r="108" spans="1:1024 1031:2046 2053:3068 3075:4090 4097:5119 5126:6141 6148:7163 7170:8192 8199:9214 9221:10236 10243:11258 11265:12287 12294:13309 13316:14331 14338:15360 15367:16382" customFormat="1" ht="17.25" customHeight="1" x14ac:dyDescent="0.3">
      <c r="A108" s="88" t="s">
        <v>1045</v>
      </c>
      <c r="B108" s="92">
        <v>0</v>
      </c>
      <c r="C108" s="92">
        <v>0</v>
      </c>
      <c r="D108" s="92">
        <v>0</v>
      </c>
      <c r="E108" s="92">
        <v>0</v>
      </c>
      <c r="F108" s="92">
        <v>16</v>
      </c>
      <c r="G108" s="92">
        <v>0</v>
      </c>
      <c r="H108" s="92">
        <v>16</v>
      </c>
      <c r="I108" s="91"/>
      <c r="J108" s="91"/>
      <c r="K108" s="83"/>
      <c r="L108" s="83"/>
      <c r="M108" s="83"/>
      <c r="N108" s="83"/>
      <c r="O108" s="83"/>
      <c r="P108" s="83"/>
      <c r="Q108" s="83"/>
      <c r="R108" s="83"/>
      <c r="S108" s="83"/>
    </row>
    <row r="109" spans="1:1024 1031:2046 2053:3068 3075:4090 4097:5119 5126:6141 6148:7163 7170:8192 8199:9214 9221:10236 10243:11258 11265:12287 12294:13309 13316:14331 14338:15360 15367:16382" customFormat="1" ht="17.25" customHeight="1" x14ac:dyDescent="0.3">
      <c r="A109" s="88" t="s">
        <v>1046</v>
      </c>
      <c r="B109" s="92">
        <v>0</v>
      </c>
      <c r="C109" s="92">
        <v>0</v>
      </c>
      <c r="D109" s="92">
        <v>0</v>
      </c>
      <c r="E109" s="92">
        <v>11</v>
      </c>
      <c r="F109" s="92">
        <v>0</v>
      </c>
      <c r="G109" s="92">
        <v>0</v>
      </c>
      <c r="H109" s="92">
        <v>11</v>
      </c>
      <c r="I109" s="91"/>
      <c r="J109" s="91"/>
      <c r="K109" s="83"/>
      <c r="L109" s="83"/>
      <c r="M109" s="83"/>
      <c r="N109" s="83"/>
      <c r="O109" s="83"/>
      <c r="P109" s="83"/>
      <c r="Q109" s="83"/>
      <c r="R109" s="83"/>
      <c r="S109" s="83"/>
    </row>
    <row r="110" spans="1:1024 1031:2046 2053:3068 3075:4090 4097:5119 5126:6141 6148:7163 7170:8192 8199:9214 9221:10236 10243:11258 11265:12287 12294:13309 13316:14331 14338:15360 15367:16382" customFormat="1" ht="17.25" customHeight="1" x14ac:dyDescent="0.3">
      <c r="A110" s="85" t="s">
        <v>1047</v>
      </c>
      <c r="B110" s="90">
        <v>0</v>
      </c>
      <c r="C110" s="90">
        <v>10</v>
      </c>
      <c r="D110" s="90">
        <v>105</v>
      </c>
      <c r="E110" s="90">
        <v>5</v>
      </c>
      <c r="F110" s="90">
        <v>0</v>
      </c>
      <c r="G110" s="90">
        <v>16</v>
      </c>
      <c r="H110" s="90">
        <v>136</v>
      </c>
      <c r="I110" s="91"/>
      <c r="J110" s="91"/>
      <c r="K110" s="83"/>
      <c r="L110" s="83"/>
      <c r="M110" s="83"/>
      <c r="N110" s="83"/>
      <c r="O110" s="83"/>
      <c r="P110" s="83"/>
      <c r="Q110" s="83"/>
      <c r="R110" s="83"/>
      <c r="S110" s="83"/>
    </row>
    <row r="111" spans="1:1024 1031:2046 2053:3068 3075:4090 4097:5119 5126:6141 6148:7163 7170:8192 8199:9214 9221:10236 10243:11258 11265:12287 12294:13309 13316:14331 14338:15360 15367:16382" customFormat="1" ht="17.25" customHeight="1" x14ac:dyDescent="0.3">
      <c r="A111" s="88" t="s">
        <v>1048</v>
      </c>
      <c r="B111" s="92">
        <v>0</v>
      </c>
      <c r="C111" s="92">
        <v>10</v>
      </c>
      <c r="D111" s="92">
        <v>0</v>
      </c>
      <c r="E111" s="92">
        <v>5</v>
      </c>
      <c r="F111" s="92">
        <v>0</v>
      </c>
      <c r="G111" s="92">
        <v>0</v>
      </c>
      <c r="H111" s="92">
        <v>15</v>
      </c>
      <c r="I111" s="91"/>
      <c r="J111" s="91"/>
      <c r="K111" s="83"/>
      <c r="L111" s="83"/>
      <c r="M111" s="83"/>
      <c r="N111" s="83"/>
      <c r="O111" s="83"/>
      <c r="P111" s="83"/>
      <c r="Q111" s="83"/>
      <c r="R111" s="83"/>
      <c r="S111" s="83"/>
    </row>
    <row r="112" spans="1:1024 1031:2046 2053:3068 3075:4090 4097:5119 5126:6141 6148:7163 7170:8192 8199:9214 9221:10236 10243:11258 11265:12287 12294:13309 13316:14331 14338:15360 15367:16382" customFormat="1" ht="17.25" customHeight="1" x14ac:dyDescent="0.3">
      <c r="A112" s="88" t="s">
        <v>1049</v>
      </c>
      <c r="B112" s="92">
        <v>0</v>
      </c>
      <c r="C112" s="92">
        <v>0</v>
      </c>
      <c r="D112" s="92">
        <v>14</v>
      </c>
      <c r="E112" s="92">
        <v>0</v>
      </c>
      <c r="F112" s="92">
        <v>0</v>
      </c>
      <c r="G112" s="92">
        <v>0</v>
      </c>
      <c r="H112" s="92">
        <v>14</v>
      </c>
      <c r="I112" s="91"/>
      <c r="J112" s="91"/>
      <c r="K112" s="83"/>
      <c r="L112" s="83"/>
      <c r="M112" s="83"/>
      <c r="N112" s="83"/>
      <c r="O112" s="83"/>
      <c r="P112" s="83"/>
      <c r="Q112" s="83"/>
      <c r="R112" s="83"/>
      <c r="S112" s="83"/>
    </row>
    <row r="113" spans="1:19" customFormat="1" ht="17.25" customHeight="1" x14ac:dyDescent="0.3">
      <c r="A113" s="88" t="s">
        <v>1050</v>
      </c>
      <c r="B113" s="92">
        <v>0</v>
      </c>
      <c r="C113" s="92">
        <v>0</v>
      </c>
      <c r="D113" s="92">
        <v>0</v>
      </c>
      <c r="E113" s="92">
        <v>0</v>
      </c>
      <c r="F113" s="92">
        <v>0</v>
      </c>
      <c r="G113" s="92">
        <v>16</v>
      </c>
      <c r="H113" s="92">
        <v>16</v>
      </c>
      <c r="I113" s="91"/>
      <c r="J113" s="91"/>
      <c r="K113" s="83"/>
      <c r="L113" s="83"/>
      <c r="M113" s="83"/>
      <c r="N113" s="83"/>
      <c r="O113" s="83"/>
      <c r="P113" s="83"/>
      <c r="Q113" s="83"/>
      <c r="R113" s="83"/>
      <c r="S113" s="83"/>
    </row>
    <row r="114" spans="1:19" s="95" customFormat="1" ht="17.25" customHeight="1" x14ac:dyDescent="0.3">
      <c r="A114" s="88" t="s">
        <v>1051</v>
      </c>
      <c r="B114" s="92">
        <v>0</v>
      </c>
      <c r="C114" s="92">
        <v>0</v>
      </c>
      <c r="D114" s="92">
        <v>65</v>
      </c>
      <c r="E114" s="92">
        <v>0</v>
      </c>
      <c r="F114" s="92">
        <v>0</v>
      </c>
      <c r="G114" s="92">
        <v>0</v>
      </c>
      <c r="H114" s="92">
        <v>65</v>
      </c>
      <c r="J114" s="91"/>
    </row>
    <row r="115" spans="1:19" customFormat="1" ht="17.25" customHeight="1" x14ac:dyDescent="0.3">
      <c r="A115" s="88" t="s">
        <v>1052</v>
      </c>
      <c r="B115" s="92">
        <v>0</v>
      </c>
      <c r="C115" s="92">
        <v>0</v>
      </c>
      <c r="D115" s="92">
        <v>16</v>
      </c>
      <c r="E115" s="92">
        <v>0</v>
      </c>
      <c r="F115" s="92">
        <v>0</v>
      </c>
      <c r="G115" s="92">
        <v>0</v>
      </c>
      <c r="H115" s="92">
        <v>16</v>
      </c>
      <c r="I115" s="83"/>
      <c r="J115" s="91"/>
      <c r="K115" s="83"/>
      <c r="L115" s="83"/>
      <c r="M115" s="83"/>
      <c r="N115" s="83"/>
      <c r="O115" s="83"/>
      <c r="P115" s="83"/>
      <c r="Q115" s="83"/>
      <c r="R115" s="83"/>
      <c r="S115" s="83"/>
    </row>
    <row r="116" spans="1:19" ht="17.25" customHeight="1" x14ac:dyDescent="0.3">
      <c r="A116" s="88" t="s">
        <v>1053</v>
      </c>
      <c r="B116" s="92">
        <v>0</v>
      </c>
      <c r="C116" s="92">
        <v>0</v>
      </c>
      <c r="D116" s="92">
        <v>10</v>
      </c>
      <c r="E116" s="92">
        <v>0</v>
      </c>
      <c r="F116" s="92">
        <v>0</v>
      </c>
      <c r="G116" s="92">
        <v>0</v>
      </c>
      <c r="H116" s="92">
        <v>10</v>
      </c>
    </row>
    <row r="117" spans="1:19" customFormat="1" ht="17.25" customHeight="1" x14ac:dyDescent="0.3">
      <c r="A117" s="85" t="s">
        <v>1054</v>
      </c>
      <c r="B117" s="90">
        <v>0</v>
      </c>
      <c r="C117" s="90">
        <v>22</v>
      </c>
      <c r="D117" s="90">
        <v>28</v>
      </c>
      <c r="E117" s="90">
        <v>18</v>
      </c>
      <c r="F117" s="90">
        <v>88</v>
      </c>
      <c r="G117" s="90">
        <v>0</v>
      </c>
      <c r="H117" s="90">
        <v>156</v>
      </c>
      <c r="I117" s="83"/>
      <c r="J117" s="83"/>
      <c r="K117" s="83"/>
      <c r="L117" s="83"/>
      <c r="M117" s="83"/>
      <c r="N117" s="83"/>
      <c r="O117" s="83"/>
      <c r="P117" s="83"/>
      <c r="Q117" s="83"/>
      <c r="R117" s="83"/>
      <c r="S117" s="83"/>
    </row>
    <row r="118" spans="1:19" customFormat="1" ht="17.25" customHeight="1" x14ac:dyDescent="0.3">
      <c r="A118" s="88" t="s">
        <v>1055</v>
      </c>
      <c r="B118" s="92">
        <v>0</v>
      </c>
      <c r="C118" s="92">
        <v>0</v>
      </c>
      <c r="D118" s="92">
        <v>0</v>
      </c>
      <c r="E118" s="92">
        <v>9</v>
      </c>
      <c r="F118" s="92">
        <v>88</v>
      </c>
      <c r="G118" s="92">
        <v>0</v>
      </c>
      <c r="H118" s="92">
        <v>97</v>
      </c>
      <c r="I118" s="83"/>
      <c r="J118" s="83"/>
      <c r="K118" s="83"/>
      <c r="L118" s="83"/>
      <c r="M118" s="83"/>
      <c r="N118" s="83"/>
      <c r="O118" s="83"/>
      <c r="P118" s="83"/>
      <c r="Q118" s="83"/>
      <c r="R118" s="83"/>
      <c r="S118" s="83"/>
    </row>
    <row r="119" spans="1:19" customFormat="1" ht="17.25" customHeight="1" x14ac:dyDescent="0.3">
      <c r="A119" s="88" t="s">
        <v>1056</v>
      </c>
      <c r="B119" s="92">
        <v>0</v>
      </c>
      <c r="C119" s="92">
        <v>11</v>
      </c>
      <c r="D119" s="92">
        <v>14</v>
      </c>
      <c r="E119" s="92">
        <v>0</v>
      </c>
      <c r="F119" s="92">
        <v>0</v>
      </c>
      <c r="G119" s="92">
        <v>0</v>
      </c>
      <c r="H119" s="92">
        <v>25</v>
      </c>
      <c r="I119" s="83"/>
      <c r="J119" s="83"/>
      <c r="K119" s="83"/>
      <c r="L119" s="83"/>
      <c r="M119" s="83"/>
      <c r="N119" s="83"/>
      <c r="O119" s="83"/>
      <c r="P119" s="83"/>
      <c r="Q119" s="83"/>
      <c r="R119" s="83"/>
      <c r="S119" s="83"/>
    </row>
    <row r="120" spans="1:19" ht="17.25" customHeight="1" x14ac:dyDescent="0.3">
      <c r="A120" s="88" t="s">
        <v>1057</v>
      </c>
      <c r="B120" s="92">
        <v>0</v>
      </c>
      <c r="C120" s="92">
        <v>5</v>
      </c>
      <c r="D120" s="92">
        <v>14</v>
      </c>
      <c r="E120" s="92">
        <v>0</v>
      </c>
      <c r="F120" s="92">
        <v>0</v>
      </c>
      <c r="G120" s="92">
        <v>0</v>
      </c>
      <c r="H120" s="92">
        <v>19</v>
      </c>
    </row>
    <row r="121" spans="1:19" ht="17.25" customHeight="1" x14ac:dyDescent="0.3">
      <c r="A121" s="88" t="s">
        <v>1058</v>
      </c>
      <c r="B121" s="92">
        <v>0</v>
      </c>
      <c r="C121" s="92">
        <v>0</v>
      </c>
      <c r="D121" s="92">
        <v>0</v>
      </c>
      <c r="E121" s="92">
        <v>9</v>
      </c>
      <c r="F121" s="92">
        <v>0</v>
      </c>
      <c r="G121" s="92">
        <v>0</v>
      </c>
      <c r="H121" s="92">
        <v>9</v>
      </c>
    </row>
    <row r="122" spans="1:19" ht="17.25" customHeight="1" x14ac:dyDescent="0.3">
      <c r="A122" s="88" t="s">
        <v>1059</v>
      </c>
      <c r="B122" s="92">
        <v>0</v>
      </c>
      <c r="C122" s="92">
        <v>6</v>
      </c>
      <c r="D122" s="92">
        <v>0</v>
      </c>
      <c r="E122" s="92">
        <v>0</v>
      </c>
      <c r="F122" s="92">
        <v>0</v>
      </c>
      <c r="G122" s="92">
        <v>0</v>
      </c>
      <c r="H122" s="92">
        <v>6</v>
      </c>
    </row>
    <row r="123" spans="1:19" ht="17.25" customHeight="1" x14ac:dyDescent="0.3">
      <c r="A123" s="96" t="s">
        <v>72</v>
      </c>
      <c r="B123" s="97">
        <f t="shared" ref="B123:H123" si="0">SUM(B117,B110,B104,B85,B69,B53,B46,B25,B17,B7,B4)</f>
        <v>50</v>
      </c>
      <c r="C123" s="97">
        <f t="shared" si="0"/>
        <v>429</v>
      </c>
      <c r="D123" s="97">
        <f t="shared" si="0"/>
        <v>1369</v>
      </c>
      <c r="E123" s="97">
        <f t="shared" si="0"/>
        <v>1402</v>
      </c>
      <c r="F123" s="97">
        <f t="shared" si="0"/>
        <v>636</v>
      </c>
      <c r="G123" s="97">
        <f t="shared" si="0"/>
        <v>18</v>
      </c>
      <c r="H123" s="97">
        <f t="shared" si="0"/>
        <v>3904</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7772-D346-46EC-8D5A-1C063B9516A6}">
  <dimension ref="A1:XFB123"/>
  <sheetViews>
    <sheetView workbookViewId="0"/>
  </sheetViews>
  <sheetFormatPr defaultColWidth="18.44140625" defaultRowHeight="15.75" customHeight="1" x14ac:dyDescent="0.3"/>
  <cols>
    <col min="1" max="1" width="54" style="83" customWidth="1"/>
    <col min="2" max="3" width="18.44140625" style="83" customWidth="1"/>
    <col min="4" max="4" width="18.44140625" style="84" customWidth="1"/>
    <col min="5" max="5" width="18.44140625" style="83" customWidth="1"/>
    <col min="6" max="16384" width="18.44140625" style="83"/>
  </cols>
  <sheetData>
    <row r="1" spans="1:1024 1031:2046 2053:3068 3075:4090 4097:5119 5126:6141 6148:7163 7170:8192 8199:9214 9221:10236 10243:11258 11265:12287 12294:13309 13316:14331 14338:15360 15367:16382" customFormat="1" ht="15.75" customHeight="1" x14ac:dyDescent="0.35">
      <c r="A1" s="28" t="s">
        <v>1060</v>
      </c>
      <c r="B1" s="83"/>
      <c r="C1" s="83"/>
      <c r="D1" s="84"/>
      <c r="E1" s="83"/>
      <c r="F1" s="83"/>
      <c r="G1" s="83"/>
      <c r="H1" s="83"/>
      <c r="I1" s="83"/>
      <c r="J1" s="83"/>
      <c r="K1" s="83"/>
      <c r="L1" s="83"/>
    </row>
    <row r="2" spans="1:1024 1031:2046 2053:3068 3075:4090 4097:5119 5126:6141 6148:7163 7170:8192 8199:9214 9221:10236 10243:11258 11265:12287 12294:13309 13316:14331 14338:15360 15367:16382" customFormat="1" ht="15.75" customHeight="1" x14ac:dyDescent="0.3">
      <c r="A2" s="30" t="s">
        <v>62</v>
      </c>
      <c r="B2" s="83"/>
      <c r="C2" s="83"/>
      <c r="D2" s="84"/>
      <c r="E2" s="83"/>
      <c r="F2" s="83"/>
      <c r="G2" s="83"/>
      <c r="H2" s="83"/>
      <c r="I2" s="83"/>
      <c r="J2" s="83"/>
      <c r="K2" s="83"/>
      <c r="L2" s="83"/>
    </row>
    <row r="3" spans="1:1024 1031:2046 2053:3068 3075:4090 4097:5119 5126:6141 6148:7163 7170:8192 8199:9214 9221:10236 10243:11258 11265:12287 12294:13309 13316:14331 14338:15360 15367:16382" customFormat="1" ht="40.200000000000003" x14ac:dyDescent="0.3">
      <c r="A3" s="52" t="s">
        <v>938</v>
      </c>
      <c r="B3" s="87" t="s">
        <v>939</v>
      </c>
      <c r="C3" s="87" t="s">
        <v>940</v>
      </c>
      <c r="D3" s="87" t="s">
        <v>941</v>
      </c>
      <c r="E3" s="87" t="s">
        <v>942</v>
      </c>
      <c r="F3" s="87" t="s">
        <v>943</v>
      </c>
      <c r="G3" s="87" t="s">
        <v>944</v>
      </c>
      <c r="H3" s="87" t="s">
        <v>945</v>
      </c>
      <c r="I3" s="83"/>
      <c r="J3" s="83"/>
      <c r="K3" s="83"/>
      <c r="L3" s="83"/>
    </row>
    <row r="4" spans="1:1024 1031:2046 2053:3068 3075:4090 4097:5119 5126:6141 6148:7163 7170:8192 8199:9214 9221:10236 10243:11258 11265:12287 12294:13309 13316:14331 14338:15360 15367:16382" customFormat="1" ht="15.75" customHeight="1" x14ac:dyDescent="0.3">
      <c r="A4" s="85" t="s">
        <v>946</v>
      </c>
      <c r="B4" s="98">
        <v>0</v>
      </c>
      <c r="C4" s="98">
        <v>36020</v>
      </c>
      <c r="D4" s="98">
        <v>26953</v>
      </c>
      <c r="E4" s="98">
        <v>150321.34</v>
      </c>
      <c r="F4" s="98">
        <v>0</v>
      </c>
      <c r="G4" s="98">
        <v>0</v>
      </c>
      <c r="H4" s="98">
        <v>213294.34</v>
      </c>
      <c r="I4" s="84"/>
      <c r="J4" s="84"/>
      <c r="K4" s="83"/>
      <c r="L4" s="83"/>
    </row>
    <row r="5" spans="1:1024 1031:2046 2053:3068 3075:4090 4097:5119 5126:6141 6148:7163 7170:8192 8199:9214 9221:10236 10243:11258 11265:12287 12294:13309 13316:14331 14338:15360 15367:16382" customFormat="1" ht="15.75" customHeight="1" x14ac:dyDescent="0.3">
      <c r="A5" s="88" t="s">
        <v>947</v>
      </c>
      <c r="B5" s="99">
        <v>0</v>
      </c>
      <c r="C5" s="99">
        <v>0</v>
      </c>
      <c r="D5" s="99">
        <v>0</v>
      </c>
      <c r="E5" s="99">
        <v>67500</v>
      </c>
      <c r="F5" s="99">
        <v>0</v>
      </c>
      <c r="G5" s="99">
        <v>0</v>
      </c>
      <c r="H5" s="99">
        <v>67500</v>
      </c>
      <c r="I5" s="84"/>
      <c r="J5" s="84"/>
      <c r="K5" s="83"/>
      <c r="L5" s="83"/>
    </row>
    <row r="6" spans="1:1024 1031:2046 2053:3068 3075:4090 4097:5119 5126:6141 6148:7163 7170:8192 8199:9214 9221:10236 10243:11258 11265:12287 12294:13309 13316:14331 14338:15360 15367:16382" customFormat="1" ht="15.75" customHeight="1" x14ac:dyDescent="0.3">
      <c r="A6" s="88" t="s">
        <v>948</v>
      </c>
      <c r="B6" s="99">
        <v>0</v>
      </c>
      <c r="C6" s="99">
        <v>36020</v>
      </c>
      <c r="D6" s="99">
        <v>26953</v>
      </c>
      <c r="E6" s="99">
        <v>82821.34</v>
      </c>
      <c r="F6" s="99">
        <v>0</v>
      </c>
      <c r="G6" s="99">
        <v>0</v>
      </c>
      <c r="H6" s="99">
        <v>145794.34</v>
      </c>
      <c r="I6" s="84"/>
      <c r="J6" s="84"/>
      <c r="K6" s="83"/>
      <c r="L6" s="83"/>
    </row>
    <row r="7" spans="1:1024 1031:2046 2053:3068 3075:4090 4097:5119 5126:6141 6148:7163 7170:8192 8199:9214 9221:10236 10243:11258 11265:12287 12294:13309 13316:14331 14338:15360 15367:16382" s="100" customFormat="1" ht="15.75" customHeight="1" x14ac:dyDescent="0.3">
      <c r="A7" s="85" t="s">
        <v>949</v>
      </c>
      <c r="B7" s="98">
        <v>0</v>
      </c>
      <c r="C7" s="98">
        <v>128775</v>
      </c>
      <c r="D7" s="98">
        <v>206010.27</v>
      </c>
      <c r="E7" s="98">
        <v>146328.32500000001</v>
      </c>
      <c r="F7" s="98">
        <v>23272.01</v>
      </c>
      <c r="G7" s="98">
        <v>0</v>
      </c>
      <c r="H7" s="98">
        <v>504385.60499999998</v>
      </c>
      <c r="I7" s="84"/>
      <c r="J7" s="84"/>
      <c r="K7" s="95"/>
      <c r="L7" s="95"/>
    </row>
    <row r="8" spans="1:1024 1031:2046 2053:3068 3075:4090 4097:5119 5126:6141 6148:7163 7170:8192 8199:9214 9221:10236 10243:11258 11265:12287 12294:13309 13316:14331 14338:15360 15367:16382" customFormat="1" ht="15.75" customHeight="1" x14ac:dyDescent="0.3">
      <c r="A8" s="88" t="s">
        <v>950</v>
      </c>
      <c r="B8" s="99">
        <v>0</v>
      </c>
      <c r="C8" s="99">
        <v>0</v>
      </c>
      <c r="D8" s="99">
        <v>0</v>
      </c>
      <c r="E8" s="99">
        <v>12987.825000000001</v>
      </c>
      <c r="F8" s="99">
        <v>0</v>
      </c>
      <c r="G8" s="99">
        <v>0</v>
      </c>
      <c r="H8" s="99">
        <v>12987.825000000001</v>
      </c>
      <c r="I8" s="84"/>
      <c r="J8" s="84"/>
      <c r="K8" s="83"/>
      <c r="L8" s="83"/>
    </row>
    <row r="9" spans="1:1024 1031:2046 2053:3068 3075:4090 4097:5119 5126:6141 6148:7163 7170:8192 8199:9214 9221:10236 10243:11258 11265:12287 12294:13309 13316:14331 14338:15360 15367:16382" customFormat="1" ht="15.6" customHeight="1" x14ac:dyDescent="0.3">
      <c r="A9" s="88" t="s">
        <v>951</v>
      </c>
      <c r="B9" s="99">
        <v>0</v>
      </c>
      <c r="C9" s="99">
        <v>0</v>
      </c>
      <c r="D9" s="99">
        <v>86676</v>
      </c>
      <c r="E9" s="99">
        <v>0</v>
      </c>
      <c r="F9" s="99">
        <v>0</v>
      </c>
      <c r="G9" s="99">
        <v>0</v>
      </c>
      <c r="H9" s="99">
        <v>86676</v>
      </c>
      <c r="I9" s="84"/>
      <c r="J9" s="84"/>
      <c r="K9" s="83"/>
      <c r="L9" s="83"/>
    </row>
    <row r="10" spans="1:1024 1031:2046 2053:3068 3075:4090 4097:5119 5126:6141 6148:7163 7170:8192 8199:9214 9221:10236 10243:11258 11265:12287 12294:13309 13316:14331 14338:15360 15367:16382" customFormat="1" ht="15.75" customHeight="1" x14ac:dyDescent="0.3">
      <c r="A10" s="88" t="s">
        <v>952</v>
      </c>
      <c r="B10" s="99">
        <v>0</v>
      </c>
      <c r="C10" s="99">
        <v>0</v>
      </c>
      <c r="D10" s="99">
        <v>0</v>
      </c>
      <c r="E10" s="99">
        <v>0</v>
      </c>
      <c r="F10" s="99">
        <v>20055.75</v>
      </c>
      <c r="G10" s="99">
        <v>0</v>
      </c>
      <c r="H10" s="99">
        <v>20055.75</v>
      </c>
      <c r="I10" s="84"/>
      <c r="J10" s="84"/>
      <c r="K10" s="83"/>
      <c r="L10" s="83"/>
    </row>
    <row r="11" spans="1:1024 1031:2046 2053:3068 3075:4090 4097:5119 5126:6141 6148:7163 7170:8192 8199:9214 9221:10236 10243:11258 11265:12287 12294:13309 13316:14331 14338:15360 15367:16382" customFormat="1" ht="15.75" customHeight="1" x14ac:dyDescent="0.3">
      <c r="A11" s="88" t="s">
        <v>953</v>
      </c>
      <c r="B11" s="99">
        <v>0</v>
      </c>
      <c r="C11" s="99">
        <v>0</v>
      </c>
      <c r="D11" s="99">
        <v>0</v>
      </c>
      <c r="E11" s="99">
        <v>0</v>
      </c>
      <c r="F11" s="99">
        <v>3216.26</v>
      </c>
      <c r="G11" s="99">
        <v>0</v>
      </c>
      <c r="H11" s="99">
        <v>3216.26</v>
      </c>
      <c r="I11" s="84"/>
      <c r="J11" s="84"/>
      <c r="K11" s="83"/>
      <c r="L11" s="83"/>
    </row>
    <row r="12" spans="1:1024 1031:2046 2053:3068 3075:4090 4097:5119 5126:6141 6148:7163 7170:8192 8199:9214 9221:10236 10243:11258 11265:12287 12294:13309 13316:14331 14338:15360 15367:16382" customFormat="1" ht="15.75" customHeight="1" x14ac:dyDescent="0.3">
      <c r="A12" s="88" t="s">
        <v>954</v>
      </c>
      <c r="B12" s="99">
        <v>0</v>
      </c>
      <c r="C12" s="99">
        <v>0</v>
      </c>
      <c r="D12" s="99">
        <v>74250.27</v>
      </c>
      <c r="E12" s="99">
        <v>0</v>
      </c>
      <c r="F12" s="99">
        <v>0</v>
      </c>
      <c r="G12" s="99">
        <v>0</v>
      </c>
      <c r="H12" s="99">
        <v>74250.27</v>
      </c>
      <c r="I12" s="84"/>
      <c r="J12" s="84"/>
      <c r="K12" s="83"/>
      <c r="L12" s="83"/>
    </row>
    <row r="13" spans="1:1024 1031:2046 2053:3068 3075:4090 4097:5119 5126:6141 6148:7163 7170:8192 8199:9214 9221:10236 10243:11258 11265:12287 12294:13309 13316:14331 14338:15360 15367:16382" s="100" customFormat="1" ht="15.75" customHeight="1" x14ac:dyDescent="0.3">
      <c r="A13" s="88" t="s">
        <v>955</v>
      </c>
      <c r="B13" s="99">
        <v>0</v>
      </c>
      <c r="C13" s="99">
        <v>51000</v>
      </c>
      <c r="D13" s="99">
        <v>0</v>
      </c>
      <c r="E13" s="99">
        <v>30000</v>
      </c>
      <c r="F13" s="99">
        <v>0</v>
      </c>
      <c r="G13" s="99">
        <v>0</v>
      </c>
      <c r="H13" s="99">
        <v>81000</v>
      </c>
      <c r="I13" s="84"/>
      <c r="J13" s="84"/>
      <c r="K13" s="95"/>
      <c r="L13" s="95"/>
    </row>
    <row r="14" spans="1:1024 1031:2046 2053:3068 3075:4090 4097:5119 5126:6141 6148:7163 7170:8192 8199:9214 9221:10236 10243:11258 11265:12287 12294:13309 13316:14331 14338:15360 15367:16382" customFormat="1" ht="15.75" customHeight="1" x14ac:dyDescent="0.3">
      <c r="A14" s="88" t="s">
        <v>956</v>
      </c>
      <c r="B14" s="99">
        <v>0</v>
      </c>
      <c r="C14" s="99">
        <v>77775</v>
      </c>
      <c r="D14" s="99">
        <v>0</v>
      </c>
      <c r="E14" s="99">
        <v>0</v>
      </c>
      <c r="F14" s="99">
        <v>0</v>
      </c>
      <c r="G14" s="99">
        <v>0</v>
      </c>
      <c r="H14" s="99">
        <v>77775</v>
      </c>
      <c r="I14" s="84"/>
      <c r="J14" s="84"/>
      <c r="K14" s="83"/>
      <c r="L14" s="83"/>
    </row>
    <row r="15" spans="1:1024 1031:2046 2053:3068 3075:4090 4097:5119 5126:6141 6148:7163 7170:8192 8199:9214 9221:10236 10243:11258 11265:12287 12294:13309 13316:14331 14338:15360 15367:16382" customFormat="1" ht="15.75" customHeight="1" x14ac:dyDescent="0.3">
      <c r="A15" s="88" t="s">
        <v>957</v>
      </c>
      <c r="B15" s="99">
        <v>0</v>
      </c>
      <c r="C15" s="99">
        <v>0</v>
      </c>
      <c r="D15" s="99">
        <v>0</v>
      </c>
      <c r="E15" s="99">
        <v>103340.5</v>
      </c>
      <c r="F15" s="99">
        <v>0</v>
      </c>
      <c r="G15" s="99">
        <v>0</v>
      </c>
      <c r="H15" s="99">
        <v>103340.5</v>
      </c>
      <c r="I15" s="84"/>
      <c r="J15" s="84"/>
      <c r="K15" s="83"/>
      <c r="L15" s="83"/>
    </row>
    <row r="16" spans="1:1024 1031:2046 2053:3068 3075:4090 4097:5119 5126:6141 6148:7163 7170:8192 8199:9214 9221:10236 10243:11258 11265:12287 12294:13309 13316:14331 14338:15360 15367:16382" s="98" customFormat="1" ht="15.75" customHeight="1" x14ac:dyDescent="0.3">
      <c r="A16" s="88" t="s">
        <v>958</v>
      </c>
      <c r="B16" s="99">
        <v>0</v>
      </c>
      <c r="C16" s="99">
        <v>0</v>
      </c>
      <c r="D16" s="99">
        <v>45084</v>
      </c>
      <c r="E16" s="99">
        <v>0</v>
      </c>
      <c r="F16" s="99">
        <v>0</v>
      </c>
      <c r="G16" s="99">
        <v>0</v>
      </c>
      <c r="H16" s="99">
        <v>45084</v>
      </c>
      <c r="I16" s="84"/>
      <c r="J16" s="84"/>
      <c r="P16" s="85"/>
      <c r="W16" s="85"/>
      <c r="AD16" s="85"/>
      <c r="AK16" s="85"/>
      <c r="AR16" s="85"/>
      <c r="AY16" s="85"/>
      <c r="BF16" s="85"/>
      <c r="BM16" s="85"/>
      <c r="BT16" s="85"/>
      <c r="CA16" s="85"/>
      <c r="CH16" s="85"/>
      <c r="CO16" s="85"/>
      <c r="CV16" s="85"/>
      <c r="DC16" s="85"/>
      <c r="DJ16" s="85"/>
      <c r="DQ16" s="85"/>
      <c r="DX16" s="85"/>
      <c r="EE16" s="85"/>
      <c r="EL16" s="85"/>
      <c r="ES16" s="85"/>
      <c r="EZ16" s="85"/>
      <c r="FG16" s="85"/>
      <c r="FN16" s="85"/>
      <c r="FU16" s="85"/>
      <c r="GB16" s="85"/>
      <c r="GI16" s="85"/>
      <c r="GP16" s="85"/>
      <c r="GW16" s="85"/>
      <c r="HD16" s="85"/>
      <c r="HK16" s="85"/>
      <c r="HR16" s="85"/>
      <c r="HY16" s="85"/>
      <c r="IF16" s="85"/>
      <c r="IM16" s="85"/>
      <c r="IT16" s="85"/>
      <c r="JA16" s="85"/>
      <c r="JH16" s="85"/>
      <c r="JO16" s="85"/>
      <c r="JV16" s="85"/>
      <c r="KC16" s="85"/>
      <c r="KJ16" s="85"/>
      <c r="KQ16" s="85"/>
      <c r="KX16" s="85"/>
      <c r="LE16" s="85"/>
      <c r="LL16" s="85"/>
      <c r="LS16" s="85"/>
      <c r="LZ16" s="85"/>
      <c r="MG16" s="85"/>
      <c r="MN16" s="85"/>
      <c r="MU16" s="85"/>
      <c r="NB16" s="85"/>
      <c r="NI16" s="85"/>
      <c r="NP16" s="85"/>
      <c r="NW16" s="85"/>
      <c r="OD16" s="85"/>
      <c r="OK16" s="85"/>
      <c r="OR16" s="85"/>
      <c r="OY16" s="85"/>
      <c r="PF16" s="85"/>
      <c r="PM16" s="85"/>
      <c r="PT16" s="85"/>
      <c r="QA16" s="85"/>
      <c r="QH16" s="85"/>
      <c r="QO16" s="85"/>
      <c r="QV16" s="85"/>
      <c r="RC16" s="85"/>
      <c r="RJ16" s="85"/>
      <c r="RQ16" s="85"/>
      <c r="RX16" s="85"/>
      <c r="SE16" s="85"/>
      <c r="SL16" s="85"/>
      <c r="SS16" s="85"/>
      <c r="SZ16" s="85"/>
      <c r="TG16" s="85"/>
      <c r="TN16" s="85"/>
      <c r="TU16" s="85"/>
      <c r="UB16" s="85"/>
      <c r="UI16" s="85"/>
      <c r="UP16" s="85"/>
      <c r="UW16" s="85"/>
      <c r="VD16" s="85"/>
      <c r="VK16" s="85"/>
      <c r="VR16" s="85"/>
      <c r="VY16" s="85"/>
      <c r="WF16" s="85"/>
      <c r="WM16" s="85"/>
      <c r="WT16" s="85"/>
      <c r="XA16" s="85"/>
      <c r="XH16" s="85"/>
      <c r="XO16" s="85"/>
      <c r="XV16" s="85"/>
      <c r="YC16" s="85"/>
      <c r="YJ16" s="85"/>
      <c r="YQ16" s="85"/>
      <c r="YX16" s="85"/>
      <c r="ZE16" s="85"/>
      <c r="ZL16" s="85"/>
      <c r="ZS16" s="85"/>
      <c r="ZZ16" s="85"/>
      <c r="AAG16" s="85"/>
      <c r="AAN16" s="85"/>
      <c r="AAU16" s="85"/>
      <c r="ABB16" s="85"/>
      <c r="ABI16" s="85"/>
      <c r="ABP16" s="85"/>
      <c r="ABW16" s="85"/>
      <c r="ACD16" s="85"/>
      <c r="ACK16" s="85"/>
      <c r="ACR16" s="85"/>
      <c r="ACY16" s="85"/>
      <c r="ADF16" s="85"/>
      <c r="ADM16" s="85"/>
      <c r="ADT16" s="85"/>
      <c r="AEA16" s="85"/>
      <c r="AEH16" s="85"/>
      <c r="AEO16" s="85"/>
      <c r="AEV16" s="85"/>
      <c r="AFC16" s="85"/>
      <c r="AFJ16" s="85"/>
      <c r="AFQ16" s="85"/>
      <c r="AFX16" s="85"/>
      <c r="AGE16" s="85"/>
      <c r="AGL16" s="85"/>
      <c r="AGS16" s="85"/>
      <c r="AGZ16" s="85"/>
      <c r="AHG16" s="85"/>
      <c r="AHN16" s="85"/>
      <c r="AHU16" s="85"/>
      <c r="AIB16" s="85"/>
      <c r="AII16" s="85"/>
      <c r="AIP16" s="85"/>
      <c r="AIW16" s="85"/>
      <c r="AJD16" s="85"/>
      <c r="AJK16" s="85"/>
      <c r="AJR16" s="85"/>
      <c r="AJY16" s="85"/>
      <c r="AKF16" s="85"/>
      <c r="AKM16" s="85"/>
      <c r="AKT16" s="85"/>
      <c r="ALA16" s="85"/>
      <c r="ALH16" s="85"/>
      <c r="ALO16" s="85"/>
      <c r="ALV16" s="85"/>
      <c r="AMC16" s="85"/>
      <c r="AMJ16" s="85"/>
      <c r="AMQ16" s="85"/>
      <c r="AMX16" s="85"/>
      <c r="ANE16" s="85"/>
      <c r="ANL16" s="85"/>
      <c r="ANS16" s="85"/>
      <c r="ANZ16" s="85"/>
      <c r="AOG16" s="85"/>
      <c r="AON16" s="85"/>
      <c r="AOU16" s="85"/>
      <c r="APB16" s="85"/>
      <c r="API16" s="85"/>
      <c r="APP16" s="85"/>
      <c r="APW16" s="85"/>
      <c r="AQD16" s="85"/>
      <c r="AQK16" s="85"/>
      <c r="AQR16" s="85"/>
      <c r="AQY16" s="85"/>
      <c r="ARF16" s="85"/>
      <c r="ARM16" s="85"/>
      <c r="ART16" s="85"/>
      <c r="ASA16" s="85"/>
      <c r="ASH16" s="85"/>
      <c r="ASO16" s="85"/>
      <c r="ASV16" s="85"/>
      <c r="ATC16" s="85"/>
      <c r="ATJ16" s="85"/>
      <c r="ATQ16" s="85"/>
      <c r="ATX16" s="85"/>
      <c r="AUE16" s="85"/>
      <c r="AUL16" s="85"/>
      <c r="AUS16" s="85"/>
      <c r="AUZ16" s="85"/>
      <c r="AVG16" s="85"/>
      <c r="AVN16" s="85"/>
      <c r="AVU16" s="85"/>
      <c r="AWB16" s="85"/>
      <c r="AWI16" s="85"/>
      <c r="AWP16" s="85"/>
      <c r="AWW16" s="85"/>
      <c r="AXD16" s="85"/>
      <c r="AXK16" s="85"/>
      <c r="AXR16" s="85"/>
      <c r="AXY16" s="85"/>
      <c r="AYF16" s="85"/>
      <c r="AYM16" s="85"/>
      <c r="AYT16" s="85"/>
      <c r="AZA16" s="85"/>
      <c r="AZH16" s="85"/>
      <c r="AZO16" s="85"/>
      <c r="AZV16" s="85"/>
      <c r="BAC16" s="85"/>
      <c r="BAJ16" s="85"/>
      <c r="BAQ16" s="85"/>
      <c r="BAX16" s="85"/>
      <c r="BBE16" s="85"/>
      <c r="BBL16" s="85"/>
      <c r="BBS16" s="85"/>
      <c r="BBZ16" s="85"/>
      <c r="BCG16" s="85"/>
      <c r="BCN16" s="85"/>
      <c r="BCU16" s="85"/>
      <c r="BDB16" s="85"/>
      <c r="BDI16" s="85"/>
      <c r="BDP16" s="85"/>
      <c r="BDW16" s="85"/>
      <c r="BED16" s="85"/>
      <c r="BEK16" s="85"/>
      <c r="BER16" s="85"/>
      <c r="BEY16" s="85"/>
      <c r="BFF16" s="85"/>
      <c r="BFM16" s="85"/>
      <c r="BFT16" s="85"/>
      <c r="BGA16" s="85"/>
      <c r="BGH16" s="85"/>
      <c r="BGO16" s="85"/>
      <c r="BGV16" s="85"/>
      <c r="BHC16" s="85"/>
      <c r="BHJ16" s="85"/>
      <c r="BHQ16" s="85"/>
      <c r="BHX16" s="85"/>
      <c r="BIE16" s="85"/>
      <c r="BIL16" s="85"/>
      <c r="BIS16" s="85"/>
      <c r="BIZ16" s="85"/>
      <c r="BJG16" s="85"/>
      <c r="BJN16" s="85"/>
      <c r="BJU16" s="85"/>
      <c r="BKB16" s="85"/>
      <c r="BKI16" s="85"/>
      <c r="BKP16" s="85"/>
      <c r="BKW16" s="85"/>
      <c r="BLD16" s="85"/>
      <c r="BLK16" s="85"/>
      <c r="BLR16" s="85"/>
      <c r="BLY16" s="85"/>
      <c r="BMF16" s="85"/>
      <c r="BMM16" s="85"/>
      <c r="BMT16" s="85"/>
      <c r="BNA16" s="85"/>
      <c r="BNH16" s="85"/>
      <c r="BNO16" s="85"/>
      <c r="BNV16" s="85"/>
      <c r="BOC16" s="85"/>
      <c r="BOJ16" s="85"/>
      <c r="BOQ16" s="85"/>
      <c r="BOX16" s="85"/>
      <c r="BPE16" s="85"/>
      <c r="BPL16" s="85"/>
      <c r="BPS16" s="85"/>
      <c r="BPZ16" s="85"/>
      <c r="BQG16" s="85"/>
      <c r="BQN16" s="85"/>
      <c r="BQU16" s="85"/>
      <c r="BRB16" s="85"/>
      <c r="BRI16" s="85"/>
      <c r="BRP16" s="85"/>
      <c r="BRW16" s="85"/>
      <c r="BSD16" s="85"/>
      <c r="BSK16" s="85"/>
      <c r="BSR16" s="85"/>
      <c r="BSY16" s="85"/>
      <c r="BTF16" s="85"/>
      <c r="BTM16" s="85"/>
      <c r="BTT16" s="85"/>
      <c r="BUA16" s="85"/>
      <c r="BUH16" s="85"/>
      <c r="BUO16" s="85"/>
      <c r="BUV16" s="85"/>
      <c r="BVC16" s="85"/>
      <c r="BVJ16" s="85"/>
      <c r="BVQ16" s="85"/>
      <c r="BVX16" s="85"/>
      <c r="BWE16" s="85"/>
      <c r="BWL16" s="85"/>
      <c r="BWS16" s="85"/>
      <c r="BWZ16" s="85"/>
      <c r="BXG16" s="85"/>
      <c r="BXN16" s="85"/>
      <c r="BXU16" s="85"/>
      <c r="BYB16" s="85"/>
      <c r="BYI16" s="85"/>
      <c r="BYP16" s="85"/>
      <c r="BYW16" s="85"/>
      <c r="BZD16" s="85"/>
      <c r="BZK16" s="85"/>
      <c r="BZR16" s="85"/>
      <c r="BZY16" s="85"/>
      <c r="CAF16" s="85"/>
      <c r="CAM16" s="85"/>
      <c r="CAT16" s="85"/>
      <c r="CBA16" s="85"/>
      <c r="CBH16" s="85"/>
      <c r="CBO16" s="85"/>
      <c r="CBV16" s="85"/>
      <c r="CCC16" s="85"/>
      <c r="CCJ16" s="85"/>
      <c r="CCQ16" s="85"/>
      <c r="CCX16" s="85"/>
      <c r="CDE16" s="85"/>
      <c r="CDL16" s="85"/>
      <c r="CDS16" s="85"/>
      <c r="CDZ16" s="85"/>
      <c r="CEG16" s="85"/>
      <c r="CEN16" s="85"/>
      <c r="CEU16" s="85"/>
      <c r="CFB16" s="85"/>
      <c r="CFI16" s="85"/>
      <c r="CFP16" s="85"/>
      <c r="CFW16" s="85"/>
      <c r="CGD16" s="85"/>
      <c r="CGK16" s="85"/>
      <c r="CGR16" s="85"/>
      <c r="CGY16" s="85"/>
      <c r="CHF16" s="85"/>
      <c r="CHM16" s="85"/>
      <c r="CHT16" s="85"/>
      <c r="CIA16" s="85"/>
      <c r="CIH16" s="85"/>
      <c r="CIO16" s="85"/>
      <c r="CIV16" s="85"/>
      <c r="CJC16" s="85"/>
      <c r="CJJ16" s="85"/>
      <c r="CJQ16" s="85"/>
      <c r="CJX16" s="85"/>
      <c r="CKE16" s="85"/>
      <c r="CKL16" s="85"/>
      <c r="CKS16" s="85"/>
      <c r="CKZ16" s="85"/>
      <c r="CLG16" s="85"/>
      <c r="CLN16" s="85"/>
      <c r="CLU16" s="85"/>
      <c r="CMB16" s="85"/>
      <c r="CMI16" s="85"/>
      <c r="CMP16" s="85"/>
      <c r="CMW16" s="85"/>
      <c r="CND16" s="85"/>
      <c r="CNK16" s="85"/>
      <c r="CNR16" s="85"/>
      <c r="CNY16" s="85"/>
      <c r="COF16" s="85"/>
      <c r="COM16" s="85"/>
      <c r="COT16" s="85"/>
      <c r="CPA16" s="85"/>
      <c r="CPH16" s="85"/>
      <c r="CPO16" s="85"/>
      <c r="CPV16" s="85"/>
      <c r="CQC16" s="85"/>
      <c r="CQJ16" s="85"/>
      <c r="CQQ16" s="85"/>
      <c r="CQX16" s="85"/>
      <c r="CRE16" s="85"/>
      <c r="CRL16" s="85"/>
      <c r="CRS16" s="85"/>
      <c r="CRZ16" s="85"/>
      <c r="CSG16" s="85"/>
      <c r="CSN16" s="85"/>
      <c r="CSU16" s="85"/>
      <c r="CTB16" s="85"/>
      <c r="CTI16" s="85"/>
      <c r="CTP16" s="85"/>
      <c r="CTW16" s="85"/>
      <c r="CUD16" s="85"/>
      <c r="CUK16" s="85"/>
      <c r="CUR16" s="85"/>
      <c r="CUY16" s="85"/>
      <c r="CVF16" s="85"/>
      <c r="CVM16" s="85"/>
      <c r="CVT16" s="85"/>
      <c r="CWA16" s="85"/>
      <c r="CWH16" s="85"/>
      <c r="CWO16" s="85"/>
      <c r="CWV16" s="85"/>
      <c r="CXC16" s="85"/>
      <c r="CXJ16" s="85"/>
      <c r="CXQ16" s="85"/>
      <c r="CXX16" s="85"/>
      <c r="CYE16" s="85"/>
      <c r="CYL16" s="85"/>
      <c r="CYS16" s="85"/>
      <c r="CYZ16" s="85"/>
      <c r="CZG16" s="85"/>
      <c r="CZN16" s="85"/>
      <c r="CZU16" s="85"/>
      <c r="DAB16" s="85"/>
      <c r="DAI16" s="85"/>
      <c r="DAP16" s="85"/>
      <c r="DAW16" s="85"/>
      <c r="DBD16" s="85"/>
      <c r="DBK16" s="85"/>
      <c r="DBR16" s="85"/>
      <c r="DBY16" s="85"/>
      <c r="DCF16" s="85"/>
      <c r="DCM16" s="85"/>
      <c r="DCT16" s="85"/>
      <c r="DDA16" s="85"/>
      <c r="DDH16" s="85"/>
      <c r="DDO16" s="85"/>
      <c r="DDV16" s="85"/>
      <c r="DEC16" s="85"/>
      <c r="DEJ16" s="85"/>
      <c r="DEQ16" s="85"/>
      <c r="DEX16" s="85"/>
      <c r="DFE16" s="85"/>
      <c r="DFL16" s="85"/>
      <c r="DFS16" s="85"/>
      <c r="DFZ16" s="85"/>
      <c r="DGG16" s="85"/>
      <c r="DGN16" s="85"/>
      <c r="DGU16" s="85"/>
      <c r="DHB16" s="85"/>
      <c r="DHI16" s="85"/>
      <c r="DHP16" s="85"/>
      <c r="DHW16" s="85"/>
      <c r="DID16" s="85"/>
      <c r="DIK16" s="85"/>
      <c r="DIR16" s="85"/>
      <c r="DIY16" s="85"/>
      <c r="DJF16" s="85"/>
      <c r="DJM16" s="85"/>
      <c r="DJT16" s="85"/>
      <c r="DKA16" s="85"/>
      <c r="DKH16" s="85"/>
      <c r="DKO16" s="85"/>
      <c r="DKV16" s="85"/>
      <c r="DLC16" s="85"/>
      <c r="DLJ16" s="85"/>
      <c r="DLQ16" s="85"/>
      <c r="DLX16" s="85"/>
      <c r="DME16" s="85"/>
      <c r="DML16" s="85"/>
      <c r="DMS16" s="85"/>
      <c r="DMZ16" s="85"/>
      <c r="DNG16" s="85"/>
      <c r="DNN16" s="85"/>
      <c r="DNU16" s="85"/>
      <c r="DOB16" s="85"/>
      <c r="DOI16" s="85"/>
      <c r="DOP16" s="85"/>
      <c r="DOW16" s="85"/>
      <c r="DPD16" s="85"/>
      <c r="DPK16" s="85"/>
      <c r="DPR16" s="85"/>
      <c r="DPY16" s="85"/>
      <c r="DQF16" s="85"/>
      <c r="DQM16" s="85"/>
      <c r="DQT16" s="85"/>
      <c r="DRA16" s="85"/>
      <c r="DRH16" s="85"/>
      <c r="DRO16" s="85"/>
      <c r="DRV16" s="85"/>
      <c r="DSC16" s="85"/>
      <c r="DSJ16" s="85"/>
      <c r="DSQ16" s="85"/>
      <c r="DSX16" s="85"/>
      <c r="DTE16" s="85"/>
      <c r="DTL16" s="85"/>
      <c r="DTS16" s="85"/>
      <c r="DTZ16" s="85"/>
      <c r="DUG16" s="85"/>
      <c r="DUN16" s="85"/>
      <c r="DUU16" s="85"/>
      <c r="DVB16" s="85"/>
      <c r="DVI16" s="85"/>
      <c r="DVP16" s="85"/>
      <c r="DVW16" s="85"/>
      <c r="DWD16" s="85"/>
      <c r="DWK16" s="85"/>
      <c r="DWR16" s="85"/>
      <c r="DWY16" s="85"/>
      <c r="DXF16" s="85"/>
      <c r="DXM16" s="85"/>
      <c r="DXT16" s="85"/>
      <c r="DYA16" s="85"/>
      <c r="DYH16" s="85"/>
      <c r="DYO16" s="85"/>
      <c r="DYV16" s="85"/>
      <c r="DZC16" s="85"/>
      <c r="DZJ16" s="85"/>
      <c r="DZQ16" s="85"/>
      <c r="DZX16" s="85"/>
      <c r="EAE16" s="85"/>
      <c r="EAL16" s="85"/>
      <c r="EAS16" s="85"/>
      <c r="EAZ16" s="85"/>
      <c r="EBG16" s="85"/>
      <c r="EBN16" s="85"/>
      <c r="EBU16" s="85"/>
      <c r="ECB16" s="85"/>
      <c r="ECI16" s="85"/>
      <c r="ECP16" s="85"/>
      <c r="ECW16" s="85"/>
      <c r="EDD16" s="85"/>
      <c r="EDK16" s="85"/>
      <c r="EDR16" s="85"/>
      <c r="EDY16" s="85"/>
      <c r="EEF16" s="85"/>
      <c r="EEM16" s="85"/>
      <c r="EET16" s="85"/>
      <c r="EFA16" s="85"/>
      <c r="EFH16" s="85"/>
      <c r="EFO16" s="85"/>
      <c r="EFV16" s="85"/>
      <c r="EGC16" s="85"/>
      <c r="EGJ16" s="85"/>
      <c r="EGQ16" s="85"/>
      <c r="EGX16" s="85"/>
      <c r="EHE16" s="85"/>
      <c r="EHL16" s="85"/>
      <c r="EHS16" s="85"/>
      <c r="EHZ16" s="85"/>
      <c r="EIG16" s="85"/>
      <c r="EIN16" s="85"/>
      <c r="EIU16" s="85"/>
      <c r="EJB16" s="85"/>
      <c r="EJI16" s="85"/>
      <c r="EJP16" s="85"/>
      <c r="EJW16" s="85"/>
      <c r="EKD16" s="85"/>
      <c r="EKK16" s="85"/>
      <c r="EKR16" s="85"/>
      <c r="EKY16" s="85"/>
      <c r="ELF16" s="85"/>
      <c r="ELM16" s="85"/>
      <c r="ELT16" s="85"/>
      <c r="EMA16" s="85"/>
      <c r="EMH16" s="85"/>
      <c r="EMO16" s="85"/>
      <c r="EMV16" s="85"/>
      <c r="ENC16" s="85"/>
      <c r="ENJ16" s="85"/>
      <c r="ENQ16" s="85"/>
      <c r="ENX16" s="85"/>
      <c r="EOE16" s="85"/>
      <c r="EOL16" s="85"/>
      <c r="EOS16" s="85"/>
      <c r="EOZ16" s="85"/>
      <c r="EPG16" s="85"/>
      <c r="EPN16" s="85"/>
      <c r="EPU16" s="85"/>
      <c r="EQB16" s="85"/>
      <c r="EQI16" s="85"/>
      <c r="EQP16" s="85"/>
      <c r="EQW16" s="85"/>
      <c r="ERD16" s="85"/>
      <c r="ERK16" s="85"/>
      <c r="ERR16" s="85"/>
      <c r="ERY16" s="85"/>
      <c r="ESF16" s="85"/>
      <c r="ESM16" s="85"/>
      <c r="EST16" s="85"/>
      <c r="ETA16" s="85"/>
      <c r="ETH16" s="85"/>
      <c r="ETO16" s="85"/>
      <c r="ETV16" s="85"/>
      <c r="EUC16" s="85"/>
      <c r="EUJ16" s="85"/>
      <c r="EUQ16" s="85"/>
      <c r="EUX16" s="85"/>
      <c r="EVE16" s="85"/>
      <c r="EVL16" s="85"/>
      <c r="EVS16" s="85"/>
      <c r="EVZ16" s="85"/>
      <c r="EWG16" s="85"/>
      <c r="EWN16" s="85"/>
      <c r="EWU16" s="85"/>
      <c r="EXB16" s="85"/>
      <c r="EXI16" s="85"/>
      <c r="EXP16" s="85"/>
      <c r="EXW16" s="85"/>
      <c r="EYD16" s="85"/>
      <c r="EYK16" s="85"/>
      <c r="EYR16" s="85"/>
      <c r="EYY16" s="85"/>
      <c r="EZF16" s="85"/>
      <c r="EZM16" s="85"/>
      <c r="EZT16" s="85"/>
      <c r="FAA16" s="85"/>
      <c r="FAH16" s="85"/>
      <c r="FAO16" s="85"/>
      <c r="FAV16" s="85"/>
      <c r="FBC16" s="85"/>
      <c r="FBJ16" s="85"/>
      <c r="FBQ16" s="85"/>
      <c r="FBX16" s="85"/>
      <c r="FCE16" s="85"/>
      <c r="FCL16" s="85"/>
      <c r="FCS16" s="85"/>
      <c r="FCZ16" s="85"/>
      <c r="FDG16" s="85"/>
      <c r="FDN16" s="85"/>
      <c r="FDU16" s="85"/>
      <c r="FEB16" s="85"/>
      <c r="FEI16" s="85"/>
      <c r="FEP16" s="85"/>
      <c r="FEW16" s="85"/>
      <c r="FFD16" s="85"/>
      <c r="FFK16" s="85"/>
      <c r="FFR16" s="85"/>
      <c r="FFY16" s="85"/>
      <c r="FGF16" s="85"/>
      <c r="FGM16" s="85"/>
      <c r="FGT16" s="85"/>
      <c r="FHA16" s="85"/>
      <c r="FHH16" s="85"/>
      <c r="FHO16" s="85"/>
      <c r="FHV16" s="85"/>
      <c r="FIC16" s="85"/>
      <c r="FIJ16" s="85"/>
      <c r="FIQ16" s="85"/>
      <c r="FIX16" s="85"/>
      <c r="FJE16" s="85"/>
      <c r="FJL16" s="85"/>
      <c r="FJS16" s="85"/>
      <c r="FJZ16" s="85"/>
      <c r="FKG16" s="85"/>
      <c r="FKN16" s="85"/>
      <c r="FKU16" s="85"/>
      <c r="FLB16" s="85"/>
      <c r="FLI16" s="85"/>
      <c r="FLP16" s="85"/>
      <c r="FLW16" s="85"/>
      <c r="FMD16" s="85"/>
      <c r="FMK16" s="85"/>
      <c r="FMR16" s="85"/>
      <c r="FMY16" s="85"/>
      <c r="FNF16" s="85"/>
      <c r="FNM16" s="85"/>
      <c r="FNT16" s="85"/>
      <c r="FOA16" s="85"/>
      <c r="FOH16" s="85"/>
      <c r="FOO16" s="85"/>
      <c r="FOV16" s="85"/>
      <c r="FPC16" s="85"/>
      <c r="FPJ16" s="85"/>
      <c r="FPQ16" s="85"/>
      <c r="FPX16" s="85"/>
      <c r="FQE16" s="85"/>
      <c r="FQL16" s="85"/>
      <c r="FQS16" s="85"/>
      <c r="FQZ16" s="85"/>
      <c r="FRG16" s="85"/>
      <c r="FRN16" s="85"/>
      <c r="FRU16" s="85"/>
      <c r="FSB16" s="85"/>
      <c r="FSI16" s="85"/>
      <c r="FSP16" s="85"/>
      <c r="FSW16" s="85"/>
      <c r="FTD16" s="85"/>
      <c r="FTK16" s="85"/>
      <c r="FTR16" s="85"/>
      <c r="FTY16" s="85"/>
      <c r="FUF16" s="85"/>
      <c r="FUM16" s="85"/>
      <c r="FUT16" s="85"/>
      <c r="FVA16" s="85"/>
      <c r="FVH16" s="85"/>
      <c r="FVO16" s="85"/>
      <c r="FVV16" s="85"/>
      <c r="FWC16" s="85"/>
      <c r="FWJ16" s="85"/>
      <c r="FWQ16" s="85"/>
      <c r="FWX16" s="85"/>
      <c r="FXE16" s="85"/>
      <c r="FXL16" s="85"/>
      <c r="FXS16" s="85"/>
      <c r="FXZ16" s="85"/>
      <c r="FYG16" s="85"/>
      <c r="FYN16" s="85"/>
      <c r="FYU16" s="85"/>
      <c r="FZB16" s="85"/>
      <c r="FZI16" s="85"/>
      <c r="FZP16" s="85"/>
      <c r="FZW16" s="85"/>
      <c r="GAD16" s="85"/>
      <c r="GAK16" s="85"/>
      <c r="GAR16" s="85"/>
      <c r="GAY16" s="85"/>
      <c r="GBF16" s="85"/>
      <c r="GBM16" s="85"/>
      <c r="GBT16" s="85"/>
      <c r="GCA16" s="85"/>
      <c r="GCH16" s="85"/>
      <c r="GCO16" s="85"/>
      <c r="GCV16" s="85"/>
      <c r="GDC16" s="85"/>
      <c r="GDJ16" s="85"/>
      <c r="GDQ16" s="85"/>
      <c r="GDX16" s="85"/>
      <c r="GEE16" s="85"/>
      <c r="GEL16" s="85"/>
      <c r="GES16" s="85"/>
      <c r="GEZ16" s="85"/>
      <c r="GFG16" s="85"/>
      <c r="GFN16" s="85"/>
      <c r="GFU16" s="85"/>
      <c r="GGB16" s="85"/>
      <c r="GGI16" s="85"/>
      <c r="GGP16" s="85"/>
      <c r="GGW16" s="85"/>
      <c r="GHD16" s="85"/>
      <c r="GHK16" s="85"/>
      <c r="GHR16" s="85"/>
      <c r="GHY16" s="85"/>
      <c r="GIF16" s="85"/>
      <c r="GIM16" s="85"/>
      <c r="GIT16" s="85"/>
      <c r="GJA16" s="85"/>
      <c r="GJH16" s="85"/>
      <c r="GJO16" s="85"/>
      <c r="GJV16" s="85"/>
      <c r="GKC16" s="85"/>
      <c r="GKJ16" s="85"/>
      <c r="GKQ16" s="85"/>
      <c r="GKX16" s="85"/>
      <c r="GLE16" s="85"/>
      <c r="GLL16" s="85"/>
      <c r="GLS16" s="85"/>
      <c r="GLZ16" s="85"/>
      <c r="GMG16" s="85"/>
      <c r="GMN16" s="85"/>
      <c r="GMU16" s="85"/>
      <c r="GNB16" s="85"/>
      <c r="GNI16" s="85"/>
      <c r="GNP16" s="85"/>
      <c r="GNW16" s="85"/>
      <c r="GOD16" s="85"/>
      <c r="GOK16" s="85"/>
      <c r="GOR16" s="85"/>
      <c r="GOY16" s="85"/>
      <c r="GPF16" s="85"/>
      <c r="GPM16" s="85"/>
      <c r="GPT16" s="85"/>
      <c r="GQA16" s="85"/>
      <c r="GQH16" s="85"/>
      <c r="GQO16" s="85"/>
      <c r="GQV16" s="85"/>
      <c r="GRC16" s="85"/>
      <c r="GRJ16" s="85"/>
      <c r="GRQ16" s="85"/>
      <c r="GRX16" s="85"/>
      <c r="GSE16" s="85"/>
      <c r="GSL16" s="85"/>
      <c r="GSS16" s="85"/>
      <c r="GSZ16" s="85"/>
      <c r="GTG16" s="85"/>
      <c r="GTN16" s="85"/>
      <c r="GTU16" s="85"/>
      <c r="GUB16" s="85"/>
      <c r="GUI16" s="85"/>
      <c r="GUP16" s="85"/>
      <c r="GUW16" s="85"/>
      <c r="GVD16" s="85"/>
      <c r="GVK16" s="85"/>
      <c r="GVR16" s="85"/>
      <c r="GVY16" s="85"/>
      <c r="GWF16" s="85"/>
      <c r="GWM16" s="85"/>
      <c r="GWT16" s="85"/>
      <c r="GXA16" s="85"/>
      <c r="GXH16" s="85"/>
      <c r="GXO16" s="85"/>
      <c r="GXV16" s="85"/>
      <c r="GYC16" s="85"/>
      <c r="GYJ16" s="85"/>
      <c r="GYQ16" s="85"/>
      <c r="GYX16" s="85"/>
      <c r="GZE16" s="85"/>
      <c r="GZL16" s="85"/>
      <c r="GZS16" s="85"/>
      <c r="GZZ16" s="85"/>
      <c r="HAG16" s="85"/>
      <c r="HAN16" s="85"/>
      <c r="HAU16" s="85"/>
      <c r="HBB16" s="85"/>
      <c r="HBI16" s="85"/>
      <c r="HBP16" s="85"/>
      <c r="HBW16" s="85"/>
      <c r="HCD16" s="85"/>
      <c r="HCK16" s="85"/>
      <c r="HCR16" s="85"/>
      <c r="HCY16" s="85"/>
      <c r="HDF16" s="85"/>
      <c r="HDM16" s="85"/>
      <c r="HDT16" s="85"/>
      <c r="HEA16" s="85"/>
      <c r="HEH16" s="85"/>
      <c r="HEO16" s="85"/>
      <c r="HEV16" s="85"/>
      <c r="HFC16" s="85"/>
      <c r="HFJ16" s="85"/>
      <c r="HFQ16" s="85"/>
      <c r="HFX16" s="85"/>
      <c r="HGE16" s="85"/>
      <c r="HGL16" s="85"/>
      <c r="HGS16" s="85"/>
      <c r="HGZ16" s="85"/>
      <c r="HHG16" s="85"/>
      <c r="HHN16" s="85"/>
      <c r="HHU16" s="85"/>
      <c r="HIB16" s="85"/>
      <c r="HII16" s="85"/>
      <c r="HIP16" s="85"/>
      <c r="HIW16" s="85"/>
      <c r="HJD16" s="85"/>
      <c r="HJK16" s="85"/>
      <c r="HJR16" s="85"/>
      <c r="HJY16" s="85"/>
      <c r="HKF16" s="85"/>
      <c r="HKM16" s="85"/>
      <c r="HKT16" s="85"/>
      <c r="HLA16" s="85"/>
      <c r="HLH16" s="85"/>
      <c r="HLO16" s="85"/>
      <c r="HLV16" s="85"/>
      <c r="HMC16" s="85"/>
      <c r="HMJ16" s="85"/>
      <c r="HMQ16" s="85"/>
      <c r="HMX16" s="85"/>
      <c r="HNE16" s="85"/>
      <c r="HNL16" s="85"/>
      <c r="HNS16" s="85"/>
      <c r="HNZ16" s="85"/>
      <c r="HOG16" s="85"/>
      <c r="HON16" s="85"/>
      <c r="HOU16" s="85"/>
      <c r="HPB16" s="85"/>
      <c r="HPI16" s="85"/>
      <c r="HPP16" s="85"/>
      <c r="HPW16" s="85"/>
      <c r="HQD16" s="85"/>
      <c r="HQK16" s="85"/>
      <c r="HQR16" s="85"/>
      <c r="HQY16" s="85"/>
      <c r="HRF16" s="85"/>
      <c r="HRM16" s="85"/>
      <c r="HRT16" s="85"/>
      <c r="HSA16" s="85"/>
      <c r="HSH16" s="85"/>
      <c r="HSO16" s="85"/>
      <c r="HSV16" s="85"/>
      <c r="HTC16" s="85"/>
      <c r="HTJ16" s="85"/>
      <c r="HTQ16" s="85"/>
      <c r="HTX16" s="85"/>
      <c r="HUE16" s="85"/>
      <c r="HUL16" s="85"/>
      <c r="HUS16" s="85"/>
      <c r="HUZ16" s="85"/>
      <c r="HVG16" s="85"/>
      <c r="HVN16" s="85"/>
      <c r="HVU16" s="85"/>
      <c r="HWB16" s="85"/>
      <c r="HWI16" s="85"/>
      <c r="HWP16" s="85"/>
      <c r="HWW16" s="85"/>
      <c r="HXD16" s="85"/>
      <c r="HXK16" s="85"/>
      <c r="HXR16" s="85"/>
      <c r="HXY16" s="85"/>
      <c r="HYF16" s="85"/>
      <c r="HYM16" s="85"/>
      <c r="HYT16" s="85"/>
      <c r="HZA16" s="85"/>
      <c r="HZH16" s="85"/>
      <c r="HZO16" s="85"/>
      <c r="HZV16" s="85"/>
      <c r="IAC16" s="85"/>
      <c r="IAJ16" s="85"/>
      <c r="IAQ16" s="85"/>
      <c r="IAX16" s="85"/>
      <c r="IBE16" s="85"/>
      <c r="IBL16" s="85"/>
      <c r="IBS16" s="85"/>
      <c r="IBZ16" s="85"/>
      <c r="ICG16" s="85"/>
      <c r="ICN16" s="85"/>
      <c r="ICU16" s="85"/>
      <c r="IDB16" s="85"/>
      <c r="IDI16" s="85"/>
      <c r="IDP16" s="85"/>
      <c r="IDW16" s="85"/>
      <c r="IED16" s="85"/>
      <c r="IEK16" s="85"/>
      <c r="IER16" s="85"/>
      <c r="IEY16" s="85"/>
      <c r="IFF16" s="85"/>
      <c r="IFM16" s="85"/>
      <c r="IFT16" s="85"/>
      <c r="IGA16" s="85"/>
      <c r="IGH16" s="85"/>
      <c r="IGO16" s="85"/>
      <c r="IGV16" s="85"/>
      <c r="IHC16" s="85"/>
      <c r="IHJ16" s="85"/>
      <c r="IHQ16" s="85"/>
      <c r="IHX16" s="85"/>
      <c r="IIE16" s="85"/>
      <c r="IIL16" s="85"/>
      <c r="IIS16" s="85"/>
      <c r="IIZ16" s="85"/>
      <c r="IJG16" s="85"/>
      <c r="IJN16" s="85"/>
      <c r="IJU16" s="85"/>
      <c r="IKB16" s="85"/>
      <c r="IKI16" s="85"/>
      <c r="IKP16" s="85"/>
      <c r="IKW16" s="85"/>
      <c r="ILD16" s="85"/>
      <c r="ILK16" s="85"/>
      <c r="ILR16" s="85"/>
      <c r="ILY16" s="85"/>
      <c r="IMF16" s="85"/>
      <c r="IMM16" s="85"/>
      <c r="IMT16" s="85"/>
      <c r="INA16" s="85"/>
      <c r="INH16" s="85"/>
      <c r="INO16" s="85"/>
      <c r="INV16" s="85"/>
      <c r="IOC16" s="85"/>
      <c r="IOJ16" s="85"/>
      <c r="IOQ16" s="85"/>
      <c r="IOX16" s="85"/>
      <c r="IPE16" s="85"/>
      <c r="IPL16" s="85"/>
      <c r="IPS16" s="85"/>
      <c r="IPZ16" s="85"/>
      <c r="IQG16" s="85"/>
      <c r="IQN16" s="85"/>
      <c r="IQU16" s="85"/>
      <c r="IRB16" s="85"/>
      <c r="IRI16" s="85"/>
      <c r="IRP16" s="85"/>
      <c r="IRW16" s="85"/>
      <c r="ISD16" s="85"/>
      <c r="ISK16" s="85"/>
      <c r="ISR16" s="85"/>
      <c r="ISY16" s="85"/>
      <c r="ITF16" s="85"/>
      <c r="ITM16" s="85"/>
      <c r="ITT16" s="85"/>
      <c r="IUA16" s="85"/>
      <c r="IUH16" s="85"/>
      <c r="IUO16" s="85"/>
      <c r="IUV16" s="85"/>
      <c r="IVC16" s="85"/>
      <c r="IVJ16" s="85"/>
      <c r="IVQ16" s="85"/>
      <c r="IVX16" s="85"/>
      <c r="IWE16" s="85"/>
      <c r="IWL16" s="85"/>
      <c r="IWS16" s="85"/>
      <c r="IWZ16" s="85"/>
      <c r="IXG16" s="85"/>
      <c r="IXN16" s="85"/>
      <c r="IXU16" s="85"/>
      <c r="IYB16" s="85"/>
      <c r="IYI16" s="85"/>
      <c r="IYP16" s="85"/>
      <c r="IYW16" s="85"/>
      <c r="IZD16" s="85"/>
      <c r="IZK16" s="85"/>
      <c r="IZR16" s="85"/>
      <c r="IZY16" s="85"/>
      <c r="JAF16" s="85"/>
      <c r="JAM16" s="85"/>
      <c r="JAT16" s="85"/>
      <c r="JBA16" s="85"/>
      <c r="JBH16" s="85"/>
      <c r="JBO16" s="85"/>
      <c r="JBV16" s="85"/>
      <c r="JCC16" s="85"/>
      <c r="JCJ16" s="85"/>
      <c r="JCQ16" s="85"/>
      <c r="JCX16" s="85"/>
      <c r="JDE16" s="85"/>
      <c r="JDL16" s="85"/>
      <c r="JDS16" s="85"/>
      <c r="JDZ16" s="85"/>
      <c r="JEG16" s="85"/>
      <c r="JEN16" s="85"/>
      <c r="JEU16" s="85"/>
      <c r="JFB16" s="85"/>
      <c r="JFI16" s="85"/>
      <c r="JFP16" s="85"/>
      <c r="JFW16" s="85"/>
      <c r="JGD16" s="85"/>
      <c r="JGK16" s="85"/>
      <c r="JGR16" s="85"/>
      <c r="JGY16" s="85"/>
      <c r="JHF16" s="85"/>
      <c r="JHM16" s="85"/>
      <c r="JHT16" s="85"/>
      <c r="JIA16" s="85"/>
      <c r="JIH16" s="85"/>
      <c r="JIO16" s="85"/>
      <c r="JIV16" s="85"/>
      <c r="JJC16" s="85"/>
      <c r="JJJ16" s="85"/>
      <c r="JJQ16" s="85"/>
      <c r="JJX16" s="85"/>
      <c r="JKE16" s="85"/>
      <c r="JKL16" s="85"/>
      <c r="JKS16" s="85"/>
      <c r="JKZ16" s="85"/>
      <c r="JLG16" s="85"/>
      <c r="JLN16" s="85"/>
      <c r="JLU16" s="85"/>
      <c r="JMB16" s="85"/>
      <c r="JMI16" s="85"/>
      <c r="JMP16" s="85"/>
      <c r="JMW16" s="85"/>
      <c r="JND16" s="85"/>
      <c r="JNK16" s="85"/>
      <c r="JNR16" s="85"/>
      <c r="JNY16" s="85"/>
      <c r="JOF16" s="85"/>
      <c r="JOM16" s="85"/>
      <c r="JOT16" s="85"/>
      <c r="JPA16" s="85"/>
      <c r="JPH16" s="85"/>
      <c r="JPO16" s="85"/>
      <c r="JPV16" s="85"/>
      <c r="JQC16" s="85"/>
      <c r="JQJ16" s="85"/>
      <c r="JQQ16" s="85"/>
      <c r="JQX16" s="85"/>
      <c r="JRE16" s="85"/>
      <c r="JRL16" s="85"/>
      <c r="JRS16" s="85"/>
      <c r="JRZ16" s="85"/>
      <c r="JSG16" s="85"/>
      <c r="JSN16" s="85"/>
      <c r="JSU16" s="85"/>
      <c r="JTB16" s="85"/>
      <c r="JTI16" s="85"/>
      <c r="JTP16" s="85"/>
      <c r="JTW16" s="85"/>
      <c r="JUD16" s="85"/>
      <c r="JUK16" s="85"/>
      <c r="JUR16" s="85"/>
      <c r="JUY16" s="85"/>
      <c r="JVF16" s="85"/>
      <c r="JVM16" s="85"/>
      <c r="JVT16" s="85"/>
      <c r="JWA16" s="85"/>
      <c r="JWH16" s="85"/>
      <c r="JWO16" s="85"/>
      <c r="JWV16" s="85"/>
      <c r="JXC16" s="85"/>
      <c r="JXJ16" s="85"/>
      <c r="JXQ16" s="85"/>
      <c r="JXX16" s="85"/>
      <c r="JYE16" s="85"/>
      <c r="JYL16" s="85"/>
      <c r="JYS16" s="85"/>
      <c r="JYZ16" s="85"/>
      <c r="JZG16" s="85"/>
      <c r="JZN16" s="85"/>
      <c r="JZU16" s="85"/>
      <c r="KAB16" s="85"/>
      <c r="KAI16" s="85"/>
      <c r="KAP16" s="85"/>
      <c r="KAW16" s="85"/>
      <c r="KBD16" s="85"/>
      <c r="KBK16" s="85"/>
      <c r="KBR16" s="85"/>
      <c r="KBY16" s="85"/>
      <c r="KCF16" s="85"/>
      <c r="KCM16" s="85"/>
      <c r="KCT16" s="85"/>
      <c r="KDA16" s="85"/>
      <c r="KDH16" s="85"/>
      <c r="KDO16" s="85"/>
      <c r="KDV16" s="85"/>
      <c r="KEC16" s="85"/>
      <c r="KEJ16" s="85"/>
      <c r="KEQ16" s="85"/>
      <c r="KEX16" s="85"/>
      <c r="KFE16" s="85"/>
      <c r="KFL16" s="85"/>
      <c r="KFS16" s="85"/>
      <c r="KFZ16" s="85"/>
      <c r="KGG16" s="85"/>
      <c r="KGN16" s="85"/>
      <c r="KGU16" s="85"/>
      <c r="KHB16" s="85"/>
      <c r="KHI16" s="85"/>
      <c r="KHP16" s="85"/>
      <c r="KHW16" s="85"/>
      <c r="KID16" s="85"/>
      <c r="KIK16" s="85"/>
      <c r="KIR16" s="85"/>
      <c r="KIY16" s="85"/>
      <c r="KJF16" s="85"/>
      <c r="KJM16" s="85"/>
      <c r="KJT16" s="85"/>
      <c r="KKA16" s="85"/>
      <c r="KKH16" s="85"/>
      <c r="KKO16" s="85"/>
      <c r="KKV16" s="85"/>
      <c r="KLC16" s="85"/>
      <c r="KLJ16" s="85"/>
      <c r="KLQ16" s="85"/>
      <c r="KLX16" s="85"/>
      <c r="KME16" s="85"/>
      <c r="KML16" s="85"/>
      <c r="KMS16" s="85"/>
      <c r="KMZ16" s="85"/>
      <c r="KNG16" s="85"/>
      <c r="KNN16" s="85"/>
      <c r="KNU16" s="85"/>
      <c r="KOB16" s="85"/>
      <c r="KOI16" s="85"/>
      <c r="KOP16" s="85"/>
      <c r="KOW16" s="85"/>
      <c r="KPD16" s="85"/>
      <c r="KPK16" s="85"/>
      <c r="KPR16" s="85"/>
      <c r="KPY16" s="85"/>
      <c r="KQF16" s="85"/>
      <c r="KQM16" s="85"/>
      <c r="KQT16" s="85"/>
      <c r="KRA16" s="85"/>
      <c r="KRH16" s="85"/>
      <c r="KRO16" s="85"/>
      <c r="KRV16" s="85"/>
      <c r="KSC16" s="85"/>
      <c r="KSJ16" s="85"/>
      <c r="KSQ16" s="85"/>
      <c r="KSX16" s="85"/>
      <c r="KTE16" s="85"/>
      <c r="KTL16" s="85"/>
      <c r="KTS16" s="85"/>
      <c r="KTZ16" s="85"/>
      <c r="KUG16" s="85"/>
      <c r="KUN16" s="85"/>
      <c r="KUU16" s="85"/>
      <c r="KVB16" s="85"/>
      <c r="KVI16" s="85"/>
      <c r="KVP16" s="85"/>
      <c r="KVW16" s="85"/>
      <c r="KWD16" s="85"/>
      <c r="KWK16" s="85"/>
      <c r="KWR16" s="85"/>
      <c r="KWY16" s="85"/>
      <c r="KXF16" s="85"/>
      <c r="KXM16" s="85"/>
      <c r="KXT16" s="85"/>
      <c r="KYA16" s="85"/>
      <c r="KYH16" s="85"/>
      <c r="KYO16" s="85"/>
      <c r="KYV16" s="85"/>
      <c r="KZC16" s="85"/>
      <c r="KZJ16" s="85"/>
      <c r="KZQ16" s="85"/>
      <c r="KZX16" s="85"/>
      <c r="LAE16" s="85"/>
      <c r="LAL16" s="85"/>
      <c r="LAS16" s="85"/>
      <c r="LAZ16" s="85"/>
      <c r="LBG16" s="85"/>
      <c r="LBN16" s="85"/>
      <c r="LBU16" s="85"/>
      <c r="LCB16" s="85"/>
      <c r="LCI16" s="85"/>
      <c r="LCP16" s="85"/>
      <c r="LCW16" s="85"/>
      <c r="LDD16" s="85"/>
      <c r="LDK16" s="85"/>
      <c r="LDR16" s="85"/>
      <c r="LDY16" s="85"/>
      <c r="LEF16" s="85"/>
      <c r="LEM16" s="85"/>
      <c r="LET16" s="85"/>
      <c r="LFA16" s="85"/>
      <c r="LFH16" s="85"/>
      <c r="LFO16" s="85"/>
      <c r="LFV16" s="85"/>
      <c r="LGC16" s="85"/>
      <c r="LGJ16" s="85"/>
      <c r="LGQ16" s="85"/>
      <c r="LGX16" s="85"/>
      <c r="LHE16" s="85"/>
      <c r="LHL16" s="85"/>
      <c r="LHS16" s="85"/>
      <c r="LHZ16" s="85"/>
      <c r="LIG16" s="85"/>
      <c r="LIN16" s="85"/>
      <c r="LIU16" s="85"/>
      <c r="LJB16" s="85"/>
      <c r="LJI16" s="85"/>
      <c r="LJP16" s="85"/>
      <c r="LJW16" s="85"/>
      <c r="LKD16" s="85"/>
      <c r="LKK16" s="85"/>
      <c r="LKR16" s="85"/>
      <c r="LKY16" s="85"/>
      <c r="LLF16" s="85"/>
      <c r="LLM16" s="85"/>
      <c r="LLT16" s="85"/>
      <c r="LMA16" s="85"/>
      <c r="LMH16" s="85"/>
      <c r="LMO16" s="85"/>
      <c r="LMV16" s="85"/>
      <c r="LNC16" s="85"/>
      <c r="LNJ16" s="85"/>
      <c r="LNQ16" s="85"/>
      <c r="LNX16" s="85"/>
      <c r="LOE16" s="85"/>
      <c r="LOL16" s="85"/>
      <c r="LOS16" s="85"/>
      <c r="LOZ16" s="85"/>
      <c r="LPG16" s="85"/>
      <c r="LPN16" s="85"/>
      <c r="LPU16" s="85"/>
      <c r="LQB16" s="85"/>
      <c r="LQI16" s="85"/>
      <c r="LQP16" s="85"/>
      <c r="LQW16" s="85"/>
      <c r="LRD16" s="85"/>
      <c r="LRK16" s="85"/>
      <c r="LRR16" s="85"/>
      <c r="LRY16" s="85"/>
      <c r="LSF16" s="85"/>
      <c r="LSM16" s="85"/>
      <c r="LST16" s="85"/>
      <c r="LTA16" s="85"/>
      <c r="LTH16" s="85"/>
      <c r="LTO16" s="85"/>
      <c r="LTV16" s="85"/>
      <c r="LUC16" s="85"/>
      <c r="LUJ16" s="85"/>
      <c r="LUQ16" s="85"/>
      <c r="LUX16" s="85"/>
      <c r="LVE16" s="85"/>
      <c r="LVL16" s="85"/>
      <c r="LVS16" s="85"/>
      <c r="LVZ16" s="85"/>
      <c r="LWG16" s="85"/>
      <c r="LWN16" s="85"/>
      <c r="LWU16" s="85"/>
      <c r="LXB16" s="85"/>
      <c r="LXI16" s="85"/>
      <c r="LXP16" s="85"/>
      <c r="LXW16" s="85"/>
      <c r="LYD16" s="85"/>
      <c r="LYK16" s="85"/>
      <c r="LYR16" s="85"/>
      <c r="LYY16" s="85"/>
      <c r="LZF16" s="85"/>
      <c r="LZM16" s="85"/>
      <c r="LZT16" s="85"/>
      <c r="MAA16" s="85"/>
      <c r="MAH16" s="85"/>
      <c r="MAO16" s="85"/>
      <c r="MAV16" s="85"/>
      <c r="MBC16" s="85"/>
      <c r="MBJ16" s="85"/>
      <c r="MBQ16" s="85"/>
      <c r="MBX16" s="85"/>
      <c r="MCE16" s="85"/>
      <c r="MCL16" s="85"/>
      <c r="MCS16" s="85"/>
      <c r="MCZ16" s="85"/>
      <c r="MDG16" s="85"/>
      <c r="MDN16" s="85"/>
      <c r="MDU16" s="85"/>
      <c r="MEB16" s="85"/>
      <c r="MEI16" s="85"/>
      <c r="MEP16" s="85"/>
      <c r="MEW16" s="85"/>
      <c r="MFD16" s="85"/>
      <c r="MFK16" s="85"/>
      <c r="MFR16" s="85"/>
      <c r="MFY16" s="85"/>
      <c r="MGF16" s="85"/>
      <c r="MGM16" s="85"/>
      <c r="MGT16" s="85"/>
      <c r="MHA16" s="85"/>
      <c r="MHH16" s="85"/>
      <c r="MHO16" s="85"/>
      <c r="MHV16" s="85"/>
      <c r="MIC16" s="85"/>
      <c r="MIJ16" s="85"/>
      <c r="MIQ16" s="85"/>
      <c r="MIX16" s="85"/>
      <c r="MJE16" s="85"/>
      <c r="MJL16" s="85"/>
      <c r="MJS16" s="85"/>
      <c r="MJZ16" s="85"/>
      <c r="MKG16" s="85"/>
      <c r="MKN16" s="85"/>
      <c r="MKU16" s="85"/>
      <c r="MLB16" s="85"/>
      <c r="MLI16" s="85"/>
      <c r="MLP16" s="85"/>
      <c r="MLW16" s="85"/>
      <c r="MMD16" s="85"/>
      <c r="MMK16" s="85"/>
      <c r="MMR16" s="85"/>
      <c r="MMY16" s="85"/>
      <c r="MNF16" s="85"/>
      <c r="MNM16" s="85"/>
      <c r="MNT16" s="85"/>
      <c r="MOA16" s="85"/>
      <c r="MOH16" s="85"/>
      <c r="MOO16" s="85"/>
      <c r="MOV16" s="85"/>
      <c r="MPC16" s="85"/>
      <c r="MPJ16" s="85"/>
      <c r="MPQ16" s="85"/>
      <c r="MPX16" s="85"/>
      <c r="MQE16" s="85"/>
      <c r="MQL16" s="85"/>
      <c r="MQS16" s="85"/>
      <c r="MQZ16" s="85"/>
      <c r="MRG16" s="85"/>
      <c r="MRN16" s="85"/>
      <c r="MRU16" s="85"/>
      <c r="MSB16" s="85"/>
      <c r="MSI16" s="85"/>
      <c r="MSP16" s="85"/>
      <c r="MSW16" s="85"/>
      <c r="MTD16" s="85"/>
      <c r="MTK16" s="85"/>
      <c r="MTR16" s="85"/>
      <c r="MTY16" s="85"/>
      <c r="MUF16" s="85"/>
      <c r="MUM16" s="85"/>
      <c r="MUT16" s="85"/>
      <c r="MVA16" s="85"/>
      <c r="MVH16" s="85"/>
      <c r="MVO16" s="85"/>
      <c r="MVV16" s="85"/>
      <c r="MWC16" s="85"/>
      <c r="MWJ16" s="85"/>
      <c r="MWQ16" s="85"/>
      <c r="MWX16" s="85"/>
      <c r="MXE16" s="85"/>
      <c r="MXL16" s="85"/>
      <c r="MXS16" s="85"/>
      <c r="MXZ16" s="85"/>
      <c r="MYG16" s="85"/>
      <c r="MYN16" s="85"/>
      <c r="MYU16" s="85"/>
      <c r="MZB16" s="85"/>
      <c r="MZI16" s="85"/>
      <c r="MZP16" s="85"/>
      <c r="MZW16" s="85"/>
      <c r="NAD16" s="85"/>
      <c r="NAK16" s="85"/>
      <c r="NAR16" s="85"/>
      <c r="NAY16" s="85"/>
      <c r="NBF16" s="85"/>
      <c r="NBM16" s="85"/>
      <c r="NBT16" s="85"/>
      <c r="NCA16" s="85"/>
      <c r="NCH16" s="85"/>
      <c r="NCO16" s="85"/>
      <c r="NCV16" s="85"/>
      <c r="NDC16" s="85"/>
      <c r="NDJ16" s="85"/>
      <c r="NDQ16" s="85"/>
      <c r="NDX16" s="85"/>
      <c r="NEE16" s="85"/>
      <c r="NEL16" s="85"/>
      <c r="NES16" s="85"/>
      <c r="NEZ16" s="85"/>
      <c r="NFG16" s="85"/>
      <c r="NFN16" s="85"/>
      <c r="NFU16" s="85"/>
      <c r="NGB16" s="85"/>
      <c r="NGI16" s="85"/>
      <c r="NGP16" s="85"/>
      <c r="NGW16" s="85"/>
      <c r="NHD16" s="85"/>
      <c r="NHK16" s="85"/>
      <c r="NHR16" s="85"/>
      <c r="NHY16" s="85"/>
      <c r="NIF16" s="85"/>
      <c r="NIM16" s="85"/>
      <c r="NIT16" s="85"/>
      <c r="NJA16" s="85"/>
      <c r="NJH16" s="85"/>
      <c r="NJO16" s="85"/>
      <c r="NJV16" s="85"/>
      <c r="NKC16" s="85"/>
      <c r="NKJ16" s="85"/>
      <c r="NKQ16" s="85"/>
      <c r="NKX16" s="85"/>
      <c r="NLE16" s="85"/>
      <c r="NLL16" s="85"/>
      <c r="NLS16" s="85"/>
      <c r="NLZ16" s="85"/>
      <c r="NMG16" s="85"/>
      <c r="NMN16" s="85"/>
      <c r="NMU16" s="85"/>
      <c r="NNB16" s="85"/>
      <c r="NNI16" s="85"/>
      <c r="NNP16" s="85"/>
      <c r="NNW16" s="85"/>
      <c r="NOD16" s="85"/>
      <c r="NOK16" s="85"/>
      <c r="NOR16" s="85"/>
      <c r="NOY16" s="85"/>
      <c r="NPF16" s="85"/>
      <c r="NPM16" s="85"/>
      <c r="NPT16" s="85"/>
      <c r="NQA16" s="85"/>
      <c r="NQH16" s="85"/>
      <c r="NQO16" s="85"/>
      <c r="NQV16" s="85"/>
      <c r="NRC16" s="85"/>
      <c r="NRJ16" s="85"/>
      <c r="NRQ16" s="85"/>
      <c r="NRX16" s="85"/>
      <c r="NSE16" s="85"/>
      <c r="NSL16" s="85"/>
      <c r="NSS16" s="85"/>
      <c r="NSZ16" s="85"/>
      <c r="NTG16" s="85"/>
      <c r="NTN16" s="85"/>
      <c r="NTU16" s="85"/>
      <c r="NUB16" s="85"/>
      <c r="NUI16" s="85"/>
      <c r="NUP16" s="85"/>
      <c r="NUW16" s="85"/>
      <c r="NVD16" s="85"/>
      <c r="NVK16" s="85"/>
      <c r="NVR16" s="85"/>
      <c r="NVY16" s="85"/>
      <c r="NWF16" s="85"/>
      <c r="NWM16" s="85"/>
      <c r="NWT16" s="85"/>
      <c r="NXA16" s="85"/>
      <c r="NXH16" s="85"/>
      <c r="NXO16" s="85"/>
      <c r="NXV16" s="85"/>
      <c r="NYC16" s="85"/>
      <c r="NYJ16" s="85"/>
      <c r="NYQ16" s="85"/>
      <c r="NYX16" s="85"/>
      <c r="NZE16" s="85"/>
      <c r="NZL16" s="85"/>
      <c r="NZS16" s="85"/>
      <c r="NZZ16" s="85"/>
      <c r="OAG16" s="85"/>
      <c r="OAN16" s="85"/>
      <c r="OAU16" s="85"/>
      <c r="OBB16" s="85"/>
      <c r="OBI16" s="85"/>
      <c r="OBP16" s="85"/>
      <c r="OBW16" s="85"/>
      <c r="OCD16" s="85"/>
      <c r="OCK16" s="85"/>
      <c r="OCR16" s="85"/>
      <c r="OCY16" s="85"/>
      <c r="ODF16" s="85"/>
      <c r="ODM16" s="85"/>
      <c r="ODT16" s="85"/>
      <c r="OEA16" s="85"/>
      <c r="OEH16" s="85"/>
      <c r="OEO16" s="85"/>
      <c r="OEV16" s="85"/>
      <c r="OFC16" s="85"/>
      <c r="OFJ16" s="85"/>
      <c r="OFQ16" s="85"/>
      <c r="OFX16" s="85"/>
      <c r="OGE16" s="85"/>
      <c r="OGL16" s="85"/>
      <c r="OGS16" s="85"/>
      <c r="OGZ16" s="85"/>
      <c r="OHG16" s="85"/>
      <c r="OHN16" s="85"/>
      <c r="OHU16" s="85"/>
      <c r="OIB16" s="85"/>
      <c r="OII16" s="85"/>
      <c r="OIP16" s="85"/>
      <c r="OIW16" s="85"/>
      <c r="OJD16" s="85"/>
      <c r="OJK16" s="85"/>
      <c r="OJR16" s="85"/>
      <c r="OJY16" s="85"/>
      <c r="OKF16" s="85"/>
      <c r="OKM16" s="85"/>
      <c r="OKT16" s="85"/>
      <c r="OLA16" s="85"/>
      <c r="OLH16" s="85"/>
      <c r="OLO16" s="85"/>
      <c r="OLV16" s="85"/>
      <c r="OMC16" s="85"/>
      <c r="OMJ16" s="85"/>
      <c r="OMQ16" s="85"/>
      <c r="OMX16" s="85"/>
      <c r="ONE16" s="85"/>
      <c r="ONL16" s="85"/>
      <c r="ONS16" s="85"/>
      <c r="ONZ16" s="85"/>
      <c r="OOG16" s="85"/>
      <c r="OON16" s="85"/>
      <c r="OOU16" s="85"/>
      <c r="OPB16" s="85"/>
      <c r="OPI16" s="85"/>
      <c r="OPP16" s="85"/>
      <c r="OPW16" s="85"/>
      <c r="OQD16" s="85"/>
      <c r="OQK16" s="85"/>
      <c r="OQR16" s="85"/>
      <c r="OQY16" s="85"/>
      <c r="ORF16" s="85"/>
      <c r="ORM16" s="85"/>
      <c r="ORT16" s="85"/>
      <c r="OSA16" s="85"/>
      <c r="OSH16" s="85"/>
      <c r="OSO16" s="85"/>
      <c r="OSV16" s="85"/>
      <c r="OTC16" s="85"/>
      <c r="OTJ16" s="85"/>
      <c r="OTQ16" s="85"/>
      <c r="OTX16" s="85"/>
      <c r="OUE16" s="85"/>
      <c r="OUL16" s="85"/>
      <c r="OUS16" s="85"/>
      <c r="OUZ16" s="85"/>
      <c r="OVG16" s="85"/>
      <c r="OVN16" s="85"/>
      <c r="OVU16" s="85"/>
      <c r="OWB16" s="85"/>
      <c r="OWI16" s="85"/>
      <c r="OWP16" s="85"/>
      <c r="OWW16" s="85"/>
      <c r="OXD16" s="85"/>
      <c r="OXK16" s="85"/>
      <c r="OXR16" s="85"/>
      <c r="OXY16" s="85"/>
      <c r="OYF16" s="85"/>
      <c r="OYM16" s="85"/>
      <c r="OYT16" s="85"/>
      <c r="OZA16" s="85"/>
      <c r="OZH16" s="85"/>
      <c r="OZO16" s="85"/>
      <c r="OZV16" s="85"/>
      <c r="PAC16" s="85"/>
      <c r="PAJ16" s="85"/>
      <c r="PAQ16" s="85"/>
      <c r="PAX16" s="85"/>
      <c r="PBE16" s="85"/>
      <c r="PBL16" s="85"/>
      <c r="PBS16" s="85"/>
      <c r="PBZ16" s="85"/>
      <c r="PCG16" s="85"/>
      <c r="PCN16" s="85"/>
      <c r="PCU16" s="85"/>
      <c r="PDB16" s="85"/>
      <c r="PDI16" s="85"/>
      <c r="PDP16" s="85"/>
      <c r="PDW16" s="85"/>
      <c r="PED16" s="85"/>
      <c r="PEK16" s="85"/>
      <c r="PER16" s="85"/>
      <c r="PEY16" s="85"/>
      <c r="PFF16" s="85"/>
      <c r="PFM16" s="85"/>
      <c r="PFT16" s="85"/>
      <c r="PGA16" s="85"/>
      <c r="PGH16" s="85"/>
      <c r="PGO16" s="85"/>
      <c r="PGV16" s="85"/>
      <c r="PHC16" s="85"/>
      <c r="PHJ16" s="85"/>
      <c r="PHQ16" s="85"/>
      <c r="PHX16" s="85"/>
      <c r="PIE16" s="85"/>
      <c r="PIL16" s="85"/>
      <c r="PIS16" s="85"/>
      <c r="PIZ16" s="85"/>
      <c r="PJG16" s="85"/>
      <c r="PJN16" s="85"/>
      <c r="PJU16" s="85"/>
      <c r="PKB16" s="85"/>
      <c r="PKI16" s="85"/>
      <c r="PKP16" s="85"/>
      <c r="PKW16" s="85"/>
      <c r="PLD16" s="85"/>
      <c r="PLK16" s="85"/>
      <c r="PLR16" s="85"/>
      <c r="PLY16" s="85"/>
      <c r="PMF16" s="85"/>
      <c r="PMM16" s="85"/>
      <c r="PMT16" s="85"/>
      <c r="PNA16" s="85"/>
      <c r="PNH16" s="85"/>
      <c r="PNO16" s="85"/>
      <c r="PNV16" s="85"/>
      <c r="POC16" s="85"/>
      <c r="POJ16" s="85"/>
      <c r="POQ16" s="85"/>
      <c r="POX16" s="85"/>
      <c r="PPE16" s="85"/>
      <c r="PPL16" s="85"/>
      <c r="PPS16" s="85"/>
      <c r="PPZ16" s="85"/>
      <c r="PQG16" s="85"/>
      <c r="PQN16" s="85"/>
      <c r="PQU16" s="85"/>
      <c r="PRB16" s="85"/>
      <c r="PRI16" s="85"/>
      <c r="PRP16" s="85"/>
      <c r="PRW16" s="85"/>
      <c r="PSD16" s="85"/>
      <c r="PSK16" s="85"/>
      <c r="PSR16" s="85"/>
      <c r="PSY16" s="85"/>
      <c r="PTF16" s="85"/>
      <c r="PTM16" s="85"/>
      <c r="PTT16" s="85"/>
      <c r="PUA16" s="85"/>
      <c r="PUH16" s="85"/>
      <c r="PUO16" s="85"/>
      <c r="PUV16" s="85"/>
      <c r="PVC16" s="85"/>
      <c r="PVJ16" s="85"/>
      <c r="PVQ16" s="85"/>
      <c r="PVX16" s="85"/>
      <c r="PWE16" s="85"/>
      <c r="PWL16" s="85"/>
      <c r="PWS16" s="85"/>
      <c r="PWZ16" s="85"/>
      <c r="PXG16" s="85"/>
      <c r="PXN16" s="85"/>
      <c r="PXU16" s="85"/>
      <c r="PYB16" s="85"/>
      <c r="PYI16" s="85"/>
      <c r="PYP16" s="85"/>
      <c r="PYW16" s="85"/>
      <c r="PZD16" s="85"/>
      <c r="PZK16" s="85"/>
      <c r="PZR16" s="85"/>
      <c r="PZY16" s="85"/>
      <c r="QAF16" s="85"/>
      <c r="QAM16" s="85"/>
      <c r="QAT16" s="85"/>
      <c r="QBA16" s="85"/>
      <c r="QBH16" s="85"/>
      <c r="QBO16" s="85"/>
      <c r="QBV16" s="85"/>
      <c r="QCC16" s="85"/>
      <c r="QCJ16" s="85"/>
      <c r="QCQ16" s="85"/>
      <c r="QCX16" s="85"/>
      <c r="QDE16" s="85"/>
      <c r="QDL16" s="85"/>
      <c r="QDS16" s="85"/>
      <c r="QDZ16" s="85"/>
      <c r="QEG16" s="85"/>
      <c r="QEN16" s="85"/>
      <c r="QEU16" s="85"/>
      <c r="QFB16" s="85"/>
      <c r="QFI16" s="85"/>
      <c r="QFP16" s="85"/>
      <c r="QFW16" s="85"/>
      <c r="QGD16" s="85"/>
      <c r="QGK16" s="85"/>
      <c r="QGR16" s="85"/>
      <c r="QGY16" s="85"/>
      <c r="QHF16" s="85"/>
      <c r="QHM16" s="85"/>
      <c r="QHT16" s="85"/>
      <c r="QIA16" s="85"/>
      <c r="QIH16" s="85"/>
      <c r="QIO16" s="85"/>
      <c r="QIV16" s="85"/>
      <c r="QJC16" s="85"/>
      <c r="QJJ16" s="85"/>
      <c r="QJQ16" s="85"/>
      <c r="QJX16" s="85"/>
      <c r="QKE16" s="85"/>
      <c r="QKL16" s="85"/>
      <c r="QKS16" s="85"/>
      <c r="QKZ16" s="85"/>
      <c r="QLG16" s="85"/>
      <c r="QLN16" s="85"/>
      <c r="QLU16" s="85"/>
      <c r="QMB16" s="85"/>
      <c r="QMI16" s="85"/>
      <c r="QMP16" s="85"/>
      <c r="QMW16" s="85"/>
      <c r="QND16" s="85"/>
      <c r="QNK16" s="85"/>
      <c r="QNR16" s="85"/>
      <c r="QNY16" s="85"/>
      <c r="QOF16" s="85"/>
      <c r="QOM16" s="85"/>
      <c r="QOT16" s="85"/>
      <c r="QPA16" s="85"/>
      <c r="QPH16" s="85"/>
      <c r="QPO16" s="85"/>
      <c r="QPV16" s="85"/>
      <c r="QQC16" s="85"/>
      <c r="QQJ16" s="85"/>
      <c r="QQQ16" s="85"/>
      <c r="QQX16" s="85"/>
      <c r="QRE16" s="85"/>
      <c r="QRL16" s="85"/>
      <c r="QRS16" s="85"/>
      <c r="QRZ16" s="85"/>
      <c r="QSG16" s="85"/>
      <c r="QSN16" s="85"/>
      <c r="QSU16" s="85"/>
      <c r="QTB16" s="85"/>
      <c r="QTI16" s="85"/>
      <c r="QTP16" s="85"/>
      <c r="QTW16" s="85"/>
      <c r="QUD16" s="85"/>
      <c r="QUK16" s="85"/>
      <c r="QUR16" s="85"/>
      <c r="QUY16" s="85"/>
      <c r="QVF16" s="85"/>
      <c r="QVM16" s="85"/>
      <c r="QVT16" s="85"/>
      <c r="QWA16" s="85"/>
      <c r="QWH16" s="85"/>
      <c r="QWO16" s="85"/>
      <c r="QWV16" s="85"/>
      <c r="QXC16" s="85"/>
      <c r="QXJ16" s="85"/>
      <c r="QXQ16" s="85"/>
      <c r="QXX16" s="85"/>
      <c r="QYE16" s="85"/>
      <c r="QYL16" s="85"/>
      <c r="QYS16" s="85"/>
      <c r="QYZ16" s="85"/>
      <c r="QZG16" s="85"/>
      <c r="QZN16" s="85"/>
      <c r="QZU16" s="85"/>
      <c r="RAB16" s="85"/>
      <c r="RAI16" s="85"/>
      <c r="RAP16" s="85"/>
      <c r="RAW16" s="85"/>
      <c r="RBD16" s="85"/>
      <c r="RBK16" s="85"/>
      <c r="RBR16" s="85"/>
      <c r="RBY16" s="85"/>
      <c r="RCF16" s="85"/>
      <c r="RCM16" s="85"/>
      <c r="RCT16" s="85"/>
      <c r="RDA16" s="85"/>
      <c r="RDH16" s="85"/>
      <c r="RDO16" s="85"/>
      <c r="RDV16" s="85"/>
      <c r="REC16" s="85"/>
      <c r="REJ16" s="85"/>
      <c r="REQ16" s="85"/>
      <c r="REX16" s="85"/>
      <c r="RFE16" s="85"/>
      <c r="RFL16" s="85"/>
      <c r="RFS16" s="85"/>
      <c r="RFZ16" s="85"/>
      <c r="RGG16" s="85"/>
      <c r="RGN16" s="85"/>
      <c r="RGU16" s="85"/>
      <c r="RHB16" s="85"/>
      <c r="RHI16" s="85"/>
      <c r="RHP16" s="85"/>
      <c r="RHW16" s="85"/>
      <c r="RID16" s="85"/>
      <c r="RIK16" s="85"/>
      <c r="RIR16" s="85"/>
      <c r="RIY16" s="85"/>
      <c r="RJF16" s="85"/>
      <c r="RJM16" s="85"/>
      <c r="RJT16" s="85"/>
      <c r="RKA16" s="85"/>
      <c r="RKH16" s="85"/>
      <c r="RKO16" s="85"/>
      <c r="RKV16" s="85"/>
      <c r="RLC16" s="85"/>
      <c r="RLJ16" s="85"/>
      <c r="RLQ16" s="85"/>
      <c r="RLX16" s="85"/>
      <c r="RME16" s="85"/>
      <c r="RML16" s="85"/>
      <c r="RMS16" s="85"/>
      <c r="RMZ16" s="85"/>
      <c r="RNG16" s="85"/>
      <c r="RNN16" s="85"/>
      <c r="RNU16" s="85"/>
      <c r="ROB16" s="85"/>
      <c r="ROI16" s="85"/>
      <c r="ROP16" s="85"/>
      <c r="ROW16" s="85"/>
      <c r="RPD16" s="85"/>
      <c r="RPK16" s="85"/>
      <c r="RPR16" s="85"/>
      <c r="RPY16" s="85"/>
      <c r="RQF16" s="85"/>
      <c r="RQM16" s="85"/>
      <c r="RQT16" s="85"/>
      <c r="RRA16" s="85"/>
      <c r="RRH16" s="85"/>
      <c r="RRO16" s="85"/>
      <c r="RRV16" s="85"/>
      <c r="RSC16" s="85"/>
      <c r="RSJ16" s="85"/>
      <c r="RSQ16" s="85"/>
      <c r="RSX16" s="85"/>
      <c r="RTE16" s="85"/>
      <c r="RTL16" s="85"/>
      <c r="RTS16" s="85"/>
      <c r="RTZ16" s="85"/>
      <c r="RUG16" s="85"/>
      <c r="RUN16" s="85"/>
      <c r="RUU16" s="85"/>
      <c r="RVB16" s="85"/>
      <c r="RVI16" s="85"/>
      <c r="RVP16" s="85"/>
      <c r="RVW16" s="85"/>
      <c r="RWD16" s="85"/>
      <c r="RWK16" s="85"/>
      <c r="RWR16" s="85"/>
      <c r="RWY16" s="85"/>
      <c r="RXF16" s="85"/>
      <c r="RXM16" s="85"/>
      <c r="RXT16" s="85"/>
      <c r="RYA16" s="85"/>
      <c r="RYH16" s="85"/>
      <c r="RYO16" s="85"/>
      <c r="RYV16" s="85"/>
      <c r="RZC16" s="85"/>
      <c r="RZJ16" s="85"/>
      <c r="RZQ16" s="85"/>
      <c r="RZX16" s="85"/>
      <c r="SAE16" s="85"/>
      <c r="SAL16" s="85"/>
      <c r="SAS16" s="85"/>
      <c r="SAZ16" s="85"/>
      <c r="SBG16" s="85"/>
      <c r="SBN16" s="85"/>
      <c r="SBU16" s="85"/>
      <c r="SCB16" s="85"/>
      <c r="SCI16" s="85"/>
      <c r="SCP16" s="85"/>
      <c r="SCW16" s="85"/>
      <c r="SDD16" s="85"/>
      <c r="SDK16" s="85"/>
      <c r="SDR16" s="85"/>
      <c r="SDY16" s="85"/>
      <c r="SEF16" s="85"/>
      <c r="SEM16" s="85"/>
      <c r="SET16" s="85"/>
      <c r="SFA16" s="85"/>
      <c r="SFH16" s="85"/>
      <c r="SFO16" s="85"/>
      <c r="SFV16" s="85"/>
      <c r="SGC16" s="85"/>
      <c r="SGJ16" s="85"/>
      <c r="SGQ16" s="85"/>
      <c r="SGX16" s="85"/>
      <c r="SHE16" s="85"/>
      <c r="SHL16" s="85"/>
      <c r="SHS16" s="85"/>
      <c r="SHZ16" s="85"/>
      <c r="SIG16" s="85"/>
      <c r="SIN16" s="85"/>
      <c r="SIU16" s="85"/>
      <c r="SJB16" s="85"/>
      <c r="SJI16" s="85"/>
      <c r="SJP16" s="85"/>
      <c r="SJW16" s="85"/>
      <c r="SKD16" s="85"/>
      <c r="SKK16" s="85"/>
      <c r="SKR16" s="85"/>
      <c r="SKY16" s="85"/>
      <c r="SLF16" s="85"/>
      <c r="SLM16" s="85"/>
      <c r="SLT16" s="85"/>
      <c r="SMA16" s="85"/>
      <c r="SMH16" s="85"/>
      <c r="SMO16" s="85"/>
      <c r="SMV16" s="85"/>
      <c r="SNC16" s="85"/>
      <c r="SNJ16" s="85"/>
      <c r="SNQ16" s="85"/>
      <c r="SNX16" s="85"/>
      <c r="SOE16" s="85"/>
      <c r="SOL16" s="85"/>
      <c r="SOS16" s="85"/>
      <c r="SOZ16" s="85"/>
      <c r="SPG16" s="85"/>
      <c r="SPN16" s="85"/>
      <c r="SPU16" s="85"/>
      <c r="SQB16" s="85"/>
      <c r="SQI16" s="85"/>
      <c r="SQP16" s="85"/>
      <c r="SQW16" s="85"/>
      <c r="SRD16" s="85"/>
      <c r="SRK16" s="85"/>
      <c r="SRR16" s="85"/>
      <c r="SRY16" s="85"/>
      <c r="SSF16" s="85"/>
      <c r="SSM16" s="85"/>
      <c r="SST16" s="85"/>
      <c r="STA16" s="85"/>
      <c r="STH16" s="85"/>
      <c r="STO16" s="85"/>
      <c r="STV16" s="85"/>
      <c r="SUC16" s="85"/>
      <c r="SUJ16" s="85"/>
      <c r="SUQ16" s="85"/>
      <c r="SUX16" s="85"/>
      <c r="SVE16" s="85"/>
      <c r="SVL16" s="85"/>
      <c r="SVS16" s="85"/>
      <c r="SVZ16" s="85"/>
      <c r="SWG16" s="85"/>
      <c r="SWN16" s="85"/>
      <c r="SWU16" s="85"/>
      <c r="SXB16" s="85"/>
      <c r="SXI16" s="85"/>
      <c r="SXP16" s="85"/>
      <c r="SXW16" s="85"/>
      <c r="SYD16" s="85"/>
      <c r="SYK16" s="85"/>
      <c r="SYR16" s="85"/>
      <c r="SYY16" s="85"/>
      <c r="SZF16" s="85"/>
      <c r="SZM16" s="85"/>
      <c r="SZT16" s="85"/>
      <c r="TAA16" s="85"/>
      <c r="TAH16" s="85"/>
      <c r="TAO16" s="85"/>
      <c r="TAV16" s="85"/>
      <c r="TBC16" s="85"/>
      <c r="TBJ16" s="85"/>
      <c r="TBQ16" s="85"/>
      <c r="TBX16" s="85"/>
      <c r="TCE16" s="85"/>
      <c r="TCL16" s="85"/>
      <c r="TCS16" s="85"/>
      <c r="TCZ16" s="85"/>
      <c r="TDG16" s="85"/>
      <c r="TDN16" s="85"/>
      <c r="TDU16" s="85"/>
      <c r="TEB16" s="85"/>
      <c r="TEI16" s="85"/>
      <c r="TEP16" s="85"/>
      <c r="TEW16" s="85"/>
      <c r="TFD16" s="85"/>
      <c r="TFK16" s="85"/>
      <c r="TFR16" s="85"/>
      <c r="TFY16" s="85"/>
      <c r="TGF16" s="85"/>
      <c r="TGM16" s="85"/>
      <c r="TGT16" s="85"/>
      <c r="THA16" s="85"/>
      <c r="THH16" s="85"/>
      <c r="THO16" s="85"/>
      <c r="THV16" s="85"/>
      <c r="TIC16" s="85"/>
      <c r="TIJ16" s="85"/>
      <c r="TIQ16" s="85"/>
      <c r="TIX16" s="85"/>
      <c r="TJE16" s="85"/>
      <c r="TJL16" s="85"/>
      <c r="TJS16" s="85"/>
      <c r="TJZ16" s="85"/>
      <c r="TKG16" s="85"/>
      <c r="TKN16" s="85"/>
      <c r="TKU16" s="85"/>
      <c r="TLB16" s="85"/>
      <c r="TLI16" s="85"/>
      <c r="TLP16" s="85"/>
      <c r="TLW16" s="85"/>
      <c r="TMD16" s="85"/>
      <c r="TMK16" s="85"/>
      <c r="TMR16" s="85"/>
      <c r="TMY16" s="85"/>
      <c r="TNF16" s="85"/>
      <c r="TNM16" s="85"/>
      <c r="TNT16" s="85"/>
      <c r="TOA16" s="85"/>
      <c r="TOH16" s="85"/>
      <c r="TOO16" s="85"/>
      <c r="TOV16" s="85"/>
      <c r="TPC16" s="85"/>
      <c r="TPJ16" s="85"/>
      <c r="TPQ16" s="85"/>
      <c r="TPX16" s="85"/>
      <c r="TQE16" s="85"/>
      <c r="TQL16" s="85"/>
      <c r="TQS16" s="85"/>
      <c r="TQZ16" s="85"/>
      <c r="TRG16" s="85"/>
      <c r="TRN16" s="85"/>
      <c r="TRU16" s="85"/>
      <c r="TSB16" s="85"/>
      <c r="TSI16" s="85"/>
      <c r="TSP16" s="85"/>
      <c r="TSW16" s="85"/>
      <c r="TTD16" s="85"/>
      <c r="TTK16" s="85"/>
      <c r="TTR16" s="85"/>
      <c r="TTY16" s="85"/>
      <c r="TUF16" s="85"/>
      <c r="TUM16" s="85"/>
      <c r="TUT16" s="85"/>
      <c r="TVA16" s="85"/>
      <c r="TVH16" s="85"/>
      <c r="TVO16" s="85"/>
      <c r="TVV16" s="85"/>
      <c r="TWC16" s="85"/>
      <c r="TWJ16" s="85"/>
      <c r="TWQ16" s="85"/>
      <c r="TWX16" s="85"/>
      <c r="TXE16" s="85"/>
      <c r="TXL16" s="85"/>
      <c r="TXS16" s="85"/>
      <c r="TXZ16" s="85"/>
      <c r="TYG16" s="85"/>
      <c r="TYN16" s="85"/>
      <c r="TYU16" s="85"/>
      <c r="TZB16" s="85"/>
      <c r="TZI16" s="85"/>
      <c r="TZP16" s="85"/>
      <c r="TZW16" s="85"/>
      <c r="UAD16" s="85"/>
      <c r="UAK16" s="85"/>
      <c r="UAR16" s="85"/>
      <c r="UAY16" s="85"/>
      <c r="UBF16" s="85"/>
      <c r="UBM16" s="85"/>
      <c r="UBT16" s="85"/>
      <c r="UCA16" s="85"/>
      <c r="UCH16" s="85"/>
      <c r="UCO16" s="85"/>
      <c r="UCV16" s="85"/>
      <c r="UDC16" s="85"/>
      <c r="UDJ16" s="85"/>
      <c r="UDQ16" s="85"/>
      <c r="UDX16" s="85"/>
      <c r="UEE16" s="85"/>
      <c r="UEL16" s="85"/>
      <c r="UES16" s="85"/>
      <c r="UEZ16" s="85"/>
      <c r="UFG16" s="85"/>
      <c r="UFN16" s="85"/>
      <c r="UFU16" s="85"/>
      <c r="UGB16" s="85"/>
      <c r="UGI16" s="85"/>
      <c r="UGP16" s="85"/>
      <c r="UGW16" s="85"/>
      <c r="UHD16" s="85"/>
      <c r="UHK16" s="85"/>
      <c r="UHR16" s="85"/>
      <c r="UHY16" s="85"/>
      <c r="UIF16" s="85"/>
      <c r="UIM16" s="85"/>
      <c r="UIT16" s="85"/>
      <c r="UJA16" s="85"/>
      <c r="UJH16" s="85"/>
      <c r="UJO16" s="85"/>
      <c r="UJV16" s="85"/>
      <c r="UKC16" s="85"/>
      <c r="UKJ16" s="85"/>
      <c r="UKQ16" s="85"/>
      <c r="UKX16" s="85"/>
      <c r="ULE16" s="85"/>
      <c r="ULL16" s="85"/>
      <c r="ULS16" s="85"/>
      <c r="ULZ16" s="85"/>
      <c r="UMG16" s="85"/>
      <c r="UMN16" s="85"/>
      <c r="UMU16" s="85"/>
      <c r="UNB16" s="85"/>
      <c r="UNI16" s="85"/>
      <c r="UNP16" s="85"/>
      <c r="UNW16" s="85"/>
      <c r="UOD16" s="85"/>
      <c r="UOK16" s="85"/>
      <c r="UOR16" s="85"/>
      <c r="UOY16" s="85"/>
      <c r="UPF16" s="85"/>
      <c r="UPM16" s="85"/>
      <c r="UPT16" s="85"/>
      <c r="UQA16" s="85"/>
      <c r="UQH16" s="85"/>
      <c r="UQO16" s="85"/>
      <c r="UQV16" s="85"/>
      <c r="URC16" s="85"/>
      <c r="URJ16" s="85"/>
      <c r="URQ16" s="85"/>
      <c r="URX16" s="85"/>
      <c r="USE16" s="85"/>
      <c r="USL16" s="85"/>
      <c r="USS16" s="85"/>
      <c r="USZ16" s="85"/>
      <c r="UTG16" s="85"/>
      <c r="UTN16" s="85"/>
      <c r="UTU16" s="85"/>
      <c r="UUB16" s="85"/>
      <c r="UUI16" s="85"/>
      <c r="UUP16" s="85"/>
      <c r="UUW16" s="85"/>
      <c r="UVD16" s="85"/>
      <c r="UVK16" s="85"/>
      <c r="UVR16" s="85"/>
      <c r="UVY16" s="85"/>
      <c r="UWF16" s="85"/>
      <c r="UWM16" s="85"/>
      <c r="UWT16" s="85"/>
      <c r="UXA16" s="85"/>
      <c r="UXH16" s="85"/>
      <c r="UXO16" s="85"/>
      <c r="UXV16" s="85"/>
      <c r="UYC16" s="85"/>
      <c r="UYJ16" s="85"/>
      <c r="UYQ16" s="85"/>
      <c r="UYX16" s="85"/>
      <c r="UZE16" s="85"/>
      <c r="UZL16" s="85"/>
      <c r="UZS16" s="85"/>
      <c r="UZZ16" s="85"/>
      <c r="VAG16" s="85"/>
      <c r="VAN16" s="85"/>
      <c r="VAU16" s="85"/>
      <c r="VBB16" s="85"/>
      <c r="VBI16" s="85"/>
      <c r="VBP16" s="85"/>
      <c r="VBW16" s="85"/>
      <c r="VCD16" s="85"/>
      <c r="VCK16" s="85"/>
      <c r="VCR16" s="85"/>
      <c r="VCY16" s="85"/>
      <c r="VDF16" s="85"/>
      <c r="VDM16" s="85"/>
      <c r="VDT16" s="85"/>
      <c r="VEA16" s="85"/>
      <c r="VEH16" s="85"/>
      <c r="VEO16" s="85"/>
      <c r="VEV16" s="85"/>
      <c r="VFC16" s="85"/>
      <c r="VFJ16" s="85"/>
      <c r="VFQ16" s="85"/>
      <c r="VFX16" s="85"/>
      <c r="VGE16" s="85"/>
      <c r="VGL16" s="85"/>
      <c r="VGS16" s="85"/>
      <c r="VGZ16" s="85"/>
      <c r="VHG16" s="85"/>
      <c r="VHN16" s="85"/>
      <c r="VHU16" s="85"/>
      <c r="VIB16" s="85"/>
      <c r="VII16" s="85"/>
      <c r="VIP16" s="85"/>
      <c r="VIW16" s="85"/>
      <c r="VJD16" s="85"/>
      <c r="VJK16" s="85"/>
      <c r="VJR16" s="85"/>
      <c r="VJY16" s="85"/>
      <c r="VKF16" s="85"/>
      <c r="VKM16" s="85"/>
      <c r="VKT16" s="85"/>
      <c r="VLA16" s="85"/>
      <c r="VLH16" s="85"/>
      <c r="VLO16" s="85"/>
      <c r="VLV16" s="85"/>
      <c r="VMC16" s="85"/>
      <c r="VMJ16" s="85"/>
      <c r="VMQ16" s="85"/>
      <c r="VMX16" s="85"/>
      <c r="VNE16" s="85"/>
      <c r="VNL16" s="85"/>
      <c r="VNS16" s="85"/>
      <c r="VNZ16" s="85"/>
      <c r="VOG16" s="85"/>
      <c r="VON16" s="85"/>
      <c r="VOU16" s="85"/>
      <c r="VPB16" s="85"/>
      <c r="VPI16" s="85"/>
      <c r="VPP16" s="85"/>
      <c r="VPW16" s="85"/>
      <c r="VQD16" s="85"/>
      <c r="VQK16" s="85"/>
      <c r="VQR16" s="85"/>
      <c r="VQY16" s="85"/>
      <c r="VRF16" s="85"/>
      <c r="VRM16" s="85"/>
      <c r="VRT16" s="85"/>
      <c r="VSA16" s="85"/>
      <c r="VSH16" s="85"/>
      <c r="VSO16" s="85"/>
      <c r="VSV16" s="85"/>
      <c r="VTC16" s="85"/>
      <c r="VTJ16" s="85"/>
      <c r="VTQ16" s="85"/>
      <c r="VTX16" s="85"/>
      <c r="VUE16" s="85"/>
      <c r="VUL16" s="85"/>
      <c r="VUS16" s="85"/>
      <c r="VUZ16" s="85"/>
      <c r="VVG16" s="85"/>
      <c r="VVN16" s="85"/>
      <c r="VVU16" s="85"/>
      <c r="VWB16" s="85"/>
      <c r="VWI16" s="85"/>
      <c r="VWP16" s="85"/>
      <c r="VWW16" s="85"/>
      <c r="VXD16" s="85"/>
      <c r="VXK16" s="85"/>
      <c r="VXR16" s="85"/>
      <c r="VXY16" s="85"/>
      <c r="VYF16" s="85"/>
      <c r="VYM16" s="85"/>
      <c r="VYT16" s="85"/>
      <c r="VZA16" s="85"/>
      <c r="VZH16" s="85"/>
      <c r="VZO16" s="85"/>
      <c r="VZV16" s="85"/>
      <c r="WAC16" s="85"/>
      <c r="WAJ16" s="85"/>
      <c r="WAQ16" s="85"/>
      <c r="WAX16" s="85"/>
      <c r="WBE16" s="85"/>
      <c r="WBL16" s="85"/>
      <c r="WBS16" s="85"/>
      <c r="WBZ16" s="85"/>
      <c r="WCG16" s="85"/>
      <c r="WCN16" s="85"/>
      <c r="WCU16" s="85"/>
      <c r="WDB16" s="85"/>
      <c r="WDI16" s="85"/>
      <c r="WDP16" s="85"/>
      <c r="WDW16" s="85"/>
      <c r="WED16" s="85"/>
      <c r="WEK16" s="85"/>
      <c r="WER16" s="85"/>
      <c r="WEY16" s="85"/>
      <c r="WFF16" s="85"/>
      <c r="WFM16" s="85"/>
      <c r="WFT16" s="85"/>
      <c r="WGA16" s="85"/>
      <c r="WGH16" s="85"/>
      <c r="WGO16" s="85"/>
      <c r="WGV16" s="85"/>
      <c r="WHC16" s="85"/>
      <c r="WHJ16" s="85"/>
      <c r="WHQ16" s="85"/>
      <c r="WHX16" s="85"/>
      <c r="WIE16" s="85"/>
      <c r="WIL16" s="85"/>
      <c r="WIS16" s="85"/>
      <c r="WIZ16" s="85"/>
      <c r="WJG16" s="85"/>
      <c r="WJN16" s="85"/>
      <c r="WJU16" s="85"/>
      <c r="WKB16" s="85"/>
      <c r="WKI16" s="85"/>
      <c r="WKP16" s="85"/>
      <c r="WKW16" s="85"/>
      <c r="WLD16" s="85"/>
      <c r="WLK16" s="85"/>
      <c r="WLR16" s="85"/>
      <c r="WLY16" s="85"/>
      <c r="WMF16" s="85"/>
      <c r="WMM16" s="85"/>
      <c r="WMT16" s="85"/>
      <c r="WNA16" s="85"/>
      <c r="WNH16" s="85"/>
      <c r="WNO16" s="85"/>
      <c r="WNV16" s="85"/>
      <c r="WOC16" s="85"/>
      <c r="WOJ16" s="85"/>
      <c r="WOQ16" s="85"/>
      <c r="WOX16" s="85"/>
      <c r="WPE16" s="85"/>
      <c r="WPL16" s="85"/>
      <c r="WPS16" s="85"/>
      <c r="WPZ16" s="85"/>
      <c r="WQG16" s="85"/>
      <c r="WQN16" s="85"/>
      <c r="WQU16" s="85"/>
      <c r="WRB16" s="85"/>
      <c r="WRI16" s="85"/>
      <c r="WRP16" s="85"/>
      <c r="WRW16" s="85"/>
      <c r="WSD16" s="85"/>
      <c r="WSK16" s="85"/>
      <c r="WSR16" s="85"/>
      <c r="WSY16" s="85"/>
      <c r="WTF16" s="85"/>
      <c r="WTM16" s="85"/>
      <c r="WTT16" s="85"/>
      <c r="WUA16" s="85"/>
      <c r="WUH16" s="85"/>
      <c r="WUO16" s="85"/>
      <c r="WUV16" s="85"/>
      <c r="WVC16" s="85"/>
      <c r="WVJ16" s="85"/>
      <c r="WVQ16" s="85"/>
      <c r="WVX16" s="85"/>
      <c r="WWE16" s="85"/>
      <c r="WWL16" s="85"/>
      <c r="WWS16" s="85"/>
      <c r="WWZ16" s="85"/>
      <c r="WXG16" s="85"/>
      <c r="WXN16" s="85"/>
      <c r="WXU16" s="85"/>
      <c r="WYB16" s="85"/>
      <c r="WYI16" s="85"/>
      <c r="WYP16" s="85"/>
      <c r="WYW16" s="85"/>
      <c r="WZD16" s="85"/>
      <c r="WZK16" s="85"/>
      <c r="WZR16" s="85"/>
      <c r="WZY16" s="85"/>
      <c r="XAF16" s="85"/>
      <c r="XAM16" s="85"/>
      <c r="XAT16" s="85"/>
      <c r="XBA16" s="85"/>
      <c r="XBH16" s="85"/>
      <c r="XBO16" s="85"/>
      <c r="XBV16" s="85"/>
      <c r="XCC16" s="85"/>
      <c r="XCJ16" s="85"/>
      <c r="XCQ16" s="85"/>
      <c r="XCX16" s="85"/>
      <c r="XDE16" s="85"/>
      <c r="XDL16" s="85"/>
      <c r="XDS16" s="85"/>
      <c r="XDZ16" s="85"/>
      <c r="XEG16" s="85"/>
      <c r="XEN16" s="85"/>
      <c r="XEU16" s="85"/>
      <c r="XFB16" s="85"/>
    </row>
    <row r="17" spans="1:1024 1031:2046 2053:3068 3075:4090 4097:5119 5126:6141 6148:7163 7170:8192 8199:9214 9221:10236 10243:11258 11265:12287 12294:13309 13316:14331 14338:15360 15367:16382" s="98" customFormat="1" ht="15.75" customHeight="1" x14ac:dyDescent="0.3">
      <c r="A17" s="85" t="s">
        <v>959</v>
      </c>
      <c r="B17" s="98">
        <v>0</v>
      </c>
      <c r="C17" s="98">
        <v>0</v>
      </c>
      <c r="D17" s="98">
        <v>224768.5675</v>
      </c>
      <c r="E17" s="98">
        <v>183760.54500000001</v>
      </c>
      <c r="F17" s="98">
        <v>0</v>
      </c>
      <c r="G17" s="98">
        <v>0</v>
      </c>
      <c r="H17" s="98">
        <v>408529.11249999999</v>
      </c>
      <c r="I17" s="84"/>
      <c r="J17" s="84"/>
      <c r="P17" s="85"/>
      <c r="W17" s="85"/>
      <c r="AD17" s="85"/>
      <c r="AK17" s="85"/>
      <c r="AR17" s="85"/>
      <c r="AY17" s="85"/>
      <c r="BF17" s="85"/>
      <c r="BM17" s="85"/>
      <c r="BT17" s="85"/>
      <c r="CA17" s="85"/>
      <c r="CH17" s="85"/>
      <c r="CO17" s="85"/>
      <c r="CV17" s="85"/>
      <c r="DC17" s="85"/>
      <c r="DJ17" s="85"/>
      <c r="DQ17" s="85"/>
      <c r="DX17" s="85"/>
      <c r="EE17" s="85"/>
      <c r="EL17" s="85"/>
      <c r="ES17" s="85"/>
      <c r="EZ17" s="85"/>
      <c r="FG17" s="85"/>
      <c r="FN17" s="85"/>
      <c r="FU17" s="85"/>
      <c r="GB17" s="85"/>
      <c r="GI17" s="85"/>
      <c r="GP17" s="85"/>
      <c r="GW17" s="85"/>
      <c r="HD17" s="85"/>
      <c r="HK17" s="85"/>
      <c r="HR17" s="85"/>
      <c r="HY17" s="85"/>
      <c r="IF17" s="85"/>
      <c r="IM17" s="85"/>
      <c r="IT17" s="85"/>
      <c r="JA17" s="85"/>
      <c r="JH17" s="85"/>
      <c r="JO17" s="85"/>
      <c r="JV17" s="85"/>
      <c r="KC17" s="85"/>
      <c r="KJ17" s="85"/>
      <c r="KQ17" s="85"/>
      <c r="KX17" s="85"/>
      <c r="LE17" s="85"/>
      <c r="LL17" s="85"/>
      <c r="LS17" s="85"/>
      <c r="LZ17" s="85"/>
      <c r="MG17" s="85"/>
      <c r="MN17" s="85"/>
      <c r="MU17" s="85"/>
      <c r="NB17" s="85"/>
      <c r="NI17" s="85"/>
      <c r="NP17" s="85"/>
      <c r="NW17" s="85"/>
      <c r="OD17" s="85"/>
      <c r="OK17" s="85"/>
      <c r="OR17" s="85"/>
      <c r="OY17" s="85"/>
      <c r="PF17" s="85"/>
      <c r="PM17" s="85"/>
      <c r="PT17" s="85"/>
      <c r="QA17" s="85"/>
      <c r="QH17" s="85"/>
      <c r="QO17" s="85"/>
      <c r="QV17" s="85"/>
      <c r="RC17" s="85"/>
      <c r="RJ17" s="85"/>
      <c r="RQ17" s="85"/>
      <c r="RX17" s="85"/>
      <c r="SE17" s="85"/>
      <c r="SL17" s="85"/>
      <c r="SS17" s="85"/>
      <c r="SZ17" s="85"/>
      <c r="TG17" s="85"/>
      <c r="TN17" s="85"/>
      <c r="TU17" s="85"/>
      <c r="UB17" s="85"/>
      <c r="UI17" s="85"/>
      <c r="UP17" s="85"/>
      <c r="UW17" s="85"/>
      <c r="VD17" s="85"/>
      <c r="VK17" s="85"/>
      <c r="VR17" s="85"/>
      <c r="VY17" s="85"/>
      <c r="WF17" s="85"/>
      <c r="WM17" s="85"/>
      <c r="WT17" s="85"/>
      <c r="XA17" s="85"/>
      <c r="XH17" s="85"/>
      <c r="XO17" s="85"/>
      <c r="XV17" s="85"/>
      <c r="YC17" s="85"/>
      <c r="YJ17" s="85"/>
      <c r="YQ17" s="85"/>
      <c r="YX17" s="85"/>
      <c r="ZE17" s="85"/>
      <c r="ZL17" s="85"/>
      <c r="ZS17" s="85"/>
      <c r="ZZ17" s="85"/>
      <c r="AAG17" s="85"/>
      <c r="AAN17" s="85"/>
      <c r="AAU17" s="85"/>
      <c r="ABB17" s="85"/>
      <c r="ABI17" s="85"/>
      <c r="ABP17" s="85"/>
      <c r="ABW17" s="85"/>
      <c r="ACD17" s="85"/>
      <c r="ACK17" s="85"/>
      <c r="ACR17" s="85"/>
      <c r="ACY17" s="85"/>
      <c r="ADF17" s="85"/>
      <c r="ADM17" s="85"/>
      <c r="ADT17" s="85"/>
      <c r="AEA17" s="85"/>
      <c r="AEH17" s="85"/>
      <c r="AEO17" s="85"/>
      <c r="AEV17" s="85"/>
      <c r="AFC17" s="85"/>
      <c r="AFJ17" s="85"/>
      <c r="AFQ17" s="85"/>
      <c r="AFX17" s="85"/>
      <c r="AGE17" s="85"/>
      <c r="AGL17" s="85"/>
      <c r="AGS17" s="85"/>
      <c r="AGZ17" s="85"/>
      <c r="AHG17" s="85"/>
      <c r="AHN17" s="85"/>
      <c r="AHU17" s="85"/>
      <c r="AIB17" s="85"/>
      <c r="AII17" s="85"/>
      <c r="AIP17" s="85"/>
      <c r="AIW17" s="85"/>
      <c r="AJD17" s="85"/>
      <c r="AJK17" s="85"/>
      <c r="AJR17" s="85"/>
      <c r="AJY17" s="85"/>
      <c r="AKF17" s="85"/>
      <c r="AKM17" s="85"/>
      <c r="AKT17" s="85"/>
      <c r="ALA17" s="85"/>
      <c r="ALH17" s="85"/>
      <c r="ALO17" s="85"/>
      <c r="ALV17" s="85"/>
      <c r="AMC17" s="85"/>
      <c r="AMJ17" s="85"/>
      <c r="AMQ17" s="85"/>
      <c r="AMX17" s="85"/>
      <c r="ANE17" s="85"/>
      <c r="ANL17" s="85"/>
      <c r="ANS17" s="85"/>
      <c r="ANZ17" s="85"/>
      <c r="AOG17" s="85"/>
      <c r="AON17" s="85"/>
      <c r="AOU17" s="85"/>
      <c r="APB17" s="85"/>
      <c r="API17" s="85"/>
      <c r="APP17" s="85"/>
      <c r="APW17" s="85"/>
      <c r="AQD17" s="85"/>
      <c r="AQK17" s="85"/>
      <c r="AQR17" s="85"/>
      <c r="AQY17" s="85"/>
      <c r="ARF17" s="85"/>
      <c r="ARM17" s="85"/>
      <c r="ART17" s="85"/>
      <c r="ASA17" s="85"/>
      <c r="ASH17" s="85"/>
      <c r="ASO17" s="85"/>
      <c r="ASV17" s="85"/>
      <c r="ATC17" s="85"/>
      <c r="ATJ17" s="85"/>
      <c r="ATQ17" s="85"/>
      <c r="ATX17" s="85"/>
      <c r="AUE17" s="85"/>
      <c r="AUL17" s="85"/>
      <c r="AUS17" s="85"/>
      <c r="AUZ17" s="85"/>
      <c r="AVG17" s="85"/>
      <c r="AVN17" s="85"/>
      <c r="AVU17" s="85"/>
      <c r="AWB17" s="85"/>
      <c r="AWI17" s="85"/>
      <c r="AWP17" s="85"/>
      <c r="AWW17" s="85"/>
      <c r="AXD17" s="85"/>
      <c r="AXK17" s="85"/>
      <c r="AXR17" s="85"/>
      <c r="AXY17" s="85"/>
      <c r="AYF17" s="85"/>
      <c r="AYM17" s="85"/>
      <c r="AYT17" s="85"/>
      <c r="AZA17" s="85"/>
      <c r="AZH17" s="85"/>
      <c r="AZO17" s="85"/>
      <c r="AZV17" s="85"/>
      <c r="BAC17" s="85"/>
      <c r="BAJ17" s="85"/>
      <c r="BAQ17" s="85"/>
      <c r="BAX17" s="85"/>
      <c r="BBE17" s="85"/>
      <c r="BBL17" s="85"/>
      <c r="BBS17" s="85"/>
      <c r="BBZ17" s="85"/>
      <c r="BCG17" s="85"/>
      <c r="BCN17" s="85"/>
      <c r="BCU17" s="85"/>
      <c r="BDB17" s="85"/>
      <c r="BDI17" s="85"/>
      <c r="BDP17" s="85"/>
      <c r="BDW17" s="85"/>
      <c r="BED17" s="85"/>
      <c r="BEK17" s="85"/>
      <c r="BER17" s="85"/>
      <c r="BEY17" s="85"/>
      <c r="BFF17" s="85"/>
      <c r="BFM17" s="85"/>
      <c r="BFT17" s="85"/>
      <c r="BGA17" s="85"/>
      <c r="BGH17" s="85"/>
      <c r="BGO17" s="85"/>
      <c r="BGV17" s="85"/>
      <c r="BHC17" s="85"/>
      <c r="BHJ17" s="85"/>
      <c r="BHQ17" s="85"/>
      <c r="BHX17" s="85"/>
      <c r="BIE17" s="85"/>
      <c r="BIL17" s="85"/>
      <c r="BIS17" s="85"/>
      <c r="BIZ17" s="85"/>
      <c r="BJG17" s="85"/>
      <c r="BJN17" s="85"/>
      <c r="BJU17" s="85"/>
      <c r="BKB17" s="85"/>
      <c r="BKI17" s="85"/>
      <c r="BKP17" s="85"/>
      <c r="BKW17" s="85"/>
      <c r="BLD17" s="85"/>
      <c r="BLK17" s="85"/>
      <c r="BLR17" s="85"/>
      <c r="BLY17" s="85"/>
      <c r="BMF17" s="85"/>
      <c r="BMM17" s="85"/>
      <c r="BMT17" s="85"/>
      <c r="BNA17" s="85"/>
      <c r="BNH17" s="85"/>
      <c r="BNO17" s="85"/>
      <c r="BNV17" s="85"/>
      <c r="BOC17" s="85"/>
      <c r="BOJ17" s="85"/>
      <c r="BOQ17" s="85"/>
      <c r="BOX17" s="85"/>
      <c r="BPE17" s="85"/>
      <c r="BPL17" s="85"/>
      <c r="BPS17" s="85"/>
      <c r="BPZ17" s="85"/>
      <c r="BQG17" s="85"/>
      <c r="BQN17" s="85"/>
      <c r="BQU17" s="85"/>
      <c r="BRB17" s="85"/>
      <c r="BRI17" s="85"/>
      <c r="BRP17" s="85"/>
      <c r="BRW17" s="85"/>
      <c r="BSD17" s="85"/>
      <c r="BSK17" s="85"/>
      <c r="BSR17" s="85"/>
      <c r="BSY17" s="85"/>
      <c r="BTF17" s="85"/>
      <c r="BTM17" s="85"/>
      <c r="BTT17" s="85"/>
      <c r="BUA17" s="85"/>
      <c r="BUH17" s="85"/>
      <c r="BUO17" s="85"/>
      <c r="BUV17" s="85"/>
      <c r="BVC17" s="85"/>
      <c r="BVJ17" s="85"/>
      <c r="BVQ17" s="85"/>
      <c r="BVX17" s="85"/>
      <c r="BWE17" s="85"/>
      <c r="BWL17" s="85"/>
      <c r="BWS17" s="85"/>
      <c r="BWZ17" s="85"/>
      <c r="BXG17" s="85"/>
      <c r="BXN17" s="85"/>
      <c r="BXU17" s="85"/>
      <c r="BYB17" s="85"/>
      <c r="BYI17" s="85"/>
      <c r="BYP17" s="85"/>
      <c r="BYW17" s="85"/>
      <c r="BZD17" s="85"/>
      <c r="BZK17" s="85"/>
      <c r="BZR17" s="85"/>
      <c r="BZY17" s="85"/>
      <c r="CAF17" s="85"/>
      <c r="CAM17" s="85"/>
      <c r="CAT17" s="85"/>
      <c r="CBA17" s="85"/>
      <c r="CBH17" s="85"/>
      <c r="CBO17" s="85"/>
      <c r="CBV17" s="85"/>
      <c r="CCC17" s="85"/>
      <c r="CCJ17" s="85"/>
      <c r="CCQ17" s="85"/>
      <c r="CCX17" s="85"/>
      <c r="CDE17" s="85"/>
      <c r="CDL17" s="85"/>
      <c r="CDS17" s="85"/>
      <c r="CDZ17" s="85"/>
      <c r="CEG17" s="85"/>
      <c r="CEN17" s="85"/>
      <c r="CEU17" s="85"/>
      <c r="CFB17" s="85"/>
      <c r="CFI17" s="85"/>
      <c r="CFP17" s="85"/>
      <c r="CFW17" s="85"/>
      <c r="CGD17" s="85"/>
      <c r="CGK17" s="85"/>
      <c r="CGR17" s="85"/>
      <c r="CGY17" s="85"/>
      <c r="CHF17" s="85"/>
      <c r="CHM17" s="85"/>
      <c r="CHT17" s="85"/>
      <c r="CIA17" s="85"/>
      <c r="CIH17" s="85"/>
      <c r="CIO17" s="85"/>
      <c r="CIV17" s="85"/>
      <c r="CJC17" s="85"/>
      <c r="CJJ17" s="85"/>
      <c r="CJQ17" s="85"/>
      <c r="CJX17" s="85"/>
      <c r="CKE17" s="85"/>
      <c r="CKL17" s="85"/>
      <c r="CKS17" s="85"/>
      <c r="CKZ17" s="85"/>
      <c r="CLG17" s="85"/>
      <c r="CLN17" s="85"/>
      <c r="CLU17" s="85"/>
      <c r="CMB17" s="85"/>
      <c r="CMI17" s="85"/>
      <c r="CMP17" s="85"/>
      <c r="CMW17" s="85"/>
      <c r="CND17" s="85"/>
      <c r="CNK17" s="85"/>
      <c r="CNR17" s="85"/>
      <c r="CNY17" s="85"/>
      <c r="COF17" s="85"/>
      <c r="COM17" s="85"/>
      <c r="COT17" s="85"/>
      <c r="CPA17" s="85"/>
      <c r="CPH17" s="85"/>
      <c r="CPO17" s="85"/>
      <c r="CPV17" s="85"/>
      <c r="CQC17" s="85"/>
      <c r="CQJ17" s="85"/>
      <c r="CQQ17" s="85"/>
      <c r="CQX17" s="85"/>
      <c r="CRE17" s="85"/>
      <c r="CRL17" s="85"/>
      <c r="CRS17" s="85"/>
      <c r="CRZ17" s="85"/>
      <c r="CSG17" s="85"/>
      <c r="CSN17" s="85"/>
      <c r="CSU17" s="85"/>
      <c r="CTB17" s="85"/>
      <c r="CTI17" s="85"/>
      <c r="CTP17" s="85"/>
      <c r="CTW17" s="85"/>
      <c r="CUD17" s="85"/>
      <c r="CUK17" s="85"/>
      <c r="CUR17" s="85"/>
      <c r="CUY17" s="85"/>
      <c r="CVF17" s="85"/>
      <c r="CVM17" s="85"/>
      <c r="CVT17" s="85"/>
      <c r="CWA17" s="85"/>
      <c r="CWH17" s="85"/>
      <c r="CWO17" s="85"/>
      <c r="CWV17" s="85"/>
      <c r="CXC17" s="85"/>
      <c r="CXJ17" s="85"/>
      <c r="CXQ17" s="85"/>
      <c r="CXX17" s="85"/>
      <c r="CYE17" s="85"/>
      <c r="CYL17" s="85"/>
      <c r="CYS17" s="85"/>
      <c r="CYZ17" s="85"/>
      <c r="CZG17" s="85"/>
      <c r="CZN17" s="85"/>
      <c r="CZU17" s="85"/>
      <c r="DAB17" s="85"/>
      <c r="DAI17" s="85"/>
      <c r="DAP17" s="85"/>
      <c r="DAW17" s="85"/>
      <c r="DBD17" s="85"/>
      <c r="DBK17" s="85"/>
      <c r="DBR17" s="85"/>
      <c r="DBY17" s="85"/>
      <c r="DCF17" s="85"/>
      <c r="DCM17" s="85"/>
      <c r="DCT17" s="85"/>
      <c r="DDA17" s="85"/>
      <c r="DDH17" s="85"/>
      <c r="DDO17" s="85"/>
      <c r="DDV17" s="85"/>
      <c r="DEC17" s="85"/>
      <c r="DEJ17" s="85"/>
      <c r="DEQ17" s="85"/>
      <c r="DEX17" s="85"/>
      <c r="DFE17" s="85"/>
      <c r="DFL17" s="85"/>
      <c r="DFS17" s="85"/>
      <c r="DFZ17" s="85"/>
      <c r="DGG17" s="85"/>
      <c r="DGN17" s="85"/>
      <c r="DGU17" s="85"/>
      <c r="DHB17" s="85"/>
      <c r="DHI17" s="85"/>
      <c r="DHP17" s="85"/>
      <c r="DHW17" s="85"/>
      <c r="DID17" s="85"/>
      <c r="DIK17" s="85"/>
      <c r="DIR17" s="85"/>
      <c r="DIY17" s="85"/>
      <c r="DJF17" s="85"/>
      <c r="DJM17" s="85"/>
      <c r="DJT17" s="85"/>
      <c r="DKA17" s="85"/>
      <c r="DKH17" s="85"/>
      <c r="DKO17" s="85"/>
      <c r="DKV17" s="85"/>
      <c r="DLC17" s="85"/>
      <c r="DLJ17" s="85"/>
      <c r="DLQ17" s="85"/>
      <c r="DLX17" s="85"/>
      <c r="DME17" s="85"/>
      <c r="DML17" s="85"/>
      <c r="DMS17" s="85"/>
      <c r="DMZ17" s="85"/>
      <c r="DNG17" s="85"/>
      <c r="DNN17" s="85"/>
      <c r="DNU17" s="85"/>
      <c r="DOB17" s="85"/>
      <c r="DOI17" s="85"/>
      <c r="DOP17" s="85"/>
      <c r="DOW17" s="85"/>
      <c r="DPD17" s="85"/>
      <c r="DPK17" s="85"/>
      <c r="DPR17" s="85"/>
      <c r="DPY17" s="85"/>
      <c r="DQF17" s="85"/>
      <c r="DQM17" s="85"/>
      <c r="DQT17" s="85"/>
      <c r="DRA17" s="85"/>
      <c r="DRH17" s="85"/>
      <c r="DRO17" s="85"/>
      <c r="DRV17" s="85"/>
      <c r="DSC17" s="85"/>
      <c r="DSJ17" s="85"/>
      <c r="DSQ17" s="85"/>
      <c r="DSX17" s="85"/>
      <c r="DTE17" s="85"/>
      <c r="DTL17" s="85"/>
      <c r="DTS17" s="85"/>
      <c r="DTZ17" s="85"/>
      <c r="DUG17" s="85"/>
      <c r="DUN17" s="85"/>
      <c r="DUU17" s="85"/>
      <c r="DVB17" s="85"/>
      <c r="DVI17" s="85"/>
      <c r="DVP17" s="85"/>
      <c r="DVW17" s="85"/>
      <c r="DWD17" s="85"/>
      <c r="DWK17" s="85"/>
      <c r="DWR17" s="85"/>
      <c r="DWY17" s="85"/>
      <c r="DXF17" s="85"/>
      <c r="DXM17" s="85"/>
      <c r="DXT17" s="85"/>
      <c r="DYA17" s="85"/>
      <c r="DYH17" s="85"/>
      <c r="DYO17" s="85"/>
      <c r="DYV17" s="85"/>
      <c r="DZC17" s="85"/>
      <c r="DZJ17" s="85"/>
      <c r="DZQ17" s="85"/>
      <c r="DZX17" s="85"/>
      <c r="EAE17" s="85"/>
      <c r="EAL17" s="85"/>
      <c r="EAS17" s="85"/>
      <c r="EAZ17" s="85"/>
      <c r="EBG17" s="85"/>
      <c r="EBN17" s="85"/>
      <c r="EBU17" s="85"/>
      <c r="ECB17" s="85"/>
      <c r="ECI17" s="85"/>
      <c r="ECP17" s="85"/>
      <c r="ECW17" s="85"/>
      <c r="EDD17" s="85"/>
      <c r="EDK17" s="85"/>
      <c r="EDR17" s="85"/>
      <c r="EDY17" s="85"/>
      <c r="EEF17" s="85"/>
      <c r="EEM17" s="85"/>
      <c r="EET17" s="85"/>
      <c r="EFA17" s="85"/>
      <c r="EFH17" s="85"/>
      <c r="EFO17" s="85"/>
      <c r="EFV17" s="85"/>
      <c r="EGC17" s="85"/>
      <c r="EGJ17" s="85"/>
      <c r="EGQ17" s="85"/>
      <c r="EGX17" s="85"/>
      <c r="EHE17" s="85"/>
      <c r="EHL17" s="85"/>
      <c r="EHS17" s="85"/>
      <c r="EHZ17" s="85"/>
      <c r="EIG17" s="85"/>
      <c r="EIN17" s="85"/>
      <c r="EIU17" s="85"/>
      <c r="EJB17" s="85"/>
      <c r="EJI17" s="85"/>
      <c r="EJP17" s="85"/>
      <c r="EJW17" s="85"/>
      <c r="EKD17" s="85"/>
      <c r="EKK17" s="85"/>
      <c r="EKR17" s="85"/>
      <c r="EKY17" s="85"/>
      <c r="ELF17" s="85"/>
      <c r="ELM17" s="85"/>
      <c r="ELT17" s="85"/>
      <c r="EMA17" s="85"/>
      <c r="EMH17" s="85"/>
      <c r="EMO17" s="85"/>
      <c r="EMV17" s="85"/>
      <c r="ENC17" s="85"/>
      <c r="ENJ17" s="85"/>
      <c r="ENQ17" s="85"/>
      <c r="ENX17" s="85"/>
      <c r="EOE17" s="85"/>
      <c r="EOL17" s="85"/>
      <c r="EOS17" s="85"/>
      <c r="EOZ17" s="85"/>
      <c r="EPG17" s="85"/>
      <c r="EPN17" s="85"/>
      <c r="EPU17" s="85"/>
      <c r="EQB17" s="85"/>
      <c r="EQI17" s="85"/>
      <c r="EQP17" s="85"/>
      <c r="EQW17" s="85"/>
      <c r="ERD17" s="85"/>
      <c r="ERK17" s="85"/>
      <c r="ERR17" s="85"/>
      <c r="ERY17" s="85"/>
      <c r="ESF17" s="85"/>
      <c r="ESM17" s="85"/>
      <c r="EST17" s="85"/>
      <c r="ETA17" s="85"/>
      <c r="ETH17" s="85"/>
      <c r="ETO17" s="85"/>
      <c r="ETV17" s="85"/>
      <c r="EUC17" s="85"/>
      <c r="EUJ17" s="85"/>
      <c r="EUQ17" s="85"/>
      <c r="EUX17" s="85"/>
      <c r="EVE17" s="85"/>
      <c r="EVL17" s="85"/>
      <c r="EVS17" s="85"/>
      <c r="EVZ17" s="85"/>
      <c r="EWG17" s="85"/>
      <c r="EWN17" s="85"/>
      <c r="EWU17" s="85"/>
      <c r="EXB17" s="85"/>
      <c r="EXI17" s="85"/>
      <c r="EXP17" s="85"/>
      <c r="EXW17" s="85"/>
      <c r="EYD17" s="85"/>
      <c r="EYK17" s="85"/>
      <c r="EYR17" s="85"/>
      <c r="EYY17" s="85"/>
      <c r="EZF17" s="85"/>
      <c r="EZM17" s="85"/>
      <c r="EZT17" s="85"/>
      <c r="FAA17" s="85"/>
      <c r="FAH17" s="85"/>
      <c r="FAO17" s="85"/>
      <c r="FAV17" s="85"/>
      <c r="FBC17" s="85"/>
      <c r="FBJ17" s="85"/>
      <c r="FBQ17" s="85"/>
      <c r="FBX17" s="85"/>
      <c r="FCE17" s="85"/>
      <c r="FCL17" s="85"/>
      <c r="FCS17" s="85"/>
      <c r="FCZ17" s="85"/>
      <c r="FDG17" s="85"/>
      <c r="FDN17" s="85"/>
      <c r="FDU17" s="85"/>
      <c r="FEB17" s="85"/>
      <c r="FEI17" s="85"/>
      <c r="FEP17" s="85"/>
      <c r="FEW17" s="85"/>
      <c r="FFD17" s="85"/>
      <c r="FFK17" s="85"/>
      <c r="FFR17" s="85"/>
      <c r="FFY17" s="85"/>
      <c r="FGF17" s="85"/>
      <c r="FGM17" s="85"/>
      <c r="FGT17" s="85"/>
      <c r="FHA17" s="85"/>
      <c r="FHH17" s="85"/>
      <c r="FHO17" s="85"/>
      <c r="FHV17" s="85"/>
      <c r="FIC17" s="85"/>
      <c r="FIJ17" s="85"/>
      <c r="FIQ17" s="85"/>
      <c r="FIX17" s="85"/>
      <c r="FJE17" s="85"/>
      <c r="FJL17" s="85"/>
      <c r="FJS17" s="85"/>
      <c r="FJZ17" s="85"/>
      <c r="FKG17" s="85"/>
      <c r="FKN17" s="85"/>
      <c r="FKU17" s="85"/>
      <c r="FLB17" s="85"/>
      <c r="FLI17" s="85"/>
      <c r="FLP17" s="85"/>
      <c r="FLW17" s="85"/>
      <c r="FMD17" s="85"/>
      <c r="FMK17" s="85"/>
      <c r="FMR17" s="85"/>
      <c r="FMY17" s="85"/>
      <c r="FNF17" s="85"/>
      <c r="FNM17" s="85"/>
      <c r="FNT17" s="85"/>
      <c r="FOA17" s="85"/>
      <c r="FOH17" s="85"/>
      <c r="FOO17" s="85"/>
      <c r="FOV17" s="85"/>
      <c r="FPC17" s="85"/>
      <c r="FPJ17" s="85"/>
      <c r="FPQ17" s="85"/>
      <c r="FPX17" s="85"/>
      <c r="FQE17" s="85"/>
      <c r="FQL17" s="85"/>
      <c r="FQS17" s="85"/>
      <c r="FQZ17" s="85"/>
      <c r="FRG17" s="85"/>
      <c r="FRN17" s="85"/>
      <c r="FRU17" s="85"/>
      <c r="FSB17" s="85"/>
      <c r="FSI17" s="85"/>
      <c r="FSP17" s="85"/>
      <c r="FSW17" s="85"/>
      <c r="FTD17" s="85"/>
      <c r="FTK17" s="85"/>
      <c r="FTR17" s="85"/>
      <c r="FTY17" s="85"/>
      <c r="FUF17" s="85"/>
      <c r="FUM17" s="85"/>
      <c r="FUT17" s="85"/>
      <c r="FVA17" s="85"/>
      <c r="FVH17" s="85"/>
      <c r="FVO17" s="85"/>
      <c r="FVV17" s="85"/>
      <c r="FWC17" s="85"/>
      <c r="FWJ17" s="85"/>
      <c r="FWQ17" s="85"/>
      <c r="FWX17" s="85"/>
      <c r="FXE17" s="85"/>
      <c r="FXL17" s="85"/>
      <c r="FXS17" s="85"/>
      <c r="FXZ17" s="85"/>
      <c r="FYG17" s="85"/>
      <c r="FYN17" s="85"/>
      <c r="FYU17" s="85"/>
      <c r="FZB17" s="85"/>
      <c r="FZI17" s="85"/>
      <c r="FZP17" s="85"/>
      <c r="FZW17" s="85"/>
      <c r="GAD17" s="85"/>
      <c r="GAK17" s="85"/>
      <c r="GAR17" s="85"/>
      <c r="GAY17" s="85"/>
      <c r="GBF17" s="85"/>
      <c r="GBM17" s="85"/>
      <c r="GBT17" s="85"/>
      <c r="GCA17" s="85"/>
      <c r="GCH17" s="85"/>
      <c r="GCO17" s="85"/>
      <c r="GCV17" s="85"/>
      <c r="GDC17" s="85"/>
      <c r="GDJ17" s="85"/>
      <c r="GDQ17" s="85"/>
      <c r="GDX17" s="85"/>
      <c r="GEE17" s="85"/>
      <c r="GEL17" s="85"/>
      <c r="GES17" s="85"/>
      <c r="GEZ17" s="85"/>
      <c r="GFG17" s="85"/>
      <c r="GFN17" s="85"/>
      <c r="GFU17" s="85"/>
      <c r="GGB17" s="85"/>
      <c r="GGI17" s="85"/>
      <c r="GGP17" s="85"/>
      <c r="GGW17" s="85"/>
      <c r="GHD17" s="85"/>
      <c r="GHK17" s="85"/>
      <c r="GHR17" s="85"/>
      <c r="GHY17" s="85"/>
      <c r="GIF17" s="85"/>
      <c r="GIM17" s="85"/>
      <c r="GIT17" s="85"/>
      <c r="GJA17" s="85"/>
      <c r="GJH17" s="85"/>
      <c r="GJO17" s="85"/>
      <c r="GJV17" s="85"/>
      <c r="GKC17" s="85"/>
      <c r="GKJ17" s="85"/>
      <c r="GKQ17" s="85"/>
      <c r="GKX17" s="85"/>
      <c r="GLE17" s="85"/>
      <c r="GLL17" s="85"/>
      <c r="GLS17" s="85"/>
      <c r="GLZ17" s="85"/>
      <c r="GMG17" s="85"/>
      <c r="GMN17" s="85"/>
      <c r="GMU17" s="85"/>
      <c r="GNB17" s="85"/>
      <c r="GNI17" s="85"/>
      <c r="GNP17" s="85"/>
      <c r="GNW17" s="85"/>
      <c r="GOD17" s="85"/>
      <c r="GOK17" s="85"/>
      <c r="GOR17" s="85"/>
      <c r="GOY17" s="85"/>
      <c r="GPF17" s="85"/>
      <c r="GPM17" s="85"/>
      <c r="GPT17" s="85"/>
      <c r="GQA17" s="85"/>
      <c r="GQH17" s="85"/>
      <c r="GQO17" s="85"/>
      <c r="GQV17" s="85"/>
      <c r="GRC17" s="85"/>
      <c r="GRJ17" s="85"/>
      <c r="GRQ17" s="85"/>
      <c r="GRX17" s="85"/>
      <c r="GSE17" s="85"/>
      <c r="GSL17" s="85"/>
      <c r="GSS17" s="85"/>
      <c r="GSZ17" s="85"/>
      <c r="GTG17" s="85"/>
      <c r="GTN17" s="85"/>
      <c r="GTU17" s="85"/>
      <c r="GUB17" s="85"/>
      <c r="GUI17" s="85"/>
      <c r="GUP17" s="85"/>
      <c r="GUW17" s="85"/>
      <c r="GVD17" s="85"/>
      <c r="GVK17" s="85"/>
      <c r="GVR17" s="85"/>
      <c r="GVY17" s="85"/>
      <c r="GWF17" s="85"/>
      <c r="GWM17" s="85"/>
      <c r="GWT17" s="85"/>
      <c r="GXA17" s="85"/>
      <c r="GXH17" s="85"/>
      <c r="GXO17" s="85"/>
      <c r="GXV17" s="85"/>
      <c r="GYC17" s="85"/>
      <c r="GYJ17" s="85"/>
      <c r="GYQ17" s="85"/>
      <c r="GYX17" s="85"/>
      <c r="GZE17" s="85"/>
      <c r="GZL17" s="85"/>
      <c r="GZS17" s="85"/>
      <c r="GZZ17" s="85"/>
      <c r="HAG17" s="85"/>
      <c r="HAN17" s="85"/>
      <c r="HAU17" s="85"/>
      <c r="HBB17" s="85"/>
      <c r="HBI17" s="85"/>
      <c r="HBP17" s="85"/>
      <c r="HBW17" s="85"/>
      <c r="HCD17" s="85"/>
      <c r="HCK17" s="85"/>
      <c r="HCR17" s="85"/>
      <c r="HCY17" s="85"/>
      <c r="HDF17" s="85"/>
      <c r="HDM17" s="85"/>
      <c r="HDT17" s="85"/>
      <c r="HEA17" s="85"/>
      <c r="HEH17" s="85"/>
      <c r="HEO17" s="85"/>
      <c r="HEV17" s="85"/>
      <c r="HFC17" s="85"/>
      <c r="HFJ17" s="85"/>
      <c r="HFQ17" s="85"/>
      <c r="HFX17" s="85"/>
      <c r="HGE17" s="85"/>
      <c r="HGL17" s="85"/>
      <c r="HGS17" s="85"/>
      <c r="HGZ17" s="85"/>
      <c r="HHG17" s="85"/>
      <c r="HHN17" s="85"/>
      <c r="HHU17" s="85"/>
      <c r="HIB17" s="85"/>
      <c r="HII17" s="85"/>
      <c r="HIP17" s="85"/>
      <c r="HIW17" s="85"/>
      <c r="HJD17" s="85"/>
      <c r="HJK17" s="85"/>
      <c r="HJR17" s="85"/>
      <c r="HJY17" s="85"/>
      <c r="HKF17" s="85"/>
      <c r="HKM17" s="85"/>
      <c r="HKT17" s="85"/>
      <c r="HLA17" s="85"/>
      <c r="HLH17" s="85"/>
      <c r="HLO17" s="85"/>
      <c r="HLV17" s="85"/>
      <c r="HMC17" s="85"/>
      <c r="HMJ17" s="85"/>
      <c r="HMQ17" s="85"/>
      <c r="HMX17" s="85"/>
      <c r="HNE17" s="85"/>
      <c r="HNL17" s="85"/>
      <c r="HNS17" s="85"/>
      <c r="HNZ17" s="85"/>
      <c r="HOG17" s="85"/>
      <c r="HON17" s="85"/>
      <c r="HOU17" s="85"/>
      <c r="HPB17" s="85"/>
      <c r="HPI17" s="85"/>
      <c r="HPP17" s="85"/>
      <c r="HPW17" s="85"/>
      <c r="HQD17" s="85"/>
      <c r="HQK17" s="85"/>
      <c r="HQR17" s="85"/>
      <c r="HQY17" s="85"/>
      <c r="HRF17" s="85"/>
      <c r="HRM17" s="85"/>
      <c r="HRT17" s="85"/>
      <c r="HSA17" s="85"/>
      <c r="HSH17" s="85"/>
      <c r="HSO17" s="85"/>
      <c r="HSV17" s="85"/>
      <c r="HTC17" s="85"/>
      <c r="HTJ17" s="85"/>
      <c r="HTQ17" s="85"/>
      <c r="HTX17" s="85"/>
      <c r="HUE17" s="85"/>
      <c r="HUL17" s="85"/>
      <c r="HUS17" s="85"/>
      <c r="HUZ17" s="85"/>
      <c r="HVG17" s="85"/>
      <c r="HVN17" s="85"/>
      <c r="HVU17" s="85"/>
      <c r="HWB17" s="85"/>
      <c r="HWI17" s="85"/>
      <c r="HWP17" s="85"/>
      <c r="HWW17" s="85"/>
      <c r="HXD17" s="85"/>
      <c r="HXK17" s="85"/>
      <c r="HXR17" s="85"/>
      <c r="HXY17" s="85"/>
      <c r="HYF17" s="85"/>
      <c r="HYM17" s="85"/>
      <c r="HYT17" s="85"/>
      <c r="HZA17" s="85"/>
      <c r="HZH17" s="85"/>
      <c r="HZO17" s="85"/>
      <c r="HZV17" s="85"/>
      <c r="IAC17" s="85"/>
      <c r="IAJ17" s="85"/>
      <c r="IAQ17" s="85"/>
      <c r="IAX17" s="85"/>
      <c r="IBE17" s="85"/>
      <c r="IBL17" s="85"/>
      <c r="IBS17" s="85"/>
      <c r="IBZ17" s="85"/>
      <c r="ICG17" s="85"/>
      <c r="ICN17" s="85"/>
      <c r="ICU17" s="85"/>
      <c r="IDB17" s="85"/>
      <c r="IDI17" s="85"/>
      <c r="IDP17" s="85"/>
      <c r="IDW17" s="85"/>
      <c r="IED17" s="85"/>
      <c r="IEK17" s="85"/>
      <c r="IER17" s="85"/>
      <c r="IEY17" s="85"/>
      <c r="IFF17" s="85"/>
      <c r="IFM17" s="85"/>
      <c r="IFT17" s="85"/>
      <c r="IGA17" s="85"/>
      <c r="IGH17" s="85"/>
      <c r="IGO17" s="85"/>
      <c r="IGV17" s="85"/>
      <c r="IHC17" s="85"/>
      <c r="IHJ17" s="85"/>
      <c r="IHQ17" s="85"/>
      <c r="IHX17" s="85"/>
      <c r="IIE17" s="85"/>
      <c r="IIL17" s="85"/>
      <c r="IIS17" s="85"/>
      <c r="IIZ17" s="85"/>
      <c r="IJG17" s="85"/>
      <c r="IJN17" s="85"/>
      <c r="IJU17" s="85"/>
      <c r="IKB17" s="85"/>
      <c r="IKI17" s="85"/>
      <c r="IKP17" s="85"/>
      <c r="IKW17" s="85"/>
      <c r="ILD17" s="85"/>
      <c r="ILK17" s="85"/>
      <c r="ILR17" s="85"/>
      <c r="ILY17" s="85"/>
      <c r="IMF17" s="85"/>
      <c r="IMM17" s="85"/>
      <c r="IMT17" s="85"/>
      <c r="INA17" s="85"/>
      <c r="INH17" s="85"/>
      <c r="INO17" s="85"/>
      <c r="INV17" s="85"/>
      <c r="IOC17" s="85"/>
      <c r="IOJ17" s="85"/>
      <c r="IOQ17" s="85"/>
      <c r="IOX17" s="85"/>
      <c r="IPE17" s="85"/>
      <c r="IPL17" s="85"/>
      <c r="IPS17" s="85"/>
      <c r="IPZ17" s="85"/>
      <c r="IQG17" s="85"/>
      <c r="IQN17" s="85"/>
      <c r="IQU17" s="85"/>
      <c r="IRB17" s="85"/>
      <c r="IRI17" s="85"/>
      <c r="IRP17" s="85"/>
      <c r="IRW17" s="85"/>
      <c r="ISD17" s="85"/>
      <c r="ISK17" s="85"/>
      <c r="ISR17" s="85"/>
      <c r="ISY17" s="85"/>
      <c r="ITF17" s="85"/>
      <c r="ITM17" s="85"/>
      <c r="ITT17" s="85"/>
      <c r="IUA17" s="85"/>
      <c r="IUH17" s="85"/>
      <c r="IUO17" s="85"/>
      <c r="IUV17" s="85"/>
      <c r="IVC17" s="85"/>
      <c r="IVJ17" s="85"/>
      <c r="IVQ17" s="85"/>
      <c r="IVX17" s="85"/>
      <c r="IWE17" s="85"/>
      <c r="IWL17" s="85"/>
      <c r="IWS17" s="85"/>
      <c r="IWZ17" s="85"/>
      <c r="IXG17" s="85"/>
      <c r="IXN17" s="85"/>
      <c r="IXU17" s="85"/>
      <c r="IYB17" s="85"/>
      <c r="IYI17" s="85"/>
      <c r="IYP17" s="85"/>
      <c r="IYW17" s="85"/>
      <c r="IZD17" s="85"/>
      <c r="IZK17" s="85"/>
      <c r="IZR17" s="85"/>
      <c r="IZY17" s="85"/>
      <c r="JAF17" s="85"/>
      <c r="JAM17" s="85"/>
      <c r="JAT17" s="85"/>
      <c r="JBA17" s="85"/>
      <c r="JBH17" s="85"/>
      <c r="JBO17" s="85"/>
      <c r="JBV17" s="85"/>
      <c r="JCC17" s="85"/>
      <c r="JCJ17" s="85"/>
      <c r="JCQ17" s="85"/>
      <c r="JCX17" s="85"/>
      <c r="JDE17" s="85"/>
      <c r="JDL17" s="85"/>
      <c r="JDS17" s="85"/>
      <c r="JDZ17" s="85"/>
      <c r="JEG17" s="85"/>
      <c r="JEN17" s="85"/>
      <c r="JEU17" s="85"/>
      <c r="JFB17" s="85"/>
      <c r="JFI17" s="85"/>
      <c r="JFP17" s="85"/>
      <c r="JFW17" s="85"/>
      <c r="JGD17" s="85"/>
      <c r="JGK17" s="85"/>
      <c r="JGR17" s="85"/>
      <c r="JGY17" s="85"/>
      <c r="JHF17" s="85"/>
      <c r="JHM17" s="85"/>
      <c r="JHT17" s="85"/>
      <c r="JIA17" s="85"/>
      <c r="JIH17" s="85"/>
      <c r="JIO17" s="85"/>
      <c r="JIV17" s="85"/>
      <c r="JJC17" s="85"/>
      <c r="JJJ17" s="85"/>
      <c r="JJQ17" s="85"/>
      <c r="JJX17" s="85"/>
      <c r="JKE17" s="85"/>
      <c r="JKL17" s="85"/>
      <c r="JKS17" s="85"/>
      <c r="JKZ17" s="85"/>
      <c r="JLG17" s="85"/>
      <c r="JLN17" s="85"/>
      <c r="JLU17" s="85"/>
      <c r="JMB17" s="85"/>
      <c r="JMI17" s="85"/>
      <c r="JMP17" s="85"/>
      <c r="JMW17" s="85"/>
      <c r="JND17" s="85"/>
      <c r="JNK17" s="85"/>
      <c r="JNR17" s="85"/>
      <c r="JNY17" s="85"/>
      <c r="JOF17" s="85"/>
      <c r="JOM17" s="85"/>
      <c r="JOT17" s="85"/>
      <c r="JPA17" s="85"/>
      <c r="JPH17" s="85"/>
      <c r="JPO17" s="85"/>
      <c r="JPV17" s="85"/>
      <c r="JQC17" s="85"/>
      <c r="JQJ17" s="85"/>
      <c r="JQQ17" s="85"/>
      <c r="JQX17" s="85"/>
      <c r="JRE17" s="85"/>
      <c r="JRL17" s="85"/>
      <c r="JRS17" s="85"/>
      <c r="JRZ17" s="85"/>
      <c r="JSG17" s="85"/>
      <c r="JSN17" s="85"/>
      <c r="JSU17" s="85"/>
      <c r="JTB17" s="85"/>
      <c r="JTI17" s="85"/>
      <c r="JTP17" s="85"/>
      <c r="JTW17" s="85"/>
      <c r="JUD17" s="85"/>
      <c r="JUK17" s="85"/>
      <c r="JUR17" s="85"/>
      <c r="JUY17" s="85"/>
      <c r="JVF17" s="85"/>
      <c r="JVM17" s="85"/>
      <c r="JVT17" s="85"/>
      <c r="JWA17" s="85"/>
      <c r="JWH17" s="85"/>
      <c r="JWO17" s="85"/>
      <c r="JWV17" s="85"/>
      <c r="JXC17" s="85"/>
      <c r="JXJ17" s="85"/>
      <c r="JXQ17" s="85"/>
      <c r="JXX17" s="85"/>
      <c r="JYE17" s="85"/>
      <c r="JYL17" s="85"/>
      <c r="JYS17" s="85"/>
      <c r="JYZ17" s="85"/>
      <c r="JZG17" s="85"/>
      <c r="JZN17" s="85"/>
      <c r="JZU17" s="85"/>
      <c r="KAB17" s="85"/>
      <c r="KAI17" s="85"/>
      <c r="KAP17" s="85"/>
      <c r="KAW17" s="85"/>
      <c r="KBD17" s="85"/>
      <c r="KBK17" s="85"/>
      <c r="KBR17" s="85"/>
      <c r="KBY17" s="85"/>
      <c r="KCF17" s="85"/>
      <c r="KCM17" s="85"/>
      <c r="KCT17" s="85"/>
      <c r="KDA17" s="85"/>
      <c r="KDH17" s="85"/>
      <c r="KDO17" s="85"/>
      <c r="KDV17" s="85"/>
      <c r="KEC17" s="85"/>
      <c r="KEJ17" s="85"/>
      <c r="KEQ17" s="85"/>
      <c r="KEX17" s="85"/>
      <c r="KFE17" s="85"/>
      <c r="KFL17" s="85"/>
      <c r="KFS17" s="85"/>
      <c r="KFZ17" s="85"/>
      <c r="KGG17" s="85"/>
      <c r="KGN17" s="85"/>
      <c r="KGU17" s="85"/>
      <c r="KHB17" s="85"/>
      <c r="KHI17" s="85"/>
      <c r="KHP17" s="85"/>
      <c r="KHW17" s="85"/>
      <c r="KID17" s="85"/>
      <c r="KIK17" s="85"/>
      <c r="KIR17" s="85"/>
      <c r="KIY17" s="85"/>
      <c r="KJF17" s="85"/>
      <c r="KJM17" s="85"/>
      <c r="KJT17" s="85"/>
      <c r="KKA17" s="85"/>
      <c r="KKH17" s="85"/>
      <c r="KKO17" s="85"/>
      <c r="KKV17" s="85"/>
      <c r="KLC17" s="85"/>
      <c r="KLJ17" s="85"/>
      <c r="KLQ17" s="85"/>
      <c r="KLX17" s="85"/>
      <c r="KME17" s="85"/>
      <c r="KML17" s="85"/>
      <c r="KMS17" s="85"/>
      <c r="KMZ17" s="85"/>
      <c r="KNG17" s="85"/>
      <c r="KNN17" s="85"/>
      <c r="KNU17" s="85"/>
      <c r="KOB17" s="85"/>
      <c r="KOI17" s="85"/>
      <c r="KOP17" s="85"/>
      <c r="KOW17" s="85"/>
      <c r="KPD17" s="85"/>
      <c r="KPK17" s="85"/>
      <c r="KPR17" s="85"/>
      <c r="KPY17" s="85"/>
      <c r="KQF17" s="85"/>
      <c r="KQM17" s="85"/>
      <c r="KQT17" s="85"/>
      <c r="KRA17" s="85"/>
      <c r="KRH17" s="85"/>
      <c r="KRO17" s="85"/>
      <c r="KRV17" s="85"/>
      <c r="KSC17" s="85"/>
      <c r="KSJ17" s="85"/>
      <c r="KSQ17" s="85"/>
      <c r="KSX17" s="85"/>
      <c r="KTE17" s="85"/>
      <c r="KTL17" s="85"/>
      <c r="KTS17" s="85"/>
      <c r="KTZ17" s="85"/>
      <c r="KUG17" s="85"/>
      <c r="KUN17" s="85"/>
      <c r="KUU17" s="85"/>
      <c r="KVB17" s="85"/>
      <c r="KVI17" s="85"/>
      <c r="KVP17" s="85"/>
      <c r="KVW17" s="85"/>
      <c r="KWD17" s="85"/>
      <c r="KWK17" s="85"/>
      <c r="KWR17" s="85"/>
      <c r="KWY17" s="85"/>
      <c r="KXF17" s="85"/>
      <c r="KXM17" s="85"/>
      <c r="KXT17" s="85"/>
      <c r="KYA17" s="85"/>
      <c r="KYH17" s="85"/>
      <c r="KYO17" s="85"/>
      <c r="KYV17" s="85"/>
      <c r="KZC17" s="85"/>
      <c r="KZJ17" s="85"/>
      <c r="KZQ17" s="85"/>
      <c r="KZX17" s="85"/>
      <c r="LAE17" s="85"/>
      <c r="LAL17" s="85"/>
      <c r="LAS17" s="85"/>
      <c r="LAZ17" s="85"/>
      <c r="LBG17" s="85"/>
      <c r="LBN17" s="85"/>
      <c r="LBU17" s="85"/>
      <c r="LCB17" s="85"/>
      <c r="LCI17" s="85"/>
      <c r="LCP17" s="85"/>
      <c r="LCW17" s="85"/>
      <c r="LDD17" s="85"/>
      <c r="LDK17" s="85"/>
      <c r="LDR17" s="85"/>
      <c r="LDY17" s="85"/>
      <c r="LEF17" s="85"/>
      <c r="LEM17" s="85"/>
      <c r="LET17" s="85"/>
      <c r="LFA17" s="85"/>
      <c r="LFH17" s="85"/>
      <c r="LFO17" s="85"/>
      <c r="LFV17" s="85"/>
      <c r="LGC17" s="85"/>
      <c r="LGJ17" s="85"/>
      <c r="LGQ17" s="85"/>
      <c r="LGX17" s="85"/>
      <c r="LHE17" s="85"/>
      <c r="LHL17" s="85"/>
      <c r="LHS17" s="85"/>
      <c r="LHZ17" s="85"/>
      <c r="LIG17" s="85"/>
      <c r="LIN17" s="85"/>
      <c r="LIU17" s="85"/>
      <c r="LJB17" s="85"/>
      <c r="LJI17" s="85"/>
      <c r="LJP17" s="85"/>
      <c r="LJW17" s="85"/>
      <c r="LKD17" s="85"/>
      <c r="LKK17" s="85"/>
      <c r="LKR17" s="85"/>
      <c r="LKY17" s="85"/>
      <c r="LLF17" s="85"/>
      <c r="LLM17" s="85"/>
      <c r="LLT17" s="85"/>
      <c r="LMA17" s="85"/>
      <c r="LMH17" s="85"/>
      <c r="LMO17" s="85"/>
      <c r="LMV17" s="85"/>
      <c r="LNC17" s="85"/>
      <c r="LNJ17" s="85"/>
      <c r="LNQ17" s="85"/>
      <c r="LNX17" s="85"/>
      <c r="LOE17" s="85"/>
      <c r="LOL17" s="85"/>
      <c r="LOS17" s="85"/>
      <c r="LOZ17" s="85"/>
      <c r="LPG17" s="85"/>
      <c r="LPN17" s="85"/>
      <c r="LPU17" s="85"/>
      <c r="LQB17" s="85"/>
      <c r="LQI17" s="85"/>
      <c r="LQP17" s="85"/>
      <c r="LQW17" s="85"/>
      <c r="LRD17" s="85"/>
      <c r="LRK17" s="85"/>
      <c r="LRR17" s="85"/>
      <c r="LRY17" s="85"/>
      <c r="LSF17" s="85"/>
      <c r="LSM17" s="85"/>
      <c r="LST17" s="85"/>
      <c r="LTA17" s="85"/>
      <c r="LTH17" s="85"/>
      <c r="LTO17" s="85"/>
      <c r="LTV17" s="85"/>
      <c r="LUC17" s="85"/>
      <c r="LUJ17" s="85"/>
      <c r="LUQ17" s="85"/>
      <c r="LUX17" s="85"/>
      <c r="LVE17" s="85"/>
      <c r="LVL17" s="85"/>
      <c r="LVS17" s="85"/>
      <c r="LVZ17" s="85"/>
      <c r="LWG17" s="85"/>
      <c r="LWN17" s="85"/>
      <c r="LWU17" s="85"/>
      <c r="LXB17" s="85"/>
      <c r="LXI17" s="85"/>
      <c r="LXP17" s="85"/>
      <c r="LXW17" s="85"/>
      <c r="LYD17" s="85"/>
      <c r="LYK17" s="85"/>
      <c r="LYR17" s="85"/>
      <c r="LYY17" s="85"/>
      <c r="LZF17" s="85"/>
      <c r="LZM17" s="85"/>
      <c r="LZT17" s="85"/>
      <c r="MAA17" s="85"/>
      <c r="MAH17" s="85"/>
      <c r="MAO17" s="85"/>
      <c r="MAV17" s="85"/>
      <c r="MBC17" s="85"/>
      <c r="MBJ17" s="85"/>
      <c r="MBQ17" s="85"/>
      <c r="MBX17" s="85"/>
      <c r="MCE17" s="85"/>
      <c r="MCL17" s="85"/>
      <c r="MCS17" s="85"/>
      <c r="MCZ17" s="85"/>
      <c r="MDG17" s="85"/>
      <c r="MDN17" s="85"/>
      <c r="MDU17" s="85"/>
      <c r="MEB17" s="85"/>
      <c r="MEI17" s="85"/>
      <c r="MEP17" s="85"/>
      <c r="MEW17" s="85"/>
      <c r="MFD17" s="85"/>
      <c r="MFK17" s="85"/>
      <c r="MFR17" s="85"/>
      <c r="MFY17" s="85"/>
      <c r="MGF17" s="85"/>
      <c r="MGM17" s="85"/>
      <c r="MGT17" s="85"/>
      <c r="MHA17" s="85"/>
      <c r="MHH17" s="85"/>
      <c r="MHO17" s="85"/>
      <c r="MHV17" s="85"/>
      <c r="MIC17" s="85"/>
      <c r="MIJ17" s="85"/>
      <c r="MIQ17" s="85"/>
      <c r="MIX17" s="85"/>
      <c r="MJE17" s="85"/>
      <c r="MJL17" s="85"/>
      <c r="MJS17" s="85"/>
      <c r="MJZ17" s="85"/>
      <c r="MKG17" s="85"/>
      <c r="MKN17" s="85"/>
      <c r="MKU17" s="85"/>
      <c r="MLB17" s="85"/>
      <c r="MLI17" s="85"/>
      <c r="MLP17" s="85"/>
      <c r="MLW17" s="85"/>
      <c r="MMD17" s="85"/>
      <c r="MMK17" s="85"/>
      <c r="MMR17" s="85"/>
      <c r="MMY17" s="85"/>
      <c r="MNF17" s="85"/>
      <c r="MNM17" s="85"/>
      <c r="MNT17" s="85"/>
      <c r="MOA17" s="85"/>
      <c r="MOH17" s="85"/>
      <c r="MOO17" s="85"/>
      <c r="MOV17" s="85"/>
      <c r="MPC17" s="85"/>
      <c r="MPJ17" s="85"/>
      <c r="MPQ17" s="85"/>
      <c r="MPX17" s="85"/>
      <c r="MQE17" s="85"/>
      <c r="MQL17" s="85"/>
      <c r="MQS17" s="85"/>
      <c r="MQZ17" s="85"/>
      <c r="MRG17" s="85"/>
      <c r="MRN17" s="85"/>
      <c r="MRU17" s="85"/>
      <c r="MSB17" s="85"/>
      <c r="MSI17" s="85"/>
      <c r="MSP17" s="85"/>
      <c r="MSW17" s="85"/>
      <c r="MTD17" s="85"/>
      <c r="MTK17" s="85"/>
      <c r="MTR17" s="85"/>
      <c r="MTY17" s="85"/>
      <c r="MUF17" s="85"/>
      <c r="MUM17" s="85"/>
      <c r="MUT17" s="85"/>
      <c r="MVA17" s="85"/>
      <c r="MVH17" s="85"/>
      <c r="MVO17" s="85"/>
      <c r="MVV17" s="85"/>
      <c r="MWC17" s="85"/>
      <c r="MWJ17" s="85"/>
      <c r="MWQ17" s="85"/>
      <c r="MWX17" s="85"/>
      <c r="MXE17" s="85"/>
      <c r="MXL17" s="85"/>
      <c r="MXS17" s="85"/>
      <c r="MXZ17" s="85"/>
      <c r="MYG17" s="85"/>
      <c r="MYN17" s="85"/>
      <c r="MYU17" s="85"/>
      <c r="MZB17" s="85"/>
      <c r="MZI17" s="85"/>
      <c r="MZP17" s="85"/>
      <c r="MZW17" s="85"/>
      <c r="NAD17" s="85"/>
      <c r="NAK17" s="85"/>
      <c r="NAR17" s="85"/>
      <c r="NAY17" s="85"/>
      <c r="NBF17" s="85"/>
      <c r="NBM17" s="85"/>
      <c r="NBT17" s="85"/>
      <c r="NCA17" s="85"/>
      <c r="NCH17" s="85"/>
      <c r="NCO17" s="85"/>
      <c r="NCV17" s="85"/>
      <c r="NDC17" s="85"/>
      <c r="NDJ17" s="85"/>
      <c r="NDQ17" s="85"/>
      <c r="NDX17" s="85"/>
      <c r="NEE17" s="85"/>
      <c r="NEL17" s="85"/>
      <c r="NES17" s="85"/>
      <c r="NEZ17" s="85"/>
      <c r="NFG17" s="85"/>
      <c r="NFN17" s="85"/>
      <c r="NFU17" s="85"/>
      <c r="NGB17" s="85"/>
      <c r="NGI17" s="85"/>
      <c r="NGP17" s="85"/>
      <c r="NGW17" s="85"/>
      <c r="NHD17" s="85"/>
      <c r="NHK17" s="85"/>
      <c r="NHR17" s="85"/>
      <c r="NHY17" s="85"/>
      <c r="NIF17" s="85"/>
      <c r="NIM17" s="85"/>
      <c r="NIT17" s="85"/>
      <c r="NJA17" s="85"/>
      <c r="NJH17" s="85"/>
      <c r="NJO17" s="85"/>
      <c r="NJV17" s="85"/>
      <c r="NKC17" s="85"/>
      <c r="NKJ17" s="85"/>
      <c r="NKQ17" s="85"/>
      <c r="NKX17" s="85"/>
      <c r="NLE17" s="85"/>
      <c r="NLL17" s="85"/>
      <c r="NLS17" s="85"/>
      <c r="NLZ17" s="85"/>
      <c r="NMG17" s="85"/>
      <c r="NMN17" s="85"/>
      <c r="NMU17" s="85"/>
      <c r="NNB17" s="85"/>
      <c r="NNI17" s="85"/>
      <c r="NNP17" s="85"/>
      <c r="NNW17" s="85"/>
      <c r="NOD17" s="85"/>
      <c r="NOK17" s="85"/>
      <c r="NOR17" s="85"/>
      <c r="NOY17" s="85"/>
      <c r="NPF17" s="85"/>
      <c r="NPM17" s="85"/>
      <c r="NPT17" s="85"/>
      <c r="NQA17" s="85"/>
      <c r="NQH17" s="85"/>
      <c r="NQO17" s="85"/>
      <c r="NQV17" s="85"/>
      <c r="NRC17" s="85"/>
      <c r="NRJ17" s="85"/>
      <c r="NRQ17" s="85"/>
      <c r="NRX17" s="85"/>
      <c r="NSE17" s="85"/>
      <c r="NSL17" s="85"/>
      <c r="NSS17" s="85"/>
      <c r="NSZ17" s="85"/>
      <c r="NTG17" s="85"/>
      <c r="NTN17" s="85"/>
      <c r="NTU17" s="85"/>
      <c r="NUB17" s="85"/>
      <c r="NUI17" s="85"/>
      <c r="NUP17" s="85"/>
      <c r="NUW17" s="85"/>
      <c r="NVD17" s="85"/>
      <c r="NVK17" s="85"/>
      <c r="NVR17" s="85"/>
      <c r="NVY17" s="85"/>
      <c r="NWF17" s="85"/>
      <c r="NWM17" s="85"/>
      <c r="NWT17" s="85"/>
      <c r="NXA17" s="85"/>
      <c r="NXH17" s="85"/>
      <c r="NXO17" s="85"/>
      <c r="NXV17" s="85"/>
      <c r="NYC17" s="85"/>
      <c r="NYJ17" s="85"/>
      <c r="NYQ17" s="85"/>
      <c r="NYX17" s="85"/>
      <c r="NZE17" s="85"/>
      <c r="NZL17" s="85"/>
      <c r="NZS17" s="85"/>
      <c r="NZZ17" s="85"/>
      <c r="OAG17" s="85"/>
      <c r="OAN17" s="85"/>
      <c r="OAU17" s="85"/>
      <c r="OBB17" s="85"/>
      <c r="OBI17" s="85"/>
      <c r="OBP17" s="85"/>
      <c r="OBW17" s="85"/>
      <c r="OCD17" s="85"/>
      <c r="OCK17" s="85"/>
      <c r="OCR17" s="85"/>
      <c r="OCY17" s="85"/>
      <c r="ODF17" s="85"/>
      <c r="ODM17" s="85"/>
      <c r="ODT17" s="85"/>
      <c r="OEA17" s="85"/>
      <c r="OEH17" s="85"/>
      <c r="OEO17" s="85"/>
      <c r="OEV17" s="85"/>
      <c r="OFC17" s="85"/>
      <c r="OFJ17" s="85"/>
      <c r="OFQ17" s="85"/>
      <c r="OFX17" s="85"/>
      <c r="OGE17" s="85"/>
      <c r="OGL17" s="85"/>
      <c r="OGS17" s="85"/>
      <c r="OGZ17" s="85"/>
      <c r="OHG17" s="85"/>
      <c r="OHN17" s="85"/>
      <c r="OHU17" s="85"/>
      <c r="OIB17" s="85"/>
      <c r="OII17" s="85"/>
      <c r="OIP17" s="85"/>
      <c r="OIW17" s="85"/>
      <c r="OJD17" s="85"/>
      <c r="OJK17" s="85"/>
      <c r="OJR17" s="85"/>
      <c r="OJY17" s="85"/>
      <c r="OKF17" s="85"/>
      <c r="OKM17" s="85"/>
      <c r="OKT17" s="85"/>
      <c r="OLA17" s="85"/>
      <c r="OLH17" s="85"/>
      <c r="OLO17" s="85"/>
      <c r="OLV17" s="85"/>
      <c r="OMC17" s="85"/>
      <c r="OMJ17" s="85"/>
      <c r="OMQ17" s="85"/>
      <c r="OMX17" s="85"/>
      <c r="ONE17" s="85"/>
      <c r="ONL17" s="85"/>
      <c r="ONS17" s="85"/>
      <c r="ONZ17" s="85"/>
      <c r="OOG17" s="85"/>
      <c r="OON17" s="85"/>
      <c r="OOU17" s="85"/>
      <c r="OPB17" s="85"/>
      <c r="OPI17" s="85"/>
      <c r="OPP17" s="85"/>
      <c r="OPW17" s="85"/>
      <c r="OQD17" s="85"/>
      <c r="OQK17" s="85"/>
      <c r="OQR17" s="85"/>
      <c r="OQY17" s="85"/>
      <c r="ORF17" s="85"/>
      <c r="ORM17" s="85"/>
      <c r="ORT17" s="85"/>
      <c r="OSA17" s="85"/>
      <c r="OSH17" s="85"/>
      <c r="OSO17" s="85"/>
      <c r="OSV17" s="85"/>
      <c r="OTC17" s="85"/>
      <c r="OTJ17" s="85"/>
      <c r="OTQ17" s="85"/>
      <c r="OTX17" s="85"/>
      <c r="OUE17" s="85"/>
      <c r="OUL17" s="85"/>
      <c r="OUS17" s="85"/>
      <c r="OUZ17" s="85"/>
      <c r="OVG17" s="85"/>
      <c r="OVN17" s="85"/>
      <c r="OVU17" s="85"/>
      <c r="OWB17" s="85"/>
      <c r="OWI17" s="85"/>
      <c r="OWP17" s="85"/>
      <c r="OWW17" s="85"/>
      <c r="OXD17" s="85"/>
      <c r="OXK17" s="85"/>
      <c r="OXR17" s="85"/>
      <c r="OXY17" s="85"/>
      <c r="OYF17" s="85"/>
      <c r="OYM17" s="85"/>
      <c r="OYT17" s="85"/>
      <c r="OZA17" s="85"/>
      <c r="OZH17" s="85"/>
      <c r="OZO17" s="85"/>
      <c r="OZV17" s="85"/>
      <c r="PAC17" s="85"/>
      <c r="PAJ17" s="85"/>
      <c r="PAQ17" s="85"/>
      <c r="PAX17" s="85"/>
      <c r="PBE17" s="85"/>
      <c r="PBL17" s="85"/>
      <c r="PBS17" s="85"/>
      <c r="PBZ17" s="85"/>
      <c r="PCG17" s="85"/>
      <c r="PCN17" s="85"/>
      <c r="PCU17" s="85"/>
      <c r="PDB17" s="85"/>
      <c r="PDI17" s="85"/>
      <c r="PDP17" s="85"/>
      <c r="PDW17" s="85"/>
      <c r="PED17" s="85"/>
      <c r="PEK17" s="85"/>
      <c r="PER17" s="85"/>
      <c r="PEY17" s="85"/>
      <c r="PFF17" s="85"/>
      <c r="PFM17" s="85"/>
      <c r="PFT17" s="85"/>
      <c r="PGA17" s="85"/>
      <c r="PGH17" s="85"/>
      <c r="PGO17" s="85"/>
      <c r="PGV17" s="85"/>
      <c r="PHC17" s="85"/>
      <c r="PHJ17" s="85"/>
      <c r="PHQ17" s="85"/>
      <c r="PHX17" s="85"/>
      <c r="PIE17" s="85"/>
      <c r="PIL17" s="85"/>
      <c r="PIS17" s="85"/>
      <c r="PIZ17" s="85"/>
      <c r="PJG17" s="85"/>
      <c r="PJN17" s="85"/>
      <c r="PJU17" s="85"/>
      <c r="PKB17" s="85"/>
      <c r="PKI17" s="85"/>
      <c r="PKP17" s="85"/>
      <c r="PKW17" s="85"/>
      <c r="PLD17" s="85"/>
      <c r="PLK17" s="85"/>
      <c r="PLR17" s="85"/>
      <c r="PLY17" s="85"/>
      <c r="PMF17" s="85"/>
      <c r="PMM17" s="85"/>
      <c r="PMT17" s="85"/>
      <c r="PNA17" s="85"/>
      <c r="PNH17" s="85"/>
      <c r="PNO17" s="85"/>
      <c r="PNV17" s="85"/>
      <c r="POC17" s="85"/>
      <c r="POJ17" s="85"/>
      <c r="POQ17" s="85"/>
      <c r="POX17" s="85"/>
      <c r="PPE17" s="85"/>
      <c r="PPL17" s="85"/>
      <c r="PPS17" s="85"/>
      <c r="PPZ17" s="85"/>
      <c r="PQG17" s="85"/>
      <c r="PQN17" s="85"/>
      <c r="PQU17" s="85"/>
      <c r="PRB17" s="85"/>
      <c r="PRI17" s="85"/>
      <c r="PRP17" s="85"/>
      <c r="PRW17" s="85"/>
      <c r="PSD17" s="85"/>
      <c r="PSK17" s="85"/>
      <c r="PSR17" s="85"/>
      <c r="PSY17" s="85"/>
      <c r="PTF17" s="85"/>
      <c r="PTM17" s="85"/>
      <c r="PTT17" s="85"/>
      <c r="PUA17" s="85"/>
      <c r="PUH17" s="85"/>
      <c r="PUO17" s="85"/>
      <c r="PUV17" s="85"/>
      <c r="PVC17" s="85"/>
      <c r="PVJ17" s="85"/>
      <c r="PVQ17" s="85"/>
      <c r="PVX17" s="85"/>
      <c r="PWE17" s="85"/>
      <c r="PWL17" s="85"/>
      <c r="PWS17" s="85"/>
      <c r="PWZ17" s="85"/>
      <c r="PXG17" s="85"/>
      <c r="PXN17" s="85"/>
      <c r="PXU17" s="85"/>
      <c r="PYB17" s="85"/>
      <c r="PYI17" s="85"/>
      <c r="PYP17" s="85"/>
      <c r="PYW17" s="85"/>
      <c r="PZD17" s="85"/>
      <c r="PZK17" s="85"/>
      <c r="PZR17" s="85"/>
      <c r="PZY17" s="85"/>
      <c r="QAF17" s="85"/>
      <c r="QAM17" s="85"/>
      <c r="QAT17" s="85"/>
      <c r="QBA17" s="85"/>
      <c r="QBH17" s="85"/>
      <c r="QBO17" s="85"/>
      <c r="QBV17" s="85"/>
      <c r="QCC17" s="85"/>
      <c r="QCJ17" s="85"/>
      <c r="QCQ17" s="85"/>
      <c r="QCX17" s="85"/>
      <c r="QDE17" s="85"/>
      <c r="QDL17" s="85"/>
      <c r="QDS17" s="85"/>
      <c r="QDZ17" s="85"/>
      <c r="QEG17" s="85"/>
      <c r="QEN17" s="85"/>
      <c r="QEU17" s="85"/>
      <c r="QFB17" s="85"/>
      <c r="QFI17" s="85"/>
      <c r="QFP17" s="85"/>
      <c r="QFW17" s="85"/>
      <c r="QGD17" s="85"/>
      <c r="QGK17" s="85"/>
      <c r="QGR17" s="85"/>
      <c r="QGY17" s="85"/>
      <c r="QHF17" s="85"/>
      <c r="QHM17" s="85"/>
      <c r="QHT17" s="85"/>
      <c r="QIA17" s="85"/>
      <c r="QIH17" s="85"/>
      <c r="QIO17" s="85"/>
      <c r="QIV17" s="85"/>
      <c r="QJC17" s="85"/>
      <c r="QJJ17" s="85"/>
      <c r="QJQ17" s="85"/>
      <c r="QJX17" s="85"/>
      <c r="QKE17" s="85"/>
      <c r="QKL17" s="85"/>
      <c r="QKS17" s="85"/>
      <c r="QKZ17" s="85"/>
      <c r="QLG17" s="85"/>
      <c r="QLN17" s="85"/>
      <c r="QLU17" s="85"/>
      <c r="QMB17" s="85"/>
      <c r="QMI17" s="85"/>
      <c r="QMP17" s="85"/>
      <c r="QMW17" s="85"/>
      <c r="QND17" s="85"/>
      <c r="QNK17" s="85"/>
      <c r="QNR17" s="85"/>
      <c r="QNY17" s="85"/>
      <c r="QOF17" s="85"/>
      <c r="QOM17" s="85"/>
      <c r="QOT17" s="85"/>
      <c r="QPA17" s="85"/>
      <c r="QPH17" s="85"/>
      <c r="QPO17" s="85"/>
      <c r="QPV17" s="85"/>
      <c r="QQC17" s="85"/>
      <c r="QQJ17" s="85"/>
      <c r="QQQ17" s="85"/>
      <c r="QQX17" s="85"/>
      <c r="QRE17" s="85"/>
      <c r="QRL17" s="85"/>
      <c r="QRS17" s="85"/>
      <c r="QRZ17" s="85"/>
      <c r="QSG17" s="85"/>
      <c r="QSN17" s="85"/>
      <c r="QSU17" s="85"/>
      <c r="QTB17" s="85"/>
      <c r="QTI17" s="85"/>
      <c r="QTP17" s="85"/>
      <c r="QTW17" s="85"/>
      <c r="QUD17" s="85"/>
      <c r="QUK17" s="85"/>
      <c r="QUR17" s="85"/>
      <c r="QUY17" s="85"/>
      <c r="QVF17" s="85"/>
      <c r="QVM17" s="85"/>
      <c r="QVT17" s="85"/>
      <c r="QWA17" s="85"/>
      <c r="QWH17" s="85"/>
      <c r="QWO17" s="85"/>
      <c r="QWV17" s="85"/>
      <c r="QXC17" s="85"/>
      <c r="QXJ17" s="85"/>
      <c r="QXQ17" s="85"/>
      <c r="QXX17" s="85"/>
      <c r="QYE17" s="85"/>
      <c r="QYL17" s="85"/>
      <c r="QYS17" s="85"/>
      <c r="QYZ17" s="85"/>
      <c r="QZG17" s="85"/>
      <c r="QZN17" s="85"/>
      <c r="QZU17" s="85"/>
      <c r="RAB17" s="85"/>
      <c r="RAI17" s="85"/>
      <c r="RAP17" s="85"/>
      <c r="RAW17" s="85"/>
      <c r="RBD17" s="85"/>
      <c r="RBK17" s="85"/>
      <c r="RBR17" s="85"/>
      <c r="RBY17" s="85"/>
      <c r="RCF17" s="85"/>
      <c r="RCM17" s="85"/>
      <c r="RCT17" s="85"/>
      <c r="RDA17" s="85"/>
      <c r="RDH17" s="85"/>
      <c r="RDO17" s="85"/>
      <c r="RDV17" s="85"/>
      <c r="REC17" s="85"/>
      <c r="REJ17" s="85"/>
      <c r="REQ17" s="85"/>
      <c r="REX17" s="85"/>
      <c r="RFE17" s="85"/>
      <c r="RFL17" s="85"/>
      <c r="RFS17" s="85"/>
      <c r="RFZ17" s="85"/>
      <c r="RGG17" s="85"/>
      <c r="RGN17" s="85"/>
      <c r="RGU17" s="85"/>
      <c r="RHB17" s="85"/>
      <c r="RHI17" s="85"/>
      <c r="RHP17" s="85"/>
      <c r="RHW17" s="85"/>
      <c r="RID17" s="85"/>
      <c r="RIK17" s="85"/>
      <c r="RIR17" s="85"/>
      <c r="RIY17" s="85"/>
      <c r="RJF17" s="85"/>
      <c r="RJM17" s="85"/>
      <c r="RJT17" s="85"/>
      <c r="RKA17" s="85"/>
      <c r="RKH17" s="85"/>
      <c r="RKO17" s="85"/>
      <c r="RKV17" s="85"/>
      <c r="RLC17" s="85"/>
      <c r="RLJ17" s="85"/>
      <c r="RLQ17" s="85"/>
      <c r="RLX17" s="85"/>
      <c r="RME17" s="85"/>
      <c r="RML17" s="85"/>
      <c r="RMS17" s="85"/>
      <c r="RMZ17" s="85"/>
      <c r="RNG17" s="85"/>
      <c r="RNN17" s="85"/>
      <c r="RNU17" s="85"/>
      <c r="ROB17" s="85"/>
      <c r="ROI17" s="85"/>
      <c r="ROP17" s="85"/>
      <c r="ROW17" s="85"/>
      <c r="RPD17" s="85"/>
      <c r="RPK17" s="85"/>
      <c r="RPR17" s="85"/>
      <c r="RPY17" s="85"/>
      <c r="RQF17" s="85"/>
      <c r="RQM17" s="85"/>
      <c r="RQT17" s="85"/>
      <c r="RRA17" s="85"/>
      <c r="RRH17" s="85"/>
      <c r="RRO17" s="85"/>
      <c r="RRV17" s="85"/>
      <c r="RSC17" s="85"/>
      <c r="RSJ17" s="85"/>
      <c r="RSQ17" s="85"/>
      <c r="RSX17" s="85"/>
      <c r="RTE17" s="85"/>
      <c r="RTL17" s="85"/>
      <c r="RTS17" s="85"/>
      <c r="RTZ17" s="85"/>
      <c r="RUG17" s="85"/>
      <c r="RUN17" s="85"/>
      <c r="RUU17" s="85"/>
      <c r="RVB17" s="85"/>
      <c r="RVI17" s="85"/>
      <c r="RVP17" s="85"/>
      <c r="RVW17" s="85"/>
      <c r="RWD17" s="85"/>
      <c r="RWK17" s="85"/>
      <c r="RWR17" s="85"/>
      <c r="RWY17" s="85"/>
      <c r="RXF17" s="85"/>
      <c r="RXM17" s="85"/>
      <c r="RXT17" s="85"/>
      <c r="RYA17" s="85"/>
      <c r="RYH17" s="85"/>
      <c r="RYO17" s="85"/>
      <c r="RYV17" s="85"/>
      <c r="RZC17" s="85"/>
      <c r="RZJ17" s="85"/>
      <c r="RZQ17" s="85"/>
      <c r="RZX17" s="85"/>
      <c r="SAE17" s="85"/>
      <c r="SAL17" s="85"/>
      <c r="SAS17" s="85"/>
      <c r="SAZ17" s="85"/>
      <c r="SBG17" s="85"/>
      <c r="SBN17" s="85"/>
      <c r="SBU17" s="85"/>
      <c r="SCB17" s="85"/>
      <c r="SCI17" s="85"/>
      <c r="SCP17" s="85"/>
      <c r="SCW17" s="85"/>
      <c r="SDD17" s="85"/>
      <c r="SDK17" s="85"/>
      <c r="SDR17" s="85"/>
      <c r="SDY17" s="85"/>
      <c r="SEF17" s="85"/>
      <c r="SEM17" s="85"/>
      <c r="SET17" s="85"/>
      <c r="SFA17" s="85"/>
      <c r="SFH17" s="85"/>
      <c r="SFO17" s="85"/>
      <c r="SFV17" s="85"/>
      <c r="SGC17" s="85"/>
      <c r="SGJ17" s="85"/>
      <c r="SGQ17" s="85"/>
      <c r="SGX17" s="85"/>
      <c r="SHE17" s="85"/>
      <c r="SHL17" s="85"/>
      <c r="SHS17" s="85"/>
      <c r="SHZ17" s="85"/>
      <c r="SIG17" s="85"/>
      <c r="SIN17" s="85"/>
      <c r="SIU17" s="85"/>
      <c r="SJB17" s="85"/>
      <c r="SJI17" s="85"/>
      <c r="SJP17" s="85"/>
      <c r="SJW17" s="85"/>
      <c r="SKD17" s="85"/>
      <c r="SKK17" s="85"/>
      <c r="SKR17" s="85"/>
      <c r="SKY17" s="85"/>
      <c r="SLF17" s="85"/>
      <c r="SLM17" s="85"/>
      <c r="SLT17" s="85"/>
      <c r="SMA17" s="85"/>
      <c r="SMH17" s="85"/>
      <c r="SMO17" s="85"/>
      <c r="SMV17" s="85"/>
      <c r="SNC17" s="85"/>
      <c r="SNJ17" s="85"/>
      <c r="SNQ17" s="85"/>
      <c r="SNX17" s="85"/>
      <c r="SOE17" s="85"/>
      <c r="SOL17" s="85"/>
      <c r="SOS17" s="85"/>
      <c r="SOZ17" s="85"/>
      <c r="SPG17" s="85"/>
      <c r="SPN17" s="85"/>
      <c r="SPU17" s="85"/>
      <c r="SQB17" s="85"/>
      <c r="SQI17" s="85"/>
      <c r="SQP17" s="85"/>
      <c r="SQW17" s="85"/>
      <c r="SRD17" s="85"/>
      <c r="SRK17" s="85"/>
      <c r="SRR17" s="85"/>
      <c r="SRY17" s="85"/>
      <c r="SSF17" s="85"/>
      <c r="SSM17" s="85"/>
      <c r="SST17" s="85"/>
      <c r="STA17" s="85"/>
      <c r="STH17" s="85"/>
      <c r="STO17" s="85"/>
      <c r="STV17" s="85"/>
      <c r="SUC17" s="85"/>
      <c r="SUJ17" s="85"/>
      <c r="SUQ17" s="85"/>
      <c r="SUX17" s="85"/>
      <c r="SVE17" s="85"/>
      <c r="SVL17" s="85"/>
      <c r="SVS17" s="85"/>
      <c r="SVZ17" s="85"/>
      <c r="SWG17" s="85"/>
      <c r="SWN17" s="85"/>
      <c r="SWU17" s="85"/>
      <c r="SXB17" s="85"/>
      <c r="SXI17" s="85"/>
      <c r="SXP17" s="85"/>
      <c r="SXW17" s="85"/>
      <c r="SYD17" s="85"/>
      <c r="SYK17" s="85"/>
      <c r="SYR17" s="85"/>
      <c r="SYY17" s="85"/>
      <c r="SZF17" s="85"/>
      <c r="SZM17" s="85"/>
      <c r="SZT17" s="85"/>
      <c r="TAA17" s="85"/>
      <c r="TAH17" s="85"/>
      <c r="TAO17" s="85"/>
      <c r="TAV17" s="85"/>
      <c r="TBC17" s="85"/>
      <c r="TBJ17" s="85"/>
      <c r="TBQ17" s="85"/>
      <c r="TBX17" s="85"/>
      <c r="TCE17" s="85"/>
      <c r="TCL17" s="85"/>
      <c r="TCS17" s="85"/>
      <c r="TCZ17" s="85"/>
      <c r="TDG17" s="85"/>
      <c r="TDN17" s="85"/>
      <c r="TDU17" s="85"/>
      <c r="TEB17" s="85"/>
      <c r="TEI17" s="85"/>
      <c r="TEP17" s="85"/>
      <c r="TEW17" s="85"/>
      <c r="TFD17" s="85"/>
      <c r="TFK17" s="85"/>
      <c r="TFR17" s="85"/>
      <c r="TFY17" s="85"/>
      <c r="TGF17" s="85"/>
      <c r="TGM17" s="85"/>
      <c r="TGT17" s="85"/>
      <c r="THA17" s="85"/>
      <c r="THH17" s="85"/>
      <c r="THO17" s="85"/>
      <c r="THV17" s="85"/>
      <c r="TIC17" s="85"/>
      <c r="TIJ17" s="85"/>
      <c r="TIQ17" s="85"/>
      <c r="TIX17" s="85"/>
      <c r="TJE17" s="85"/>
      <c r="TJL17" s="85"/>
      <c r="TJS17" s="85"/>
      <c r="TJZ17" s="85"/>
      <c r="TKG17" s="85"/>
      <c r="TKN17" s="85"/>
      <c r="TKU17" s="85"/>
      <c r="TLB17" s="85"/>
      <c r="TLI17" s="85"/>
      <c r="TLP17" s="85"/>
      <c r="TLW17" s="85"/>
      <c r="TMD17" s="85"/>
      <c r="TMK17" s="85"/>
      <c r="TMR17" s="85"/>
      <c r="TMY17" s="85"/>
      <c r="TNF17" s="85"/>
      <c r="TNM17" s="85"/>
      <c r="TNT17" s="85"/>
      <c r="TOA17" s="85"/>
      <c r="TOH17" s="85"/>
      <c r="TOO17" s="85"/>
      <c r="TOV17" s="85"/>
      <c r="TPC17" s="85"/>
      <c r="TPJ17" s="85"/>
      <c r="TPQ17" s="85"/>
      <c r="TPX17" s="85"/>
      <c r="TQE17" s="85"/>
      <c r="TQL17" s="85"/>
      <c r="TQS17" s="85"/>
      <c r="TQZ17" s="85"/>
      <c r="TRG17" s="85"/>
      <c r="TRN17" s="85"/>
      <c r="TRU17" s="85"/>
      <c r="TSB17" s="85"/>
      <c r="TSI17" s="85"/>
      <c r="TSP17" s="85"/>
      <c r="TSW17" s="85"/>
      <c r="TTD17" s="85"/>
      <c r="TTK17" s="85"/>
      <c r="TTR17" s="85"/>
      <c r="TTY17" s="85"/>
      <c r="TUF17" s="85"/>
      <c r="TUM17" s="85"/>
      <c r="TUT17" s="85"/>
      <c r="TVA17" s="85"/>
      <c r="TVH17" s="85"/>
      <c r="TVO17" s="85"/>
      <c r="TVV17" s="85"/>
      <c r="TWC17" s="85"/>
      <c r="TWJ17" s="85"/>
      <c r="TWQ17" s="85"/>
      <c r="TWX17" s="85"/>
      <c r="TXE17" s="85"/>
      <c r="TXL17" s="85"/>
      <c r="TXS17" s="85"/>
      <c r="TXZ17" s="85"/>
      <c r="TYG17" s="85"/>
      <c r="TYN17" s="85"/>
      <c r="TYU17" s="85"/>
      <c r="TZB17" s="85"/>
      <c r="TZI17" s="85"/>
      <c r="TZP17" s="85"/>
      <c r="TZW17" s="85"/>
      <c r="UAD17" s="85"/>
      <c r="UAK17" s="85"/>
      <c r="UAR17" s="85"/>
      <c r="UAY17" s="85"/>
      <c r="UBF17" s="85"/>
      <c r="UBM17" s="85"/>
      <c r="UBT17" s="85"/>
      <c r="UCA17" s="85"/>
      <c r="UCH17" s="85"/>
      <c r="UCO17" s="85"/>
      <c r="UCV17" s="85"/>
      <c r="UDC17" s="85"/>
      <c r="UDJ17" s="85"/>
      <c r="UDQ17" s="85"/>
      <c r="UDX17" s="85"/>
      <c r="UEE17" s="85"/>
      <c r="UEL17" s="85"/>
      <c r="UES17" s="85"/>
      <c r="UEZ17" s="85"/>
      <c r="UFG17" s="85"/>
      <c r="UFN17" s="85"/>
      <c r="UFU17" s="85"/>
      <c r="UGB17" s="85"/>
      <c r="UGI17" s="85"/>
      <c r="UGP17" s="85"/>
      <c r="UGW17" s="85"/>
      <c r="UHD17" s="85"/>
      <c r="UHK17" s="85"/>
      <c r="UHR17" s="85"/>
      <c r="UHY17" s="85"/>
      <c r="UIF17" s="85"/>
      <c r="UIM17" s="85"/>
      <c r="UIT17" s="85"/>
      <c r="UJA17" s="85"/>
      <c r="UJH17" s="85"/>
      <c r="UJO17" s="85"/>
      <c r="UJV17" s="85"/>
      <c r="UKC17" s="85"/>
      <c r="UKJ17" s="85"/>
      <c r="UKQ17" s="85"/>
      <c r="UKX17" s="85"/>
      <c r="ULE17" s="85"/>
      <c r="ULL17" s="85"/>
      <c r="ULS17" s="85"/>
      <c r="ULZ17" s="85"/>
      <c r="UMG17" s="85"/>
      <c r="UMN17" s="85"/>
      <c r="UMU17" s="85"/>
      <c r="UNB17" s="85"/>
      <c r="UNI17" s="85"/>
      <c r="UNP17" s="85"/>
      <c r="UNW17" s="85"/>
      <c r="UOD17" s="85"/>
      <c r="UOK17" s="85"/>
      <c r="UOR17" s="85"/>
      <c r="UOY17" s="85"/>
      <c r="UPF17" s="85"/>
      <c r="UPM17" s="85"/>
      <c r="UPT17" s="85"/>
      <c r="UQA17" s="85"/>
      <c r="UQH17" s="85"/>
      <c r="UQO17" s="85"/>
      <c r="UQV17" s="85"/>
      <c r="URC17" s="85"/>
      <c r="URJ17" s="85"/>
      <c r="URQ17" s="85"/>
      <c r="URX17" s="85"/>
      <c r="USE17" s="85"/>
      <c r="USL17" s="85"/>
      <c r="USS17" s="85"/>
      <c r="USZ17" s="85"/>
      <c r="UTG17" s="85"/>
      <c r="UTN17" s="85"/>
      <c r="UTU17" s="85"/>
      <c r="UUB17" s="85"/>
      <c r="UUI17" s="85"/>
      <c r="UUP17" s="85"/>
      <c r="UUW17" s="85"/>
      <c r="UVD17" s="85"/>
      <c r="UVK17" s="85"/>
      <c r="UVR17" s="85"/>
      <c r="UVY17" s="85"/>
      <c r="UWF17" s="85"/>
      <c r="UWM17" s="85"/>
      <c r="UWT17" s="85"/>
      <c r="UXA17" s="85"/>
      <c r="UXH17" s="85"/>
      <c r="UXO17" s="85"/>
      <c r="UXV17" s="85"/>
      <c r="UYC17" s="85"/>
      <c r="UYJ17" s="85"/>
      <c r="UYQ17" s="85"/>
      <c r="UYX17" s="85"/>
      <c r="UZE17" s="85"/>
      <c r="UZL17" s="85"/>
      <c r="UZS17" s="85"/>
      <c r="UZZ17" s="85"/>
      <c r="VAG17" s="85"/>
      <c r="VAN17" s="85"/>
      <c r="VAU17" s="85"/>
      <c r="VBB17" s="85"/>
      <c r="VBI17" s="85"/>
      <c r="VBP17" s="85"/>
      <c r="VBW17" s="85"/>
      <c r="VCD17" s="85"/>
      <c r="VCK17" s="85"/>
      <c r="VCR17" s="85"/>
      <c r="VCY17" s="85"/>
      <c r="VDF17" s="85"/>
      <c r="VDM17" s="85"/>
      <c r="VDT17" s="85"/>
      <c r="VEA17" s="85"/>
      <c r="VEH17" s="85"/>
      <c r="VEO17" s="85"/>
      <c r="VEV17" s="85"/>
      <c r="VFC17" s="85"/>
      <c r="VFJ17" s="85"/>
      <c r="VFQ17" s="85"/>
      <c r="VFX17" s="85"/>
      <c r="VGE17" s="85"/>
      <c r="VGL17" s="85"/>
      <c r="VGS17" s="85"/>
      <c r="VGZ17" s="85"/>
      <c r="VHG17" s="85"/>
      <c r="VHN17" s="85"/>
      <c r="VHU17" s="85"/>
      <c r="VIB17" s="85"/>
      <c r="VII17" s="85"/>
      <c r="VIP17" s="85"/>
      <c r="VIW17" s="85"/>
      <c r="VJD17" s="85"/>
      <c r="VJK17" s="85"/>
      <c r="VJR17" s="85"/>
      <c r="VJY17" s="85"/>
      <c r="VKF17" s="85"/>
      <c r="VKM17" s="85"/>
      <c r="VKT17" s="85"/>
      <c r="VLA17" s="85"/>
      <c r="VLH17" s="85"/>
      <c r="VLO17" s="85"/>
      <c r="VLV17" s="85"/>
      <c r="VMC17" s="85"/>
      <c r="VMJ17" s="85"/>
      <c r="VMQ17" s="85"/>
      <c r="VMX17" s="85"/>
      <c r="VNE17" s="85"/>
      <c r="VNL17" s="85"/>
      <c r="VNS17" s="85"/>
      <c r="VNZ17" s="85"/>
      <c r="VOG17" s="85"/>
      <c r="VON17" s="85"/>
      <c r="VOU17" s="85"/>
      <c r="VPB17" s="85"/>
      <c r="VPI17" s="85"/>
      <c r="VPP17" s="85"/>
      <c r="VPW17" s="85"/>
      <c r="VQD17" s="85"/>
      <c r="VQK17" s="85"/>
      <c r="VQR17" s="85"/>
      <c r="VQY17" s="85"/>
      <c r="VRF17" s="85"/>
      <c r="VRM17" s="85"/>
      <c r="VRT17" s="85"/>
      <c r="VSA17" s="85"/>
      <c r="VSH17" s="85"/>
      <c r="VSO17" s="85"/>
      <c r="VSV17" s="85"/>
      <c r="VTC17" s="85"/>
      <c r="VTJ17" s="85"/>
      <c r="VTQ17" s="85"/>
      <c r="VTX17" s="85"/>
      <c r="VUE17" s="85"/>
      <c r="VUL17" s="85"/>
      <c r="VUS17" s="85"/>
      <c r="VUZ17" s="85"/>
      <c r="VVG17" s="85"/>
      <c r="VVN17" s="85"/>
      <c r="VVU17" s="85"/>
      <c r="VWB17" s="85"/>
      <c r="VWI17" s="85"/>
      <c r="VWP17" s="85"/>
      <c r="VWW17" s="85"/>
      <c r="VXD17" s="85"/>
      <c r="VXK17" s="85"/>
      <c r="VXR17" s="85"/>
      <c r="VXY17" s="85"/>
      <c r="VYF17" s="85"/>
      <c r="VYM17" s="85"/>
      <c r="VYT17" s="85"/>
      <c r="VZA17" s="85"/>
      <c r="VZH17" s="85"/>
      <c r="VZO17" s="85"/>
      <c r="VZV17" s="85"/>
      <c r="WAC17" s="85"/>
      <c r="WAJ17" s="85"/>
      <c r="WAQ17" s="85"/>
      <c r="WAX17" s="85"/>
      <c r="WBE17" s="85"/>
      <c r="WBL17" s="85"/>
      <c r="WBS17" s="85"/>
      <c r="WBZ17" s="85"/>
      <c r="WCG17" s="85"/>
      <c r="WCN17" s="85"/>
      <c r="WCU17" s="85"/>
      <c r="WDB17" s="85"/>
      <c r="WDI17" s="85"/>
      <c r="WDP17" s="85"/>
      <c r="WDW17" s="85"/>
      <c r="WED17" s="85"/>
      <c r="WEK17" s="85"/>
      <c r="WER17" s="85"/>
      <c r="WEY17" s="85"/>
      <c r="WFF17" s="85"/>
      <c r="WFM17" s="85"/>
      <c r="WFT17" s="85"/>
      <c r="WGA17" s="85"/>
      <c r="WGH17" s="85"/>
      <c r="WGO17" s="85"/>
      <c r="WGV17" s="85"/>
      <c r="WHC17" s="85"/>
      <c r="WHJ17" s="85"/>
      <c r="WHQ17" s="85"/>
      <c r="WHX17" s="85"/>
      <c r="WIE17" s="85"/>
      <c r="WIL17" s="85"/>
      <c r="WIS17" s="85"/>
      <c r="WIZ17" s="85"/>
      <c r="WJG17" s="85"/>
      <c r="WJN17" s="85"/>
      <c r="WJU17" s="85"/>
      <c r="WKB17" s="85"/>
      <c r="WKI17" s="85"/>
      <c r="WKP17" s="85"/>
      <c r="WKW17" s="85"/>
      <c r="WLD17" s="85"/>
      <c r="WLK17" s="85"/>
      <c r="WLR17" s="85"/>
      <c r="WLY17" s="85"/>
      <c r="WMF17" s="85"/>
      <c r="WMM17" s="85"/>
      <c r="WMT17" s="85"/>
      <c r="WNA17" s="85"/>
      <c r="WNH17" s="85"/>
      <c r="WNO17" s="85"/>
      <c r="WNV17" s="85"/>
      <c r="WOC17" s="85"/>
      <c r="WOJ17" s="85"/>
      <c r="WOQ17" s="85"/>
      <c r="WOX17" s="85"/>
      <c r="WPE17" s="85"/>
      <c r="WPL17" s="85"/>
      <c r="WPS17" s="85"/>
      <c r="WPZ17" s="85"/>
      <c r="WQG17" s="85"/>
      <c r="WQN17" s="85"/>
      <c r="WQU17" s="85"/>
      <c r="WRB17" s="85"/>
      <c r="WRI17" s="85"/>
      <c r="WRP17" s="85"/>
      <c r="WRW17" s="85"/>
      <c r="WSD17" s="85"/>
      <c r="WSK17" s="85"/>
      <c r="WSR17" s="85"/>
      <c r="WSY17" s="85"/>
      <c r="WTF17" s="85"/>
      <c r="WTM17" s="85"/>
      <c r="WTT17" s="85"/>
      <c r="WUA17" s="85"/>
      <c r="WUH17" s="85"/>
      <c r="WUO17" s="85"/>
      <c r="WUV17" s="85"/>
      <c r="WVC17" s="85"/>
      <c r="WVJ17" s="85"/>
      <c r="WVQ17" s="85"/>
      <c r="WVX17" s="85"/>
      <c r="WWE17" s="85"/>
      <c r="WWL17" s="85"/>
      <c r="WWS17" s="85"/>
      <c r="WWZ17" s="85"/>
      <c r="WXG17" s="85"/>
      <c r="WXN17" s="85"/>
      <c r="WXU17" s="85"/>
      <c r="WYB17" s="85"/>
      <c r="WYI17" s="85"/>
      <c r="WYP17" s="85"/>
      <c r="WYW17" s="85"/>
      <c r="WZD17" s="85"/>
      <c r="WZK17" s="85"/>
      <c r="WZR17" s="85"/>
      <c r="WZY17" s="85"/>
      <c r="XAF17" s="85"/>
      <c r="XAM17" s="85"/>
      <c r="XAT17" s="85"/>
      <c r="XBA17" s="85"/>
      <c r="XBH17" s="85"/>
      <c r="XBO17" s="85"/>
      <c r="XBV17" s="85"/>
      <c r="XCC17" s="85"/>
      <c r="XCJ17" s="85"/>
      <c r="XCQ17" s="85"/>
      <c r="XCX17" s="85"/>
      <c r="XDE17" s="85"/>
      <c r="XDL17" s="85"/>
      <c r="XDS17" s="85"/>
      <c r="XDZ17" s="85"/>
      <c r="XEG17" s="85"/>
      <c r="XEN17" s="85"/>
      <c r="XEU17" s="85"/>
      <c r="XFB17" s="85"/>
    </row>
    <row r="18" spans="1:1024 1031:2046 2053:3068 3075:4090 4097:5119 5126:6141 6148:7163 7170:8192 8199:9214 9221:10236 10243:11258 11265:12287 12294:13309 13316:14331 14338:15360 15367:16382" customFormat="1" ht="15.75" customHeight="1" x14ac:dyDescent="0.3">
      <c r="A18" s="88" t="s">
        <v>960</v>
      </c>
      <c r="B18" s="99">
        <v>0</v>
      </c>
      <c r="C18" s="99">
        <v>0</v>
      </c>
      <c r="D18" s="99">
        <v>100000</v>
      </c>
      <c r="E18" s="99">
        <v>0</v>
      </c>
      <c r="F18" s="99">
        <v>0</v>
      </c>
      <c r="G18" s="99">
        <v>0</v>
      </c>
      <c r="H18" s="99">
        <v>100000</v>
      </c>
      <c r="I18" s="84"/>
      <c r="J18" s="84"/>
      <c r="K18" s="83"/>
      <c r="L18" s="83"/>
    </row>
    <row r="19" spans="1:1024 1031:2046 2053:3068 3075:4090 4097:5119 5126:6141 6148:7163 7170:8192 8199:9214 9221:10236 10243:11258 11265:12287 12294:13309 13316:14331 14338:15360 15367:16382" s="100" customFormat="1" ht="15.75" customHeight="1" x14ac:dyDescent="0.3">
      <c r="A19" s="88" t="s">
        <v>961</v>
      </c>
      <c r="B19" s="99">
        <v>0</v>
      </c>
      <c r="C19" s="99">
        <v>0</v>
      </c>
      <c r="D19" s="99">
        <v>73125</v>
      </c>
      <c r="E19" s="99">
        <v>18281.25</v>
      </c>
      <c r="F19" s="99">
        <v>0</v>
      </c>
      <c r="G19" s="99">
        <v>0</v>
      </c>
      <c r="H19" s="99">
        <v>91406.25</v>
      </c>
      <c r="I19" s="84"/>
      <c r="J19" s="84"/>
      <c r="K19" s="95"/>
      <c r="L19" s="95"/>
    </row>
    <row r="20" spans="1:1024 1031:2046 2053:3068 3075:4090 4097:5119 5126:6141 6148:7163 7170:8192 8199:9214 9221:10236 10243:11258 11265:12287 12294:13309 13316:14331 14338:15360 15367:16382" customFormat="1" ht="15.75" customHeight="1" x14ac:dyDescent="0.3">
      <c r="A20" s="88" t="s">
        <v>962</v>
      </c>
      <c r="B20" s="99">
        <v>0</v>
      </c>
      <c r="C20" s="99">
        <v>0</v>
      </c>
      <c r="D20" s="99">
        <v>0</v>
      </c>
      <c r="E20" s="99">
        <v>42238.36</v>
      </c>
      <c r="F20" s="99">
        <v>0</v>
      </c>
      <c r="G20" s="99">
        <v>0</v>
      </c>
      <c r="H20" s="99">
        <v>42238.36</v>
      </c>
      <c r="I20" s="84"/>
      <c r="J20" s="84"/>
      <c r="K20" s="83"/>
      <c r="L20" s="83"/>
    </row>
    <row r="21" spans="1:1024 1031:2046 2053:3068 3075:4090 4097:5119 5126:6141 6148:7163 7170:8192 8199:9214 9221:10236 10243:11258 11265:12287 12294:13309 13316:14331 14338:15360 15367:16382" customFormat="1" ht="15.75" customHeight="1" x14ac:dyDescent="0.3">
      <c r="A21" s="88" t="s">
        <v>219</v>
      </c>
      <c r="B21" s="99">
        <v>0</v>
      </c>
      <c r="C21" s="99">
        <v>0</v>
      </c>
      <c r="D21" s="99">
        <v>46873.567499999997</v>
      </c>
      <c r="E21" s="99">
        <v>0</v>
      </c>
      <c r="F21" s="99">
        <v>0</v>
      </c>
      <c r="G21" s="99">
        <v>0</v>
      </c>
      <c r="H21" s="99">
        <v>46873.567499999997</v>
      </c>
      <c r="I21" s="84"/>
      <c r="J21" s="84"/>
      <c r="K21" s="83"/>
      <c r="L21" s="83"/>
    </row>
    <row r="22" spans="1:1024 1031:2046 2053:3068 3075:4090 4097:5119 5126:6141 6148:7163 7170:8192 8199:9214 9221:10236 10243:11258 11265:12287 12294:13309 13316:14331 14338:15360 15367:16382" customFormat="1" ht="15.75" customHeight="1" x14ac:dyDescent="0.3">
      <c r="A22" s="88" t="s">
        <v>963</v>
      </c>
      <c r="B22" s="101">
        <v>0</v>
      </c>
      <c r="C22" s="101">
        <v>0</v>
      </c>
      <c r="D22" s="101">
        <v>4770</v>
      </c>
      <c r="E22" s="101">
        <v>0</v>
      </c>
      <c r="F22" s="99">
        <v>0</v>
      </c>
      <c r="G22" s="99">
        <v>0</v>
      </c>
      <c r="H22" s="99">
        <v>4770</v>
      </c>
      <c r="I22" s="84"/>
      <c r="J22" s="84"/>
      <c r="K22" s="83"/>
      <c r="L22" s="83"/>
    </row>
    <row r="23" spans="1:1024 1031:2046 2053:3068 3075:4090 4097:5119 5126:6141 6148:7163 7170:8192 8199:9214 9221:10236 10243:11258 11265:12287 12294:13309 13316:14331 14338:15360 15367:16382" customFormat="1" ht="15.75" customHeight="1" x14ac:dyDescent="0.3">
      <c r="A23" s="88" t="s">
        <v>964</v>
      </c>
      <c r="B23" s="99">
        <v>0</v>
      </c>
      <c r="C23" s="99">
        <v>0</v>
      </c>
      <c r="D23" s="99">
        <v>0</v>
      </c>
      <c r="E23" s="99">
        <v>52778.504999999997</v>
      </c>
      <c r="F23" s="99">
        <v>0</v>
      </c>
      <c r="G23" s="99">
        <v>0</v>
      </c>
      <c r="H23" s="99">
        <v>52778.504999999997</v>
      </c>
      <c r="I23" s="84"/>
      <c r="J23" s="84"/>
      <c r="K23" s="83"/>
      <c r="L23" s="83"/>
    </row>
    <row r="24" spans="1:1024 1031:2046 2053:3068 3075:4090 4097:5119 5126:6141 6148:7163 7170:8192 8199:9214 9221:10236 10243:11258 11265:12287 12294:13309 13316:14331 14338:15360 15367:16382" customFormat="1" ht="15.75" customHeight="1" x14ac:dyDescent="0.3">
      <c r="A24" s="88" t="s">
        <v>965</v>
      </c>
      <c r="B24" s="99">
        <v>0</v>
      </c>
      <c r="C24" s="99">
        <v>0</v>
      </c>
      <c r="D24" s="99">
        <v>0</v>
      </c>
      <c r="E24" s="99">
        <v>70462.429999999993</v>
      </c>
      <c r="F24" s="99">
        <v>0</v>
      </c>
      <c r="G24" s="99">
        <v>0</v>
      </c>
      <c r="H24" s="99">
        <v>70462.429999999993</v>
      </c>
      <c r="I24" s="84"/>
      <c r="J24" s="84"/>
      <c r="K24" s="83"/>
      <c r="L24" s="83"/>
    </row>
    <row r="25" spans="1:1024 1031:2046 2053:3068 3075:4090 4097:5119 5126:6141 6148:7163 7170:8192 8199:9214 9221:10236 10243:11258 11265:12287 12294:13309 13316:14331 14338:15360 15367:16382" customFormat="1" ht="15.75" customHeight="1" x14ac:dyDescent="0.3">
      <c r="A25" s="85" t="s">
        <v>966</v>
      </c>
      <c r="B25" s="98">
        <v>0</v>
      </c>
      <c r="C25" s="98">
        <v>193206</v>
      </c>
      <c r="D25" s="98">
        <v>262633</v>
      </c>
      <c r="E25" s="98">
        <v>813374.01</v>
      </c>
      <c r="F25" s="98">
        <v>312851.75</v>
      </c>
      <c r="G25" s="98">
        <v>0</v>
      </c>
      <c r="H25" s="98">
        <v>1582064.76</v>
      </c>
      <c r="I25" s="84"/>
      <c r="J25" s="84"/>
      <c r="K25" s="83"/>
      <c r="L25" s="83"/>
    </row>
    <row r="26" spans="1:1024 1031:2046 2053:3068 3075:4090 4097:5119 5126:6141 6148:7163 7170:8192 8199:9214 9221:10236 10243:11258 11265:12287 12294:13309 13316:14331 14338:15360 15367:16382" customFormat="1" ht="15.75" customHeight="1" x14ac:dyDescent="0.3">
      <c r="A26" s="88" t="s">
        <v>967</v>
      </c>
      <c r="B26" s="99">
        <v>0</v>
      </c>
      <c r="C26" s="99">
        <v>0</v>
      </c>
      <c r="D26" s="99">
        <v>0</v>
      </c>
      <c r="E26" s="99">
        <v>43751.16</v>
      </c>
      <c r="F26" s="99">
        <v>0</v>
      </c>
      <c r="G26" s="99">
        <v>0</v>
      </c>
      <c r="H26" s="99">
        <v>43751.16</v>
      </c>
      <c r="I26" s="84"/>
      <c r="J26" s="84"/>
      <c r="K26" s="83"/>
      <c r="L26" s="83"/>
    </row>
    <row r="27" spans="1:1024 1031:2046 2053:3068 3075:4090 4097:5119 5126:6141 6148:7163 7170:8192 8199:9214 9221:10236 10243:11258 11265:12287 12294:13309 13316:14331 14338:15360 15367:16382" customFormat="1" ht="15.75" customHeight="1" x14ac:dyDescent="0.3">
      <c r="A27" s="88" t="s">
        <v>968</v>
      </c>
      <c r="B27" s="99">
        <v>0</v>
      </c>
      <c r="C27" s="99">
        <v>0</v>
      </c>
      <c r="D27" s="99">
        <v>0</v>
      </c>
      <c r="E27" s="99">
        <v>77805</v>
      </c>
      <c r="F27" s="99">
        <v>0</v>
      </c>
      <c r="G27" s="99">
        <v>0</v>
      </c>
      <c r="H27" s="99">
        <v>77805</v>
      </c>
      <c r="I27" s="84"/>
      <c r="J27" s="84"/>
      <c r="K27" s="83"/>
      <c r="L27" s="83"/>
    </row>
    <row r="28" spans="1:1024 1031:2046 2053:3068 3075:4090 4097:5119 5126:6141 6148:7163 7170:8192 8199:9214 9221:10236 10243:11258 11265:12287 12294:13309 13316:14331 14338:15360 15367:16382" customFormat="1" ht="15.75" customHeight="1" x14ac:dyDescent="0.3">
      <c r="A28" s="88" t="s">
        <v>969</v>
      </c>
      <c r="B28" s="99">
        <v>0</v>
      </c>
      <c r="C28" s="99">
        <v>0</v>
      </c>
      <c r="D28" s="99">
        <v>0</v>
      </c>
      <c r="E28" s="99">
        <v>27828.75</v>
      </c>
      <c r="F28" s="99">
        <v>0</v>
      </c>
      <c r="G28" s="99">
        <v>0</v>
      </c>
      <c r="H28" s="99">
        <v>27828.75</v>
      </c>
      <c r="I28" s="84"/>
      <c r="J28" s="84"/>
      <c r="K28" s="83"/>
      <c r="L28" s="83"/>
    </row>
    <row r="29" spans="1:1024 1031:2046 2053:3068 3075:4090 4097:5119 5126:6141 6148:7163 7170:8192 8199:9214 9221:10236 10243:11258 11265:12287 12294:13309 13316:14331 14338:15360 15367:16382" customFormat="1" ht="15.75" customHeight="1" x14ac:dyDescent="0.3">
      <c r="A29" s="88" t="s">
        <v>970</v>
      </c>
      <c r="B29" s="99">
        <v>0</v>
      </c>
      <c r="C29" s="99">
        <v>0</v>
      </c>
      <c r="D29" s="99">
        <v>41641</v>
      </c>
      <c r="E29" s="99">
        <v>0</v>
      </c>
      <c r="F29" s="99">
        <v>0</v>
      </c>
      <c r="G29" s="99">
        <v>0</v>
      </c>
      <c r="H29" s="99">
        <v>41641</v>
      </c>
      <c r="I29" s="84"/>
      <c r="J29" s="84"/>
      <c r="K29" s="83"/>
      <c r="L29" s="83"/>
    </row>
    <row r="30" spans="1:1024 1031:2046 2053:3068 3075:4090 4097:5119 5126:6141 6148:7163 7170:8192 8199:9214 9221:10236 10243:11258 11265:12287 12294:13309 13316:14331 14338:15360 15367:16382" customFormat="1" ht="15.75" customHeight="1" x14ac:dyDescent="0.3">
      <c r="A30" s="88" t="s">
        <v>971</v>
      </c>
      <c r="B30" s="99">
        <v>0</v>
      </c>
      <c r="C30" s="99">
        <v>0</v>
      </c>
      <c r="D30" s="99">
        <v>0</v>
      </c>
      <c r="E30" s="99">
        <v>169100</v>
      </c>
      <c r="F30" s="99">
        <v>0</v>
      </c>
      <c r="G30" s="99">
        <v>0</v>
      </c>
      <c r="H30" s="99">
        <v>169100</v>
      </c>
      <c r="I30" s="84"/>
      <c r="J30" s="84"/>
      <c r="K30" s="83"/>
      <c r="L30" s="83"/>
    </row>
    <row r="31" spans="1:1024 1031:2046 2053:3068 3075:4090 4097:5119 5126:6141 6148:7163 7170:8192 8199:9214 9221:10236 10243:11258 11265:12287 12294:13309 13316:14331 14338:15360 15367:16382" customFormat="1" ht="15.75" customHeight="1" x14ac:dyDescent="0.3">
      <c r="A31" s="88" t="s">
        <v>972</v>
      </c>
      <c r="B31" s="99">
        <v>0</v>
      </c>
      <c r="C31" s="99">
        <v>0</v>
      </c>
      <c r="D31" s="99">
        <v>0</v>
      </c>
      <c r="E31" s="99">
        <v>25649</v>
      </c>
      <c r="F31" s="99">
        <v>0</v>
      </c>
      <c r="G31" s="99">
        <v>0</v>
      </c>
      <c r="H31" s="99">
        <v>25649</v>
      </c>
      <c r="I31" s="84"/>
      <c r="J31" s="84"/>
      <c r="K31" s="83"/>
      <c r="L31" s="83"/>
    </row>
    <row r="32" spans="1:1024 1031:2046 2053:3068 3075:4090 4097:5119 5126:6141 6148:7163 7170:8192 8199:9214 9221:10236 10243:11258 11265:12287 12294:13309 13316:14331 14338:15360 15367:16382" customFormat="1" ht="15.75" customHeight="1" x14ac:dyDescent="0.3">
      <c r="A32" s="88" t="s">
        <v>973</v>
      </c>
      <c r="B32" s="99">
        <v>0</v>
      </c>
      <c r="C32" s="99">
        <v>0</v>
      </c>
      <c r="D32" s="99">
        <v>145393</v>
      </c>
      <c r="E32" s="99">
        <v>0</v>
      </c>
      <c r="F32" s="99">
        <v>0</v>
      </c>
      <c r="G32" s="99">
        <v>0</v>
      </c>
      <c r="H32" s="99">
        <v>145393</v>
      </c>
      <c r="I32" s="84"/>
      <c r="J32" s="84"/>
      <c r="K32" s="83"/>
      <c r="L32" s="83"/>
    </row>
    <row r="33" spans="1:12" customFormat="1" ht="15.75" customHeight="1" x14ac:dyDescent="0.3">
      <c r="A33" s="88" t="s">
        <v>974</v>
      </c>
      <c r="B33" s="99">
        <v>0</v>
      </c>
      <c r="C33" s="99">
        <v>81412</v>
      </c>
      <c r="D33" s="99">
        <v>0</v>
      </c>
      <c r="E33" s="99">
        <v>0</v>
      </c>
      <c r="F33" s="99">
        <v>0</v>
      </c>
      <c r="G33" s="99">
        <v>0</v>
      </c>
      <c r="H33" s="99">
        <v>81412</v>
      </c>
      <c r="I33" s="84"/>
      <c r="J33" s="84"/>
      <c r="K33" s="83"/>
      <c r="L33" s="83"/>
    </row>
    <row r="34" spans="1:12" customFormat="1" ht="15.75" customHeight="1" x14ac:dyDescent="0.3">
      <c r="A34" s="88" t="s">
        <v>975</v>
      </c>
      <c r="B34" s="99">
        <v>0</v>
      </c>
      <c r="C34" s="99">
        <v>0</v>
      </c>
      <c r="D34" s="99">
        <v>0</v>
      </c>
      <c r="E34" s="99">
        <v>100626.84</v>
      </c>
      <c r="F34" s="99">
        <v>0</v>
      </c>
      <c r="G34" s="99">
        <v>0</v>
      </c>
      <c r="H34" s="99">
        <v>100626.84</v>
      </c>
      <c r="I34" s="84"/>
      <c r="J34" s="84"/>
      <c r="K34" s="83"/>
      <c r="L34" s="83"/>
    </row>
    <row r="35" spans="1:12" customFormat="1" ht="15.75" customHeight="1" x14ac:dyDescent="0.3">
      <c r="A35" s="88" t="s">
        <v>976</v>
      </c>
      <c r="B35" s="99">
        <v>0</v>
      </c>
      <c r="C35" s="99">
        <v>0</v>
      </c>
      <c r="D35" s="99">
        <v>0</v>
      </c>
      <c r="E35" s="99">
        <v>0</v>
      </c>
      <c r="F35" s="99">
        <v>53691.75</v>
      </c>
      <c r="G35" s="99">
        <v>0</v>
      </c>
      <c r="H35" s="99">
        <v>53691.75</v>
      </c>
      <c r="I35" s="84"/>
      <c r="J35" s="84"/>
      <c r="K35" s="83"/>
      <c r="L35" s="83"/>
    </row>
    <row r="36" spans="1:12" customFormat="1" ht="15.75" customHeight="1" x14ac:dyDescent="0.3">
      <c r="A36" s="88" t="s">
        <v>977</v>
      </c>
      <c r="B36" s="99">
        <v>0</v>
      </c>
      <c r="C36" s="99">
        <v>0</v>
      </c>
      <c r="D36" s="99">
        <v>0</v>
      </c>
      <c r="E36" s="99">
        <v>70442</v>
      </c>
      <c r="F36" s="99">
        <v>0</v>
      </c>
      <c r="G36" s="99">
        <v>0</v>
      </c>
      <c r="H36" s="99">
        <v>70442</v>
      </c>
      <c r="I36" s="84"/>
      <c r="J36" s="84"/>
      <c r="K36" s="83"/>
      <c r="L36" s="83"/>
    </row>
    <row r="37" spans="1:12" customFormat="1" ht="15.75" customHeight="1" x14ac:dyDescent="0.3">
      <c r="A37" s="88" t="s">
        <v>978</v>
      </c>
      <c r="B37" s="99">
        <v>0</v>
      </c>
      <c r="C37" s="99">
        <v>0</v>
      </c>
      <c r="D37" s="99">
        <v>32256</v>
      </c>
      <c r="E37" s="99">
        <v>0</v>
      </c>
      <c r="F37" s="99">
        <v>0</v>
      </c>
      <c r="G37" s="99">
        <v>0</v>
      </c>
      <c r="H37" s="99">
        <v>32256</v>
      </c>
      <c r="I37" s="84"/>
      <c r="J37" s="84"/>
      <c r="K37" s="83"/>
      <c r="L37" s="83"/>
    </row>
    <row r="38" spans="1:12" customFormat="1" ht="15.75" customHeight="1" x14ac:dyDescent="0.3">
      <c r="A38" s="88" t="s">
        <v>979</v>
      </c>
      <c r="B38" s="99">
        <v>0</v>
      </c>
      <c r="C38" s="99">
        <v>0</v>
      </c>
      <c r="D38" s="99">
        <v>0</v>
      </c>
      <c r="E38" s="99">
        <v>45000</v>
      </c>
      <c r="F38" s="99">
        <v>51053</v>
      </c>
      <c r="G38" s="99">
        <v>0</v>
      </c>
      <c r="H38" s="99">
        <v>96053</v>
      </c>
      <c r="I38" s="84"/>
      <c r="J38" s="84"/>
      <c r="K38" s="83"/>
      <c r="L38" s="83"/>
    </row>
    <row r="39" spans="1:12" s="100" customFormat="1" ht="15.75" customHeight="1" x14ac:dyDescent="0.3">
      <c r="A39" s="88" t="s">
        <v>980</v>
      </c>
      <c r="B39" s="99">
        <v>0</v>
      </c>
      <c r="C39" s="99">
        <v>105729</v>
      </c>
      <c r="D39" s="99">
        <v>0</v>
      </c>
      <c r="E39" s="99">
        <v>0</v>
      </c>
      <c r="F39" s="99">
        <v>0</v>
      </c>
      <c r="G39" s="99">
        <v>0</v>
      </c>
      <c r="H39" s="99">
        <v>105729</v>
      </c>
      <c r="I39" s="84"/>
      <c r="J39" s="84"/>
      <c r="K39" s="95"/>
      <c r="L39" s="95"/>
    </row>
    <row r="40" spans="1:12" customFormat="1" ht="15.75" customHeight="1" x14ac:dyDescent="0.3">
      <c r="A40" s="88" t="s">
        <v>981</v>
      </c>
      <c r="B40" s="99">
        <v>0</v>
      </c>
      <c r="C40" s="99">
        <v>0</v>
      </c>
      <c r="D40" s="99">
        <v>0</v>
      </c>
      <c r="E40" s="99">
        <v>91264.41</v>
      </c>
      <c r="F40" s="99">
        <v>118107</v>
      </c>
      <c r="G40" s="99">
        <v>0</v>
      </c>
      <c r="H40" s="99">
        <v>209371.41</v>
      </c>
      <c r="I40" s="84"/>
      <c r="J40" s="84"/>
      <c r="K40" s="83"/>
      <c r="L40" s="83"/>
    </row>
    <row r="41" spans="1:12" customFormat="1" ht="15.75" customHeight="1" x14ac:dyDescent="0.3">
      <c r="A41" s="88" t="s">
        <v>982</v>
      </c>
      <c r="B41" s="99">
        <v>0</v>
      </c>
      <c r="C41" s="99">
        <v>0</v>
      </c>
      <c r="D41" s="99">
        <v>0</v>
      </c>
      <c r="E41" s="99">
        <v>52533</v>
      </c>
      <c r="F41" s="99">
        <v>0</v>
      </c>
      <c r="G41" s="99">
        <v>0</v>
      </c>
      <c r="H41" s="99">
        <v>52533</v>
      </c>
      <c r="I41" s="84"/>
      <c r="J41" s="84"/>
      <c r="K41" s="83"/>
      <c r="L41" s="83"/>
    </row>
    <row r="42" spans="1:12" customFormat="1" ht="15.75" customHeight="1" x14ac:dyDescent="0.3">
      <c r="A42" s="88" t="s">
        <v>983</v>
      </c>
      <c r="B42" s="99">
        <v>0</v>
      </c>
      <c r="C42" s="99">
        <v>0</v>
      </c>
      <c r="D42" s="99">
        <v>0</v>
      </c>
      <c r="E42" s="99">
        <v>52784.43</v>
      </c>
      <c r="F42" s="99">
        <v>90000</v>
      </c>
      <c r="G42" s="99">
        <v>0</v>
      </c>
      <c r="H42" s="99">
        <v>142784.43</v>
      </c>
      <c r="I42" s="84"/>
      <c r="J42" s="84"/>
      <c r="K42" s="83"/>
      <c r="L42" s="83"/>
    </row>
    <row r="43" spans="1:12" customFormat="1" ht="15.75" customHeight="1" x14ac:dyDescent="0.3">
      <c r="A43" s="88" t="s">
        <v>984</v>
      </c>
      <c r="B43" s="99">
        <v>0</v>
      </c>
      <c r="C43" s="99">
        <v>0</v>
      </c>
      <c r="D43" s="99">
        <v>43343</v>
      </c>
      <c r="E43" s="99">
        <v>0</v>
      </c>
      <c r="F43" s="99">
        <v>0</v>
      </c>
      <c r="G43" s="99">
        <v>0</v>
      </c>
      <c r="H43" s="99">
        <v>43343</v>
      </c>
      <c r="I43" s="84"/>
      <c r="J43" s="84"/>
      <c r="K43" s="83"/>
      <c r="L43" s="83"/>
    </row>
    <row r="44" spans="1:12" customFormat="1" ht="15.75" customHeight="1" x14ac:dyDescent="0.3">
      <c r="A44" s="88" t="s">
        <v>985</v>
      </c>
      <c r="B44" s="99">
        <v>0</v>
      </c>
      <c r="C44" s="99">
        <v>0</v>
      </c>
      <c r="D44" s="99">
        <v>0</v>
      </c>
      <c r="E44" s="99">
        <v>50990.42</v>
      </c>
      <c r="F44" s="99">
        <v>0</v>
      </c>
      <c r="G44" s="99">
        <v>0</v>
      </c>
      <c r="H44" s="99">
        <v>50990.42</v>
      </c>
      <c r="I44" s="84"/>
      <c r="J44" s="84"/>
      <c r="K44" s="83"/>
      <c r="L44" s="83"/>
    </row>
    <row r="45" spans="1:12" customFormat="1" ht="15.6" customHeight="1" x14ac:dyDescent="0.3">
      <c r="A45" s="88" t="s">
        <v>986</v>
      </c>
      <c r="B45" s="99">
        <v>0</v>
      </c>
      <c r="C45" s="99">
        <v>6065</v>
      </c>
      <c r="D45" s="99">
        <v>0</v>
      </c>
      <c r="E45" s="99">
        <v>5599</v>
      </c>
      <c r="F45" s="99">
        <v>0</v>
      </c>
      <c r="G45" s="99">
        <v>0</v>
      </c>
      <c r="H45" s="99">
        <v>11664</v>
      </c>
      <c r="I45" s="84"/>
      <c r="J45" s="84"/>
      <c r="K45" s="83"/>
      <c r="L45" s="83"/>
    </row>
    <row r="46" spans="1:12" s="100" customFormat="1" ht="15.75" customHeight="1" x14ac:dyDescent="0.3">
      <c r="A46" s="85" t="s">
        <v>387</v>
      </c>
      <c r="B46" s="98">
        <v>0</v>
      </c>
      <c r="C46" s="98">
        <v>269408</v>
      </c>
      <c r="D46" s="98">
        <v>773029.97</v>
      </c>
      <c r="E46" s="98">
        <v>910285.57</v>
      </c>
      <c r="F46" s="98">
        <v>771294.52</v>
      </c>
      <c r="G46" s="98">
        <v>0</v>
      </c>
      <c r="H46" s="98">
        <v>2724018.06</v>
      </c>
      <c r="I46" s="84"/>
      <c r="J46" s="84"/>
      <c r="K46" s="95"/>
      <c r="L46" s="95"/>
    </row>
    <row r="47" spans="1:12" customFormat="1" ht="15.75" customHeight="1" x14ac:dyDescent="0.3">
      <c r="A47" s="88" t="s">
        <v>987</v>
      </c>
      <c r="B47" s="99">
        <v>0</v>
      </c>
      <c r="C47" s="99">
        <v>269408</v>
      </c>
      <c r="D47" s="99">
        <v>406624.97</v>
      </c>
      <c r="E47" s="99">
        <v>805552.72</v>
      </c>
      <c r="F47" s="99">
        <v>771294.52</v>
      </c>
      <c r="G47" s="99">
        <v>0</v>
      </c>
      <c r="H47" s="99">
        <v>2252880.21</v>
      </c>
      <c r="I47" s="84"/>
      <c r="J47" s="84"/>
      <c r="K47" s="83"/>
      <c r="L47" s="83"/>
    </row>
    <row r="48" spans="1:12" customFormat="1" ht="15.75" customHeight="1" x14ac:dyDescent="0.3">
      <c r="A48" s="88" t="s">
        <v>988</v>
      </c>
      <c r="B48" s="99">
        <v>0</v>
      </c>
      <c r="C48" s="99">
        <v>0</v>
      </c>
      <c r="D48" s="99">
        <v>0</v>
      </c>
      <c r="E48" s="99">
        <v>4867</v>
      </c>
      <c r="F48" s="99">
        <v>0</v>
      </c>
      <c r="G48" s="99">
        <v>0</v>
      </c>
      <c r="H48" s="99">
        <v>4867</v>
      </c>
      <c r="I48" s="84"/>
      <c r="J48" s="84"/>
      <c r="K48" s="83"/>
      <c r="L48" s="83"/>
    </row>
    <row r="49" spans="1:12" customFormat="1" ht="15.75" customHeight="1" x14ac:dyDescent="0.3">
      <c r="A49" s="88" t="s">
        <v>989</v>
      </c>
      <c r="B49" s="99">
        <v>0</v>
      </c>
      <c r="C49" s="99">
        <v>0</v>
      </c>
      <c r="D49" s="99">
        <v>0</v>
      </c>
      <c r="E49" s="99">
        <v>4312.75</v>
      </c>
      <c r="F49" s="99">
        <v>0</v>
      </c>
      <c r="G49" s="99">
        <v>0</v>
      </c>
      <c r="H49" s="99">
        <v>4312.75</v>
      </c>
      <c r="I49" s="84"/>
      <c r="J49" s="84"/>
      <c r="K49" s="83"/>
      <c r="L49" s="83"/>
    </row>
    <row r="50" spans="1:12" customFormat="1" ht="15.75" customHeight="1" x14ac:dyDescent="0.3">
      <c r="A50" s="88" t="s">
        <v>990</v>
      </c>
      <c r="B50" s="99">
        <v>0</v>
      </c>
      <c r="C50" s="99">
        <v>0</v>
      </c>
      <c r="D50" s="99">
        <v>0</v>
      </c>
      <c r="E50" s="99">
        <v>95553.1</v>
      </c>
      <c r="F50" s="99">
        <v>0</v>
      </c>
      <c r="G50" s="99">
        <v>0</v>
      </c>
      <c r="H50" s="99">
        <v>95553.1</v>
      </c>
      <c r="I50" s="84"/>
      <c r="J50" s="84"/>
      <c r="K50" s="83"/>
      <c r="L50" s="83"/>
    </row>
    <row r="51" spans="1:12" customFormat="1" ht="15.75" customHeight="1" x14ac:dyDescent="0.3">
      <c r="A51" s="88" t="s">
        <v>991</v>
      </c>
      <c r="B51" s="99">
        <v>0</v>
      </c>
      <c r="C51" s="99">
        <v>0</v>
      </c>
      <c r="D51" s="99">
        <v>307356</v>
      </c>
      <c r="E51" s="99">
        <v>0</v>
      </c>
      <c r="F51" s="99">
        <v>0</v>
      </c>
      <c r="G51" s="99">
        <v>0</v>
      </c>
      <c r="H51" s="99">
        <v>307356</v>
      </c>
      <c r="I51" s="84"/>
      <c r="J51" s="84"/>
      <c r="K51" s="83"/>
      <c r="L51" s="83"/>
    </row>
    <row r="52" spans="1:12" customFormat="1" ht="15.75" customHeight="1" x14ac:dyDescent="0.3">
      <c r="A52" s="88" t="s">
        <v>992</v>
      </c>
      <c r="B52" s="99">
        <v>0</v>
      </c>
      <c r="C52" s="99">
        <v>0</v>
      </c>
      <c r="D52" s="99">
        <v>59049</v>
      </c>
      <c r="E52" s="99">
        <v>0</v>
      </c>
      <c r="F52" s="99">
        <v>0</v>
      </c>
      <c r="G52" s="99">
        <v>0</v>
      </c>
      <c r="H52" s="99">
        <v>59049</v>
      </c>
      <c r="I52" s="84"/>
      <c r="J52" s="84"/>
      <c r="K52" s="83"/>
      <c r="L52" s="83"/>
    </row>
    <row r="53" spans="1:12" customFormat="1" ht="15.75" customHeight="1" x14ac:dyDescent="0.3">
      <c r="A53" s="85" t="s">
        <v>993</v>
      </c>
      <c r="B53" s="98">
        <v>0</v>
      </c>
      <c r="C53" s="98">
        <v>126173</v>
      </c>
      <c r="D53" s="98">
        <v>257878.23499999999</v>
      </c>
      <c r="E53" s="98">
        <v>723144.6</v>
      </c>
      <c r="F53" s="98">
        <v>65428.777499999997</v>
      </c>
      <c r="G53" s="98">
        <v>0</v>
      </c>
      <c r="H53" s="98">
        <v>1172624.6125</v>
      </c>
      <c r="I53" s="84"/>
      <c r="J53" s="84"/>
      <c r="K53" s="83"/>
      <c r="L53" s="83"/>
    </row>
    <row r="54" spans="1:12" customFormat="1" ht="15.75" customHeight="1" x14ac:dyDescent="0.3">
      <c r="A54" s="88" t="s">
        <v>994</v>
      </c>
      <c r="B54" s="99">
        <v>0</v>
      </c>
      <c r="C54" s="99">
        <v>0</v>
      </c>
      <c r="D54" s="99">
        <v>0</v>
      </c>
      <c r="E54" s="99">
        <v>96883</v>
      </c>
      <c r="F54" s="99">
        <v>0</v>
      </c>
      <c r="G54" s="99">
        <v>0</v>
      </c>
      <c r="H54" s="99">
        <v>96883</v>
      </c>
      <c r="I54" s="84"/>
      <c r="J54" s="84"/>
      <c r="K54" s="83"/>
      <c r="L54" s="83"/>
    </row>
    <row r="55" spans="1:12" customFormat="1" ht="15.75" customHeight="1" x14ac:dyDescent="0.3">
      <c r="A55" s="88" t="s">
        <v>995</v>
      </c>
      <c r="B55" s="99">
        <v>0</v>
      </c>
      <c r="C55" s="99">
        <v>0</v>
      </c>
      <c r="D55" s="99">
        <v>0</v>
      </c>
      <c r="E55" s="99">
        <v>96810.75</v>
      </c>
      <c r="F55" s="99">
        <v>0</v>
      </c>
      <c r="G55" s="99">
        <v>0</v>
      </c>
      <c r="H55" s="99">
        <v>96810.75</v>
      </c>
      <c r="I55" s="84"/>
      <c r="J55" s="84"/>
      <c r="K55" s="83"/>
      <c r="L55" s="83"/>
    </row>
    <row r="56" spans="1:12" customFormat="1" ht="15.75" customHeight="1" x14ac:dyDescent="0.3">
      <c r="A56" s="88" t="s">
        <v>996</v>
      </c>
      <c r="B56" s="99">
        <v>0</v>
      </c>
      <c r="C56" s="99">
        <v>0</v>
      </c>
      <c r="D56" s="99">
        <v>39500.415000000001</v>
      </c>
      <c r="E56" s="99">
        <v>0</v>
      </c>
      <c r="F56" s="99">
        <v>0</v>
      </c>
      <c r="G56" s="99">
        <v>0</v>
      </c>
      <c r="H56" s="99">
        <v>39500.415000000001</v>
      </c>
      <c r="I56" s="84"/>
      <c r="J56" s="84"/>
      <c r="K56" s="83"/>
      <c r="L56" s="83"/>
    </row>
    <row r="57" spans="1:12" customFormat="1" ht="15.75" customHeight="1" x14ac:dyDescent="0.3">
      <c r="A57" s="88" t="s">
        <v>997</v>
      </c>
      <c r="B57" s="99">
        <v>0</v>
      </c>
      <c r="C57" s="99">
        <v>0</v>
      </c>
      <c r="D57" s="99">
        <v>0</v>
      </c>
      <c r="E57" s="99">
        <v>112500</v>
      </c>
      <c r="F57" s="99">
        <v>0</v>
      </c>
      <c r="G57" s="99">
        <v>0</v>
      </c>
      <c r="H57" s="99">
        <v>112500</v>
      </c>
      <c r="I57" s="84"/>
      <c r="J57" s="84"/>
      <c r="K57" s="83"/>
      <c r="L57" s="83"/>
    </row>
    <row r="58" spans="1:12" customFormat="1" ht="15.75" customHeight="1" x14ac:dyDescent="0.3">
      <c r="A58" s="88" t="s">
        <v>998</v>
      </c>
      <c r="B58" s="99">
        <v>0</v>
      </c>
      <c r="C58" s="99">
        <v>0</v>
      </c>
      <c r="D58" s="99">
        <v>47775</v>
      </c>
      <c r="E58" s="99">
        <v>0</v>
      </c>
      <c r="F58" s="99">
        <v>0</v>
      </c>
      <c r="G58" s="99">
        <v>0</v>
      </c>
      <c r="H58" s="99">
        <v>47775</v>
      </c>
      <c r="I58" s="84"/>
      <c r="J58" s="84"/>
      <c r="K58" s="83"/>
      <c r="L58" s="83"/>
    </row>
    <row r="59" spans="1:12" s="100" customFormat="1" ht="15.75" customHeight="1" x14ac:dyDescent="0.3">
      <c r="A59" s="88" t="s">
        <v>999</v>
      </c>
      <c r="B59" s="99">
        <v>0</v>
      </c>
      <c r="C59" s="99">
        <v>0</v>
      </c>
      <c r="D59" s="99">
        <v>67213.820000000007</v>
      </c>
      <c r="E59" s="99">
        <v>37966.5</v>
      </c>
      <c r="F59" s="99">
        <v>0</v>
      </c>
      <c r="G59" s="99">
        <v>0</v>
      </c>
      <c r="H59" s="99">
        <v>105180.32</v>
      </c>
      <c r="I59" s="84"/>
      <c r="J59" s="84"/>
      <c r="K59" s="95"/>
      <c r="L59" s="95"/>
    </row>
    <row r="60" spans="1:12" customFormat="1" ht="15.75" customHeight="1" x14ac:dyDescent="0.3">
      <c r="A60" s="88" t="s">
        <v>1000</v>
      </c>
      <c r="B60" s="99">
        <v>0</v>
      </c>
      <c r="C60" s="99">
        <v>23336</v>
      </c>
      <c r="D60" s="99">
        <v>0</v>
      </c>
      <c r="E60" s="99">
        <v>0</v>
      </c>
      <c r="F60" s="99">
        <v>0</v>
      </c>
      <c r="G60" s="99">
        <v>0</v>
      </c>
      <c r="H60" s="99">
        <v>23336</v>
      </c>
      <c r="I60" s="84"/>
      <c r="J60" s="84"/>
      <c r="K60" s="83"/>
      <c r="L60" s="83"/>
    </row>
    <row r="61" spans="1:12" customFormat="1" ht="15.75" customHeight="1" x14ac:dyDescent="0.3">
      <c r="A61" s="88" t="s">
        <v>501</v>
      </c>
      <c r="B61" s="99">
        <v>0</v>
      </c>
      <c r="C61" s="99">
        <v>0</v>
      </c>
      <c r="D61" s="99">
        <v>103389</v>
      </c>
      <c r="E61" s="99">
        <v>0</v>
      </c>
      <c r="F61" s="99">
        <v>0</v>
      </c>
      <c r="G61" s="99">
        <v>0</v>
      </c>
      <c r="H61" s="99">
        <v>103389</v>
      </c>
      <c r="I61" s="84"/>
      <c r="J61" s="84"/>
      <c r="K61" s="83"/>
      <c r="L61" s="83"/>
    </row>
    <row r="62" spans="1:12" customFormat="1" ht="15.75" customHeight="1" x14ac:dyDescent="0.3">
      <c r="A62" s="88" t="s">
        <v>1001</v>
      </c>
      <c r="B62" s="99">
        <v>0</v>
      </c>
      <c r="C62" s="99">
        <v>61067</v>
      </c>
      <c r="D62" s="99">
        <v>0</v>
      </c>
      <c r="E62" s="99">
        <v>0</v>
      </c>
      <c r="F62" s="99">
        <v>0</v>
      </c>
      <c r="G62" s="99">
        <v>0</v>
      </c>
      <c r="H62" s="99">
        <v>61067</v>
      </c>
      <c r="I62" s="84"/>
      <c r="J62" s="84"/>
      <c r="K62" s="83"/>
      <c r="L62" s="83"/>
    </row>
    <row r="63" spans="1:12" customFormat="1" ht="15.75" customHeight="1" x14ac:dyDescent="0.3">
      <c r="A63" s="88" t="s">
        <v>1002</v>
      </c>
      <c r="B63" s="99">
        <v>0</v>
      </c>
      <c r="C63" s="99">
        <v>0</v>
      </c>
      <c r="D63" s="99">
        <v>0</v>
      </c>
      <c r="E63" s="99">
        <v>44148.69</v>
      </c>
      <c r="F63" s="99">
        <v>0</v>
      </c>
      <c r="G63" s="99">
        <v>0</v>
      </c>
      <c r="H63" s="99">
        <v>44148.69</v>
      </c>
      <c r="I63" s="84"/>
      <c r="J63" s="84"/>
      <c r="K63" s="83"/>
      <c r="L63" s="83"/>
    </row>
    <row r="64" spans="1:12" customFormat="1" ht="15.75" customHeight="1" x14ac:dyDescent="0.3">
      <c r="A64" s="88" t="s">
        <v>1003</v>
      </c>
      <c r="B64" s="99">
        <v>0</v>
      </c>
      <c r="C64" s="99">
        <v>0</v>
      </c>
      <c r="D64" s="99">
        <v>0</v>
      </c>
      <c r="E64" s="99">
        <v>80176.5</v>
      </c>
      <c r="F64" s="99">
        <v>0</v>
      </c>
      <c r="G64" s="99">
        <v>0</v>
      </c>
      <c r="H64" s="99">
        <v>80176.5</v>
      </c>
      <c r="I64" s="84"/>
      <c r="J64" s="84"/>
      <c r="K64" s="83"/>
      <c r="L64" s="83"/>
    </row>
    <row r="65" spans="1:12" customFormat="1" ht="15.75" customHeight="1" x14ac:dyDescent="0.3">
      <c r="A65" s="88" t="s">
        <v>1004</v>
      </c>
      <c r="B65" s="99">
        <v>0</v>
      </c>
      <c r="C65" s="99">
        <v>0</v>
      </c>
      <c r="D65" s="99">
        <v>0</v>
      </c>
      <c r="E65" s="99">
        <v>102375</v>
      </c>
      <c r="F65" s="99">
        <v>0</v>
      </c>
      <c r="G65" s="99">
        <v>0</v>
      </c>
      <c r="H65" s="99">
        <v>102375</v>
      </c>
      <c r="I65" s="84"/>
      <c r="J65" s="84"/>
      <c r="K65" s="83"/>
      <c r="L65" s="83"/>
    </row>
    <row r="66" spans="1:12" customFormat="1" ht="15.75" customHeight="1" x14ac:dyDescent="0.3">
      <c r="A66" s="88" t="s">
        <v>1005</v>
      </c>
      <c r="B66" s="99">
        <v>0</v>
      </c>
      <c r="C66" s="99">
        <v>0</v>
      </c>
      <c r="D66" s="99">
        <v>0</v>
      </c>
      <c r="E66" s="99">
        <v>104000</v>
      </c>
      <c r="F66" s="99">
        <v>0</v>
      </c>
      <c r="G66" s="99">
        <v>0</v>
      </c>
      <c r="H66" s="99">
        <v>104000</v>
      </c>
      <c r="I66" s="84"/>
      <c r="J66" s="84"/>
      <c r="K66" s="83"/>
      <c r="L66" s="83"/>
    </row>
    <row r="67" spans="1:12" customFormat="1" ht="15.75" customHeight="1" x14ac:dyDescent="0.3">
      <c r="A67" s="88" t="s">
        <v>1006</v>
      </c>
      <c r="B67" s="99">
        <v>0</v>
      </c>
      <c r="C67" s="99">
        <v>7327</v>
      </c>
      <c r="D67" s="99">
        <v>0</v>
      </c>
      <c r="E67" s="99">
        <v>0</v>
      </c>
      <c r="F67" s="99">
        <v>0</v>
      </c>
      <c r="G67" s="99">
        <v>0</v>
      </c>
      <c r="H67" s="99">
        <v>7327</v>
      </c>
      <c r="I67" s="84"/>
      <c r="J67" s="84"/>
      <c r="K67" s="83"/>
      <c r="L67" s="83"/>
    </row>
    <row r="68" spans="1:12" customFormat="1" ht="15.75" customHeight="1" x14ac:dyDescent="0.3">
      <c r="A68" s="88" t="s">
        <v>1007</v>
      </c>
      <c r="B68" s="99">
        <v>0</v>
      </c>
      <c r="C68" s="99">
        <v>34443</v>
      </c>
      <c r="D68" s="99">
        <v>0</v>
      </c>
      <c r="E68" s="99">
        <v>48284.160000000003</v>
      </c>
      <c r="F68" s="99">
        <v>65428.777499999997</v>
      </c>
      <c r="G68" s="99">
        <v>0</v>
      </c>
      <c r="H68" s="99">
        <v>148155.9375</v>
      </c>
      <c r="I68" s="84"/>
      <c r="J68" s="84"/>
      <c r="K68" s="83"/>
      <c r="L68" s="83"/>
    </row>
    <row r="69" spans="1:12" customFormat="1" ht="15.75" customHeight="1" x14ac:dyDescent="0.3">
      <c r="A69" s="85" t="s">
        <v>1008</v>
      </c>
      <c r="B69" s="98">
        <v>40725.375</v>
      </c>
      <c r="C69" s="98">
        <v>179410.25</v>
      </c>
      <c r="D69" s="98">
        <v>875273.0625</v>
      </c>
      <c r="E69" s="98">
        <v>1435446.2275</v>
      </c>
      <c r="F69" s="98">
        <v>284599.5</v>
      </c>
      <c r="G69" s="98">
        <v>0</v>
      </c>
      <c r="H69" s="98">
        <v>2815454.415</v>
      </c>
      <c r="I69" s="84"/>
      <c r="J69" s="84"/>
      <c r="K69" s="83"/>
      <c r="L69" s="83"/>
    </row>
    <row r="70" spans="1:12" customFormat="1" ht="15.75" customHeight="1" x14ac:dyDescent="0.3">
      <c r="A70" s="88" t="s">
        <v>525</v>
      </c>
      <c r="B70" s="99">
        <v>0</v>
      </c>
      <c r="C70" s="99">
        <v>0</v>
      </c>
      <c r="D70" s="99">
        <v>0</v>
      </c>
      <c r="E70" s="99">
        <v>97434.75</v>
      </c>
      <c r="F70" s="99">
        <v>0</v>
      </c>
      <c r="G70" s="99">
        <v>0</v>
      </c>
      <c r="H70" s="99">
        <v>97434.75</v>
      </c>
      <c r="I70" s="84"/>
      <c r="J70" s="84"/>
      <c r="K70" s="83"/>
      <c r="L70" s="83"/>
    </row>
    <row r="71" spans="1:12" customFormat="1" ht="15.75" customHeight="1" x14ac:dyDescent="0.3">
      <c r="A71" s="88" t="s">
        <v>1009</v>
      </c>
      <c r="B71" s="99">
        <v>0</v>
      </c>
      <c r="C71" s="99">
        <v>80279.25</v>
      </c>
      <c r="D71" s="99">
        <v>0</v>
      </c>
      <c r="E71" s="99">
        <v>124958</v>
      </c>
      <c r="F71" s="99">
        <v>0</v>
      </c>
      <c r="G71" s="99">
        <v>0</v>
      </c>
      <c r="H71" s="99">
        <v>205237.25</v>
      </c>
      <c r="I71" s="84"/>
      <c r="J71" s="84"/>
      <c r="K71" s="83"/>
      <c r="L71" s="83"/>
    </row>
    <row r="72" spans="1:12" customFormat="1" ht="15.75" customHeight="1" x14ac:dyDescent="0.3">
      <c r="A72" s="88" t="s">
        <v>1010</v>
      </c>
      <c r="B72" s="99">
        <v>0</v>
      </c>
      <c r="C72" s="99">
        <v>0</v>
      </c>
      <c r="D72" s="99">
        <v>145878.75</v>
      </c>
      <c r="E72" s="99">
        <v>145878.75</v>
      </c>
      <c r="F72" s="99">
        <v>0</v>
      </c>
      <c r="G72" s="99">
        <v>0</v>
      </c>
      <c r="H72" s="99">
        <v>291757.5</v>
      </c>
      <c r="I72" s="84"/>
      <c r="J72" s="84"/>
      <c r="K72" s="83"/>
      <c r="L72" s="83"/>
    </row>
    <row r="73" spans="1:12" customFormat="1" ht="15.75" customHeight="1" x14ac:dyDescent="0.3">
      <c r="A73" s="88" t="s">
        <v>1011</v>
      </c>
      <c r="B73" s="99">
        <v>0</v>
      </c>
      <c r="C73" s="99">
        <v>0</v>
      </c>
      <c r="D73" s="99">
        <v>70925</v>
      </c>
      <c r="E73" s="102">
        <v>0</v>
      </c>
      <c r="F73" s="99">
        <v>0</v>
      </c>
      <c r="G73" s="99">
        <v>0</v>
      </c>
      <c r="H73" s="99">
        <v>70925</v>
      </c>
      <c r="I73" s="84"/>
      <c r="J73" s="84"/>
      <c r="K73" s="83"/>
      <c r="L73" s="83"/>
    </row>
    <row r="74" spans="1:12" customFormat="1" ht="15.75" customHeight="1" x14ac:dyDescent="0.3">
      <c r="A74" s="88" t="s">
        <v>1012</v>
      </c>
      <c r="B74" s="99">
        <v>0</v>
      </c>
      <c r="C74" s="99">
        <v>0</v>
      </c>
      <c r="D74" s="99">
        <v>0</v>
      </c>
      <c r="E74" s="99">
        <v>43380</v>
      </c>
      <c r="F74" s="99">
        <v>0</v>
      </c>
      <c r="G74" s="99">
        <v>0</v>
      </c>
      <c r="H74" s="99">
        <v>43380</v>
      </c>
      <c r="I74" s="84"/>
      <c r="J74" s="84"/>
      <c r="K74" s="83"/>
      <c r="L74" s="83"/>
    </row>
    <row r="75" spans="1:12" s="100" customFormat="1" ht="15.75" customHeight="1" x14ac:dyDescent="0.3">
      <c r="A75" s="88" t="s">
        <v>1013</v>
      </c>
      <c r="B75" s="99">
        <v>0</v>
      </c>
      <c r="C75" s="99">
        <v>0</v>
      </c>
      <c r="D75" s="99">
        <v>112306.5</v>
      </c>
      <c r="E75" s="99">
        <v>214868</v>
      </c>
      <c r="F75" s="99">
        <v>75000</v>
      </c>
      <c r="G75" s="99">
        <v>0</v>
      </c>
      <c r="H75" s="99">
        <v>402174.5</v>
      </c>
      <c r="I75" s="84"/>
      <c r="J75" s="84"/>
      <c r="K75" s="95"/>
      <c r="L75" s="95"/>
    </row>
    <row r="76" spans="1:12" customFormat="1" ht="15.75" customHeight="1" x14ac:dyDescent="0.3">
      <c r="A76" s="88" t="s">
        <v>1014</v>
      </c>
      <c r="B76" s="99">
        <v>0</v>
      </c>
      <c r="C76" s="99">
        <v>0</v>
      </c>
      <c r="D76" s="99">
        <v>69985.25</v>
      </c>
      <c r="E76" s="99">
        <v>0</v>
      </c>
      <c r="F76" s="99">
        <v>0</v>
      </c>
      <c r="G76" s="99">
        <v>0</v>
      </c>
      <c r="H76" s="99">
        <v>69985.25</v>
      </c>
      <c r="I76" s="84"/>
      <c r="J76" s="84"/>
      <c r="K76" s="83"/>
      <c r="L76" s="83"/>
    </row>
    <row r="77" spans="1:12" customFormat="1" ht="15.75" customHeight="1" x14ac:dyDescent="0.3">
      <c r="A77" s="88" t="s">
        <v>1015</v>
      </c>
      <c r="B77" s="99">
        <v>0</v>
      </c>
      <c r="C77" s="99">
        <v>0</v>
      </c>
      <c r="D77" s="99">
        <v>0</v>
      </c>
      <c r="E77" s="99">
        <v>186188.85750000001</v>
      </c>
      <c r="F77" s="99">
        <v>0</v>
      </c>
      <c r="G77" s="99">
        <v>0</v>
      </c>
      <c r="H77" s="99">
        <v>186188.85750000001</v>
      </c>
      <c r="I77" s="84"/>
      <c r="J77" s="84"/>
      <c r="K77" s="83"/>
      <c r="L77" s="83"/>
    </row>
    <row r="78" spans="1:12" customFormat="1" ht="15.75" customHeight="1" x14ac:dyDescent="0.3">
      <c r="A78" s="88" t="s">
        <v>1016</v>
      </c>
      <c r="B78" s="99">
        <v>0</v>
      </c>
      <c r="C78" s="99">
        <v>0</v>
      </c>
      <c r="D78" s="99">
        <v>27000</v>
      </c>
      <c r="E78" s="99">
        <v>0</v>
      </c>
      <c r="F78" s="99">
        <v>0</v>
      </c>
      <c r="G78" s="99">
        <v>0</v>
      </c>
      <c r="H78" s="99">
        <v>27000</v>
      </c>
      <c r="I78" s="84"/>
      <c r="J78" s="84"/>
      <c r="K78" s="83"/>
      <c r="L78" s="83"/>
    </row>
    <row r="79" spans="1:12" customFormat="1" ht="15.75" customHeight="1" x14ac:dyDescent="0.3">
      <c r="A79" s="88" t="s">
        <v>1017</v>
      </c>
      <c r="B79" s="99">
        <v>0</v>
      </c>
      <c r="C79" s="99">
        <v>0</v>
      </c>
      <c r="D79" s="99">
        <v>154230.5625</v>
      </c>
      <c r="E79" s="99">
        <v>0</v>
      </c>
      <c r="F79" s="99">
        <v>0</v>
      </c>
      <c r="G79" s="99">
        <v>0</v>
      </c>
      <c r="H79" s="99">
        <v>154230.5625</v>
      </c>
      <c r="I79" s="84"/>
      <c r="J79" s="84"/>
      <c r="K79" s="83"/>
      <c r="L79" s="83"/>
    </row>
    <row r="80" spans="1:12" customFormat="1" ht="15.75" customHeight="1" x14ac:dyDescent="0.3">
      <c r="A80" s="88" t="s">
        <v>1018</v>
      </c>
      <c r="B80" s="99">
        <v>0</v>
      </c>
      <c r="C80" s="99">
        <v>0</v>
      </c>
      <c r="D80" s="99">
        <v>0</v>
      </c>
      <c r="E80" s="99">
        <v>318237.87</v>
      </c>
      <c r="F80" s="99">
        <v>0</v>
      </c>
      <c r="G80" s="99">
        <v>0</v>
      </c>
      <c r="H80" s="99">
        <v>318237.87</v>
      </c>
      <c r="I80" s="84"/>
      <c r="J80" s="84"/>
      <c r="K80" s="83"/>
      <c r="L80" s="83"/>
    </row>
    <row r="81" spans="1:1017 1025:2041 2049:3065 3073:4089 4097:5113 5121:6137 6145:7161 7169:8185 8193:9209 9217:10233 10241:11257 11265:12281 12289:13305 13313:14329 14337:15353 15361:16377" customFormat="1" ht="15.75" customHeight="1" x14ac:dyDescent="0.3">
      <c r="A81" s="88" t="s">
        <v>1019</v>
      </c>
      <c r="B81" s="99">
        <v>0</v>
      </c>
      <c r="C81" s="99">
        <v>99131</v>
      </c>
      <c r="D81" s="99">
        <v>0</v>
      </c>
      <c r="E81" s="99">
        <v>32130</v>
      </c>
      <c r="F81" s="99">
        <v>0</v>
      </c>
      <c r="G81" s="99">
        <v>0</v>
      </c>
      <c r="H81" s="99">
        <v>131261</v>
      </c>
      <c r="I81" s="84"/>
      <c r="J81" s="84"/>
      <c r="K81" s="83"/>
      <c r="L81" s="83"/>
    </row>
    <row r="82" spans="1:1017 1025:2041 2049:3065 3073:4089 4097:5113 5121:6137 6145:7161 7169:8185 8193:9209 9217:10233 10241:11257 11265:12281 12289:13305 13313:14329 14337:15353 15361:16377" customFormat="1" ht="15.75" customHeight="1" x14ac:dyDescent="0.3">
      <c r="A82" s="88" t="s">
        <v>1020</v>
      </c>
      <c r="B82" s="99">
        <v>0</v>
      </c>
      <c r="C82" s="99">
        <v>0</v>
      </c>
      <c r="D82" s="99">
        <v>294947</v>
      </c>
      <c r="E82" s="99">
        <v>0</v>
      </c>
      <c r="F82" s="99">
        <v>0</v>
      </c>
      <c r="G82" s="99">
        <v>0</v>
      </c>
      <c r="H82" s="99">
        <v>294947</v>
      </c>
      <c r="I82" s="84"/>
      <c r="J82" s="84"/>
      <c r="K82" s="83"/>
      <c r="L82" s="103"/>
    </row>
    <row r="83" spans="1:1017 1025:2041 2049:3065 3073:4089 4097:5113 5121:6137 6145:7161 7169:8185 8193:9209 9217:10233 10241:11257 11265:12281 12289:13305 13313:14329 14337:15353 15361:16377" customFormat="1" ht="15.75" customHeight="1" x14ac:dyDescent="0.3">
      <c r="A83" s="88" t="s">
        <v>1021</v>
      </c>
      <c r="B83" s="99">
        <v>0</v>
      </c>
      <c r="C83" s="99">
        <v>0</v>
      </c>
      <c r="D83" s="99">
        <v>0</v>
      </c>
      <c r="E83" s="99">
        <v>107587.5</v>
      </c>
      <c r="F83" s="99">
        <v>0</v>
      </c>
      <c r="G83" s="99">
        <v>0</v>
      </c>
      <c r="H83" s="99">
        <v>107587.5</v>
      </c>
      <c r="I83" s="84"/>
      <c r="J83" s="84"/>
      <c r="K83" s="83"/>
      <c r="L83" s="103"/>
    </row>
    <row r="84" spans="1:1017 1025:2041 2049:3065 3073:4089 4097:5113 5121:6137 6145:7161 7169:8185 8193:9209 9217:10233 10241:11257 11265:12281 12289:13305 13313:14329 14337:15353 15361:16377" customFormat="1" ht="15.75" customHeight="1" x14ac:dyDescent="0.3">
      <c r="A84" s="88" t="s">
        <v>1022</v>
      </c>
      <c r="B84" s="99">
        <v>40725.375</v>
      </c>
      <c r="C84" s="99">
        <v>0</v>
      </c>
      <c r="D84" s="99">
        <v>0</v>
      </c>
      <c r="E84" s="99">
        <v>164782.5</v>
      </c>
      <c r="F84" s="99">
        <v>209599.5</v>
      </c>
      <c r="G84" s="99">
        <v>0</v>
      </c>
      <c r="H84" s="99">
        <v>415107.375</v>
      </c>
      <c r="I84" s="84"/>
      <c r="J84" s="84"/>
      <c r="K84" s="83"/>
      <c r="L84" s="103"/>
    </row>
    <row r="85" spans="1:1017 1025:2041 2049:3065 3073:4089 4097:5113 5121:6137 6145:7161 7169:8185 8193:9209 9217:10233 10241:11257 11265:12281 12289:13305 13313:14329 14337:15353 15361:16377" customFormat="1" ht="15.75" customHeight="1" x14ac:dyDescent="0.3">
      <c r="A85" s="85" t="s">
        <v>1023</v>
      </c>
      <c r="B85" s="98">
        <v>0</v>
      </c>
      <c r="C85" s="98">
        <v>176520.29</v>
      </c>
      <c r="D85" s="98">
        <v>886247.03</v>
      </c>
      <c r="E85" s="98">
        <v>578317.25</v>
      </c>
      <c r="F85" s="98">
        <v>1286671.2124999999</v>
      </c>
      <c r="G85" s="98">
        <v>17025.75</v>
      </c>
      <c r="H85" s="98">
        <v>2944781.5325000002</v>
      </c>
      <c r="I85" s="84"/>
      <c r="J85" s="84"/>
      <c r="K85" s="83"/>
      <c r="L85" s="103"/>
    </row>
    <row r="86" spans="1:1017 1025:2041 2049:3065 3073:4089 4097:5113 5121:6137 6145:7161 7169:8185 8193:9209 9217:10233 10241:11257 11265:12281 12289:13305 13313:14329 14337:15353 15361:16377" customFormat="1" ht="15.75" customHeight="1" x14ac:dyDescent="0.3">
      <c r="A86" s="88" t="s">
        <v>1024</v>
      </c>
      <c r="B86" s="99">
        <v>0</v>
      </c>
      <c r="C86" s="99">
        <v>0</v>
      </c>
      <c r="D86" s="99">
        <v>0</v>
      </c>
      <c r="E86" s="99">
        <v>22500</v>
      </c>
      <c r="F86" s="99">
        <v>0</v>
      </c>
      <c r="G86" s="99">
        <v>0</v>
      </c>
      <c r="H86" s="99">
        <v>22500</v>
      </c>
      <c r="I86" s="84"/>
      <c r="J86" s="84"/>
      <c r="K86" s="83"/>
      <c r="L86" s="103"/>
    </row>
    <row r="87" spans="1:1017 1025:2041 2049:3065 3073:4089 4097:5113 5121:6137 6145:7161 7169:8185 8193:9209 9217:10233 10241:11257 11265:12281 12289:13305 13313:14329 14337:15353 15361:16377" customFormat="1" ht="15.75" customHeight="1" x14ac:dyDescent="0.3">
      <c r="A87" s="88" t="s">
        <v>1025</v>
      </c>
      <c r="B87" s="99">
        <v>0</v>
      </c>
      <c r="C87" s="99">
        <v>0</v>
      </c>
      <c r="D87" s="99">
        <v>0</v>
      </c>
      <c r="E87" s="99">
        <v>0</v>
      </c>
      <c r="F87" s="99">
        <v>0</v>
      </c>
      <c r="G87" s="99">
        <v>17025.75</v>
      </c>
      <c r="H87" s="99">
        <v>17025.75</v>
      </c>
      <c r="I87" s="84"/>
      <c r="J87" s="84"/>
      <c r="K87" s="83"/>
      <c r="L87" s="103"/>
    </row>
    <row r="88" spans="1:1017 1025:2041 2049:3065 3073:4089 4097:5113 5121:6137 6145:7161 7169:8185 8193:9209 9217:10233 10241:11257 11265:12281 12289:13305 13313:14329 14337:15353 15361:16377" s="100" customFormat="1" ht="15.75" customHeight="1" x14ac:dyDescent="0.3">
      <c r="A88" s="88" t="s">
        <v>1026</v>
      </c>
      <c r="B88" s="99">
        <v>0</v>
      </c>
      <c r="C88" s="99">
        <v>0</v>
      </c>
      <c r="D88" s="99">
        <v>337000</v>
      </c>
      <c r="E88" s="99">
        <v>81630</v>
      </c>
      <c r="F88" s="99">
        <v>0</v>
      </c>
      <c r="G88" s="99">
        <v>0</v>
      </c>
      <c r="H88" s="99">
        <v>418630</v>
      </c>
      <c r="I88" s="84"/>
      <c r="J88" s="84"/>
      <c r="K88" s="95"/>
      <c r="L88" s="104"/>
    </row>
    <row r="89" spans="1:1017 1025:2041 2049:3065 3073:4089 4097:5113 5121:6137 6145:7161 7169:8185 8193:9209 9217:10233 10241:11257 11265:12281 12289:13305 13313:14329 14337:15353 15361:16377" customFormat="1" ht="15.75" customHeight="1" x14ac:dyDescent="0.3">
      <c r="A89" s="88" t="s">
        <v>1027</v>
      </c>
      <c r="B89" s="99">
        <v>0</v>
      </c>
      <c r="C89" s="99">
        <v>35288</v>
      </c>
      <c r="D89" s="99">
        <v>0</v>
      </c>
      <c r="E89" s="99">
        <v>107858.25</v>
      </c>
      <c r="F89" s="99">
        <v>0</v>
      </c>
      <c r="G89" s="99">
        <v>0</v>
      </c>
      <c r="H89" s="99">
        <v>143146.25</v>
      </c>
      <c r="I89" s="84"/>
      <c r="J89" s="84"/>
      <c r="K89" s="83"/>
      <c r="L89" s="103"/>
    </row>
    <row r="90" spans="1:1017 1025:2041 2049:3065 3073:4089 4097:5113 5121:6137 6145:7161 7169:8185 8193:9209 9217:10233 10241:11257 11265:12281 12289:13305 13313:14329 14337:15353 15361:16377" customFormat="1" ht="15.75" customHeight="1" x14ac:dyDescent="0.3">
      <c r="A90" s="88" t="s">
        <v>1028</v>
      </c>
      <c r="B90" s="99">
        <v>0</v>
      </c>
      <c r="C90" s="99">
        <v>0</v>
      </c>
      <c r="D90" s="99">
        <v>53165.25</v>
      </c>
      <c r="E90" s="99">
        <v>0</v>
      </c>
      <c r="F90" s="99">
        <v>0</v>
      </c>
      <c r="G90" s="99">
        <v>0</v>
      </c>
      <c r="H90" s="99">
        <v>53165.25</v>
      </c>
      <c r="I90" s="84"/>
      <c r="J90" s="84"/>
      <c r="K90" s="83"/>
      <c r="L90" s="83"/>
    </row>
    <row r="91" spans="1:1017 1025:2041 2049:3065 3073:4089 4097:5113 5121:6137 6145:7161 7169:8185 8193:9209 9217:10233 10241:11257 11265:12281 12289:13305 13313:14329 14337:15353 15361:16377" customFormat="1" ht="15.75" customHeight="1" x14ac:dyDescent="0.3">
      <c r="A91" s="88" t="s">
        <v>1029</v>
      </c>
      <c r="B91" s="99">
        <v>0</v>
      </c>
      <c r="C91" s="99">
        <v>0</v>
      </c>
      <c r="D91" s="99">
        <v>60000</v>
      </c>
      <c r="E91" s="99">
        <v>0</v>
      </c>
      <c r="F91" s="99">
        <v>0</v>
      </c>
      <c r="G91" s="99">
        <v>0</v>
      </c>
      <c r="H91" s="99">
        <v>60000</v>
      </c>
      <c r="I91" s="84"/>
      <c r="J91" s="84"/>
      <c r="K91" s="83"/>
      <c r="L91" s="83"/>
    </row>
    <row r="92" spans="1:1017 1025:2041 2049:3065 3073:4089 4097:5113 5121:6137 6145:7161 7169:8185 8193:9209 9217:10233 10241:11257 11265:12281 12289:13305 13313:14329 14337:15353 15361:16377" customFormat="1" ht="15.75" customHeight="1" x14ac:dyDescent="0.3">
      <c r="A92" s="88" t="s">
        <v>1030</v>
      </c>
      <c r="B92" s="99">
        <v>0</v>
      </c>
      <c r="C92" s="99">
        <v>16251</v>
      </c>
      <c r="D92" s="99">
        <v>0</v>
      </c>
      <c r="E92" s="99">
        <v>0</v>
      </c>
      <c r="F92" s="99">
        <v>0</v>
      </c>
      <c r="G92" s="99">
        <v>0</v>
      </c>
      <c r="H92" s="99">
        <v>16251</v>
      </c>
      <c r="I92" s="84"/>
      <c r="J92" s="84"/>
      <c r="K92" s="83"/>
      <c r="L92" s="83"/>
    </row>
    <row r="93" spans="1:1017 1025:2041 2049:3065 3073:4089 4097:5113 5121:6137 6145:7161 7169:8185 8193:9209 9217:10233 10241:11257 11265:12281 12289:13305 13313:14329 14337:15353 15361:16377" s="100" customFormat="1" ht="15.75" customHeight="1" x14ac:dyDescent="0.3">
      <c r="A93" s="88" t="s">
        <v>1031</v>
      </c>
      <c r="B93" s="99">
        <v>0</v>
      </c>
      <c r="C93" s="99">
        <v>0</v>
      </c>
      <c r="D93" s="99">
        <v>0</v>
      </c>
      <c r="E93" s="99">
        <v>242155</v>
      </c>
      <c r="F93" s="99">
        <v>0</v>
      </c>
      <c r="G93" s="99">
        <v>0</v>
      </c>
      <c r="H93" s="99">
        <v>242155</v>
      </c>
      <c r="I93" s="84"/>
      <c r="J93" s="84"/>
      <c r="K93" s="95"/>
      <c r="L93" s="104"/>
    </row>
    <row r="94" spans="1:1017 1025:2041 2049:3065 3073:4089 4097:5113 5121:6137 6145:7161 7169:8185 8193:9209 9217:10233 10241:11257 11265:12281 12289:13305 13313:14329 14337:15353 15361:16377" customFormat="1" ht="15.75" customHeight="1" x14ac:dyDescent="0.3">
      <c r="A94" s="88" t="s">
        <v>1032</v>
      </c>
      <c r="B94" s="99">
        <v>0</v>
      </c>
      <c r="C94" s="99">
        <v>0</v>
      </c>
      <c r="D94" s="99">
        <v>0</v>
      </c>
      <c r="E94" s="99">
        <v>0</v>
      </c>
      <c r="F94" s="99">
        <v>107764.965</v>
      </c>
      <c r="G94" s="99">
        <v>0</v>
      </c>
      <c r="H94" s="99">
        <v>107764.965</v>
      </c>
      <c r="I94" s="84"/>
      <c r="J94" s="84"/>
      <c r="K94" s="83"/>
      <c r="L94" s="103"/>
    </row>
    <row r="95" spans="1:1017 1025:2041 2049:3065 3073:4089 4097:5113 5121:6137 6145:7161 7169:8185 8193:9209 9217:10233 10241:11257 11265:12281 12289:13305 13313:14329 14337:15353 15361:16377" customFormat="1" ht="15.75" customHeight="1" x14ac:dyDescent="0.3">
      <c r="A95" s="88" t="s">
        <v>1033</v>
      </c>
      <c r="B95" s="99">
        <v>0</v>
      </c>
      <c r="C95" s="99">
        <v>0</v>
      </c>
      <c r="D95" s="99">
        <v>0</v>
      </c>
      <c r="E95" s="99">
        <v>124174</v>
      </c>
      <c r="F95" s="99">
        <v>0</v>
      </c>
      <c r="G95" s="99">
        <v>0</v>
      </c>
      <c r="H95" s="99">
        <v>124174</v>
      </c>
      <c r="I95" s="84"/>
      <c r="J95" s="84"/>
      <c r="K95" s="83"/>
      <c r="L95" s="103"/>
    </row>
    <row r="96" spans="1:1017 1025:2041 2049:3065 3073:4089 4097:5113 5121:6137 6145:7161 7169:8185 8193:9209 9217:10233 10241:11257 11265:12281 12289:13305 13313:14329 14337:15353 15361:16377" s="99" customFormat="1" ht="15.75" customHeight="1" x14ac:dyDescent="0.25">
      <c r="A96" s="88" t="s">
        <v>1034</v>
      </c>
      <c r="B96" s="99">
        <v>0</v>
      </c>
      <c r="C96" s="99">
        <v>0</v>
      </c>
      <c r="D96" s="99">
        <v>0</v>
      </c>
      <c r="E96" s="99">
        <v>0</v>
      </c>
      <c r="F96" s="99">
        <v>85418</v>
      </c>
      <c r="G96" s="99">
        <v>0</v>
      </c>
      <c r="H96" s="99">
        <v>85418</v>
      </c>
      <c r="I96" s="88"/>
      <c r="Q96" s="88"/>
      <c r="Y96" s="88"/>
      <c r="AG96" s="88"/>
      <c r="AO96" s="88"/>
      <c r="AW96" s="88"/>
      <c r="BE96" s="88"/>
      <c r="BM96" s="88"/>
      <c r="BU96" s="88"/>
      <c r="CC96" s="88"/>
      <c r="CK96" s="88"/>
      <c r="CS96" s="88"/>
      <c r="DA96" s="88"/>
      <c r="DI96" s="88"/>
      <c r="DQ96" s="88"/>
      <c r="DY96" s="88"/>
      <c r="EG96" s="88"/>
      <c r="EO96" s="88"/>
      <c r="EW96" s="88"/>
      <c r="FE96" s="88"/>
      <c r="FM96" s="88"/>
      <c r="FU96" s="88"/>
      <c r="GC96" s="88"/>
      <c r="GK96" s="88"/>
      <c r="GS96" s="88"/>
      <c r="HA96" s="88"/>
      <c r="HI96" s="88"/>
      <c r="HQ96" s="88"/>
      <c r="HY96" s="88"/>
      <c r="IG96" s="88"/>
      <c r="IO96" s="88"/>
      <c r="IW96" s="88"/>
      <c r="JE96" s="88"/>
      <c r="JM96" s="88"/>
      <c r="JU96" s="88"/>
      <c r="KC96" s="88"/>
      <c r="KK96" s="88"/>
      <c r="KS96" s="88"/>
      <c r="LA96" s="88"/>
      <c r="LI96" s="88"/>
      <c r="LQ96" s="88"/>
      <c r="LY96" s="88"/>
      <c r="MG96" s="88"/>
      <c r="MO96" s="88"/>
      <c r="MW96" s="88"/>
      <c r="NE96" s="88"/>
      <c r="NM96" s="88"/>
      <c r="NU96" s="88"/>
      <c r="OC96" s="88"/>
      <c r="OK96" s="88"/>
      <c r="OS96" s="88"/>
      <c r="PA96" s="88"/>
      <c r="PI96" s="88"/>
      <c r="PQ96" s="88"/>
      <c r="PY96" s="88"/>
      <c r="QG96" s="88"/>
      <c r="QO96" s="88"/>
      <c r="QW96" s="88"/>
      <c r="RE96" s="88"/>
      <c r="RM96" s="88"/>
      <c r="RU96" s="88"/>
      <c r="SC96" s="88"/>
      <c r="SK96" s="88"/>
      <c r="SS96" s="88"/>
      <c r="TA96" s="88"/>
      <c r="TI96" s="88"/>
      <c r="TQ96" s="88"/>
      <c r="TY96" s="88"/>
      <c r="UG96" s="88"/>
      <c r="UO96" s="88"/>
      <c r="UW96" s="88"/>
      <c r="VE96" s="88"/>
      <c r="VM96" s="88"/>
      <c r="VU96" s="88"/>
      <c r="WC96" s="88"/>
      <c r="WK96" s="88"/>
      <c r="WS96" s="88"/>
      <c r="XA96" s="88"/>
      <c r="XI96" s="88"/>
      <c r="XQ96" s="88"/>
      <c r="XY96" s="88"/>
      <c r="YG96" s="88"/>
      <c r="YO96" s="88"/>
      <c r="YW96" s="88"/>
      <c r="ZE96" s="88"/>
      <c r="ZM96" s="88"/>
      <c r="ZU96" s="88"/>
      <c r="AAC96" s="88"/>
      <c r="AAK96" s="88"/>
      <c r="AAS96" s="88"/>
      <c r="ABA96" s="88"/>
      <c r="ABI96" s="88"/>
      <c r="ABQ96" s="88"/>
      <c r="ABY96" s="88"/>
      <c r="ACG96" s="88"/>
      <c r="ACO96" s="88"/>
      <c r="ACW96" s="88"/>
      <c r="ADE96" s="88"/>
      <c r="ADM96" s="88"/>
      <c r="ADU96" s="88"/>
      <c r="AEC96" s="88"/>
      <c r="AEK96" s="88"/>
      <c r="AES96" s="88"/>
      <c r="AFA96" s="88"/>
      <c r="AFI96" s="88"/>
      <c r="AFQ96" s="88"/>
      <c r="AFY96" s="88"/>
      <c r="AGG96" s="88"/>
      <c r="AGO96" s="88"/>
      <c r="AGW96" s="88"/>
      <c r="AHE96" s="88"/>
      <c r="AHM96" s="88"/>
      <c r="AHU96" s="88"/>
      <c r="AIC96" s="88"/>
      <c r="AIK96" s="88"/>
      <c r="AIS96" s="88"/>
      <c r="AJA96" s="88"/>
      <c r="AJI96" s="88"/>
      <c r="AJQ96" s="88"/>
      <c r="AJY96" s="88"/>
      <c r="AKG96" s="88"/>
      <c r="AKO96" s="88"/>
      <c r="AKW96" s="88"/>
      <c r="ALE96" s="88"/>
      <c r="ALM96" s="88"/>
      <c r="ALU96" s="88"/>
      <c r="AMC96" s="88"/>
      <c r="AMK96" s="88"/>
      <c r="AMS96" s="88"/>
      <c r="ANA96" s="88"/>
      <c r="ANI96" s="88"/>
      <c r="ANQ96" s="88"/>
      <c r="ANY96" s="88"/>
      <c r="AOG96" s="88"/>
      <c r="AOO96" s="88"/>
      <c r="AOW96" s="88"/>
      <c r="APE96" s="88"/>
      <c r="APM96" s="88"/>
      <c r="APU96" s="88"/>
      <c r="AQC96" s="88"/>
      <c r="AQK96" s="88"/>
      <c r="AQS96" s="88"/>
      <c r="ARA96" s="88"/>
      <c r="ARI96" s="88"/>
      <c r="ARQ96" s="88"/>
      <c r="ARY96" s="88"/>
      <c r="ASG96" s="88"/>
      <c r="ASO96" s="88"/>
      <c r="ASW96" s="88"/>
      <c r="ATE96" s="88"/>
      <c r="ATM96" s="88"/>
      <c r="ATU96" s="88"/>
      <c r="AUC96" s="88"/>
      <c r="AUK96" s="88"/>
      <c r="AUS96" s="88"/>
      <c r="AVA96" s="88"/>
      <c r="AVI96" s="88"/>
      <c r="AVQ96" s="88"/>
      <c r="AVY96" s="88"/>
      <c r="AWG96" s="88"/>
      <c r="AWO96" s="88"/>
      <c r="AWW96" s="88"/>
      <c r="AXE96" s="88"/>
      <c r="AXM96" s="88"/>
      <c r="AXU96" s="88"/>
      <c r="AYC96" s="88"/>
      <c r="AYK96" s="88"/>
      <c r="AYS96" s="88"/>
      <c r="AZA96" s="88"/>
      <c r="AZI96" s="88"/>
      <c r="AZQ96" s="88"/>
      <c r="AZY96" s="88"/>
      <c r="BAG96" s="88"/>
      <c r="BAO96" s="88"/>
      <c r="BAW96" s="88"/>
      <c r="BBE96" s="88"/>
      <c r="BBM96" s="88"/>
      <c r="BBU96" s="88"/>
      <c r="BCC96" s="88"/>
      <c r="BCK96" s="88"/>
      <c r="BCS96" s="88"/>
      <c r="BDA96" s="88"/>
      <c r="BDI96" s="88"/>
      <c r="BDQ96" s="88"/>
      <c r="BDY96" s="88"/>
      <c r="BEG96" s="88"/>
      <c r="BEO96" s="88"/>
      <c r="BEW96" s="88"/>
      <c r="BFE96" s="88"/>
      <c r="BFM96" s="88"/>
      <c r="BFU96" s="88"/>
      <c r="BGC96" s="88"/>
      <c r="BGK96" s="88"/>
      <c r="BGS96" s="88"/>
      <c r="BHA96" s="88"/>
      <c r="BHI96" s="88"/>
      <c r="BHQ96" s="88"/>
      <c r="BHY96" s="88"/>
      <c r="BIG96" s="88"/>
      <c r="BIO96" s="88"/>
      <c r="BIW96" s="88"/>
      <c r="BJE96" s="88"/>
      <c r="BJM96" s="88"/>
      <c r="BJU96" s="88"/>
      <c r="BKC96" s="88"/>
      <c r="BKK96" s="88"/>
      <c r="BKS96" s="88"/>
      <c r="BLA96" s="88"/>
      <c r="BLI96" s="88"/>
      <c r="BLQ96" s="88"/>
      <c r="BLY96" s="88"/>
      <c r="BMG96" s="88"/>
      <c r="BMO96" s="88"/>
      <c r="BMW96" s="88"/>
      <c r="BNE96" s="88"/>
      <c r="BNM96" s="88"/>
      <c r="BNU96" s="88"/>
      <c r="BOC96" s="88"/>
      <c r="BOK96" s="88"/>
      <c r="BOS96" s="88"/>
      <c r="BPA96" s="88"/>
      <c r="BPI96" s="88"/>
      <c r="BPQ96" s="88"/>
      <c r="BPY96" s="88"/>
      <c r="BQG96" s="88"/>
      <c r="BQO96" s="88"/>
      <c r="BQW96" s="88"/>
      <c r="BRE96" s="88"/>
      <c r="BRM96" s="88"/>
      <c r="BRU96" s="88"/>
      <c r="BSC96" s="88"/>
      <c r="BSK96" s="88"/>
      <c r="BSS96" s="88"/>
      <c r="BTA96" s="88"/>
      <c r="BTI96" s="88"/>
      <c r="BTQ96" s="88"/>
      <c r="BTY96" s="88"/>
      <c r="BUG96" s="88"/>
      <c r="BUO96" s="88"/>
      <c r="BUW96" s="88"/>
      <c r="BVE96" s="88"/>
      <c r="BVM96" s="88"/>
      <c r="BVU96" s="88"/>
      <c r="BWC96" s="88"/>
      <c r="BWK96" s="88"/>
      <c r="BWS96" s="88"/>
      <c r="BXA96" s="88"/>
      <c r="BXI96" s="88"/>
      <c r="BXQ96" s="88"/>
      <c r="BXY96" s="88"/>
      <c r="BYG96" s="88"/>
      <c r="BYO96" s="88"/>
      <c r="BYW96" s="88"/>
      <c r="BZE96" s="88"/>
      <c r="BZM96" s="88"/>
      <c r="BZU96" s="88"/>
      <c r="CAC96" s="88"/>
      <c r="CAK96" s="88"/>
      <c r="CAS96" s="88"/>
      <c r="CBA96" s="88"/>
      <c r="CBI96" s="88"/>
      <c r="CBQ96" s="88"/>
      <c r="CBY96" s="88"/>
      <c r="CCG96" s="88"/>
      <c r="CCO96" s="88"/>
      <c r="CCW96" s="88"/>
      <c r="CDE96" s="88"/>
      <c r="CDM96" s="88"/>
      <c r="CDU96" s="88"/>
      <c r="CEC96" s="88"/>
      <c r="CEK96" s="88"/>
      <c r="CES96" s="88"/>
      <c r="CFA96" s="88"/>
      <c r="CFI96" s="88"/>
      <c r="CFQ96" s="88"/>
      <c r="CFY96" s="88"/>
      <c r="CGG96" s="88"/>
      <c r="CGO96" s="88"/>
      <c r="CGW96" s="88"/>
      <c r="CHE96" s="88"/>
      <c r="CHM96" s="88"/>
      <c r="CHU96" s="88"/>
      <c r="CIC96" s="88"/>
      <c r="CIK96" s="88"/>
      <c r="CIS96" s="88"/>
      <c r="CJA96" s="88"/>
      <c r="CJI96" s="88"/>
      <c r="CJQ96" s="88"/>
      <c r="CJY96" s="88"/>
      <c r="CKG96" s="88"/>
      <c r="CKO96" s="88"/>
      <c r="CKW96" s="88"/>
      <c r="CLE96" s="88"/>
      <c r="CLM96" s="88"/>
      <c r="CLU96" s="88"/>
      <c r="CMC96" s="88"/>
      <c r="CMK96" s="88"/>
      <c r="CMS96" s="88"/>
      <c r="CNA96" s="88"/>
      <c r="CNI96" s="88"/>
      <c r="CNQ96" s="88"/>
      <c r="CNY96" s="88"/>
      <c r="COG96" s="88"/>
      <c r="COO96" s="88"/>
      <c r="COW96" s="88"/>
      <c r="CPE96" s="88"/>
      <c r="CPM96" s="88"/>
      <c r="CPU96" s="88"/>
      <c r="CQC96" s="88"/>
      <c r="CQK96" s="88"/>
      <c r="CQS96" s="88"/>
      <c r="CRA96" s="88"/>
      <c r="CRI96" s="88"/>
      <c r="CRQ96" s="88"/>
      <c r="CRY96" s="88"/>
      <c r="CSG96" s="88"/>
      <c r="CSO96" s="88"/>
      <c r="CSW96" s="88"/>
      <c r="CTE96" s="88"/>
      <c r="CTM96" s="88"/>
      <c r="CTU96" s="88"/>
      <c r="CUC96" s="88"/>
      <c r="CUK96" s="88"/>
      <c r="CUS96" s="88"/>
      <c r="CVA96" s="88"/>
      <c r="CVI96" s="88"/>
      <c r="CVQ96" s="88"/>
      <c r="CVY96" s="88"/>
      <c r="CWG96" s="88"/>
      <c r="CWO96" s="88"/>
      <c r="CWW96" s="88"/>
      <c r="CXE96" s="88"/>
      <c r="CXM96" s="88"/>
      <c r="CXU96" s="88"/>
      <c r="CYC96" s="88"/>
      <c r="CYK96" s="88"/>
      <c r="CYS96" s="88"/>
      <c r="CZA96" s="88"/>
      <c r="CZI96" s="88"/>
      <c r="CZQ96" s="88"/>
      <c r="CZY96" s="88"/>
      <c r="DAG96" s="88"/>
      <c r="DAO96" s="88"/>
      <c r="DAW96" s="88"/>
      <c r="DBE96" s="88"/>
      <c r="DBM96" s="88"/>
      <c r="DBU96" s="88"/>
      <c r="DCC96" s="88"/>
      <c r="DCK96" s="88"/>
      <c r="DCS96" s="88"/>
      <c r="DDA96" s="88"/>
      <c r="DDI96" s="88"/>
      <c r="DDQ96" s="88"/>
      <c r="DDY96" s="88"/>
      <c r="DEG96" s="88"/>
      <c r="DEO96" s="88"/>
      <c r="DEW96" s="88"/>
      <c r="DFE96" s="88"/>
      <c r="DFM96" s="88"/>
      <c r="DFU96" s="88"/>
      <c r="DGC96" s="88"/>
      <c r="DGK96" s="88"/>
      <c r="DGS96" s="88"/>
      <c r="DHA96" s="88"/>
      <c r="DHI96" s="88"/>
      <c r="DHQ96" s="88"/>
      <c r="DHY96" s="88"/>
      <c r="DIG96" s="88"/>
      <c r="DIO96" s="88"/>
      <c r="DIW96" s="88"/>
      <c r="DJE96" s="88"/>
      <c r="DJM96" s="88"/>
      <c r="DJU96" s="88"/>
      <c r="DKC96" s="88"/>
      <c r="DKK96" s="88"/>
      <c r="DKS96" s="88"/>
      <c r="DLA96" s="88"/>
      <c r="DLI96" s="88"/>
      <c r="DLQ96" s="88"/>
      <c r="DLY96" s="88"/>
      <c r="DMG96" s="88"/>
      <c r="DMO96" s="88"/>
      <c r="DMW96" s="88"/>
      <c r="DNE96" s="88"/>
      <c r="DNM96" s="88"/>
      <c r="DNU96" s="88"/>
      <c r="DOC96" s="88"/>
      <c r="DOK96" s="88"/>
      <c r="DOS96" s="88"/>
      <c r="DPA96" s="88"/>
      <c r="DPI96" s="88"/>
      <c r="DPQ96" s="88"/>
      <c r="DPY96" s="88"/>
      <c r="DQG96" s="88"/>
      <c r="DQO96" s="88"/>
      <c r="DQW96" s="88"/>
      <c r="DRE96" s="88"/>
      <c r="DRM96" s="88"/>
      <c r="DRU96" s="88"/>
      <c r="DSC96" s="88"/>
      <c r="DSK96" s="88"/>
      <c r="DSS96" s="88"/>
      <c r="DTA96" s="88"/>
      <c r="DTI96" s="88"/>
      <c r="DTQ96" s="88"/>
      <c r="DTY96" s="88"/>
      <c r="DUG96" s="88"/>
      <c r="DUO96" s="88"/>
      <c r="DUW96" s="88"/>
      <c r="DVE96" s="88"/>
      <c r="DVM96" s="88"/>
      <c r="DVU96" s="88"/>
      <c r="DWC96" s="88"/>
      <c r="DWK96" s="88"/>
      <c r="DWS96" s="88"/>
      <c r="DXA96" s="88"/>
      <c r="DXI96" s="88"/>
      <c r="DXQ96" s="88"/>
      <c r="DXY96" s="88"/>
      <c r="DYG96" s="88"/>
      <c r="DYO96" s="88"/>
      <c r="DYW96" s="88"/>
      <c r="DZE96" s="88"/>
      <c r="DZM96" s="88"/>
      <c r="DZU96" s="88"/>
      <c r="EAC96" s="88"/>
      <c r="EAK96" s="88"/>
      <c r="EAS96" s="88"/>
      <c r="EBA96" s="88"/>
      <c r="EBI96" s="88"/>
      <c r="EBQ96" s="88"/>
      <c r="EBY96" s="88"/>
      <c r="ECG96" s="88"/>
      <c r="ECO96" s="88"/>
      <c r="ECW96" s="88"/>
      <c r="EDE96" s="88"/>
      <c r="EDM96" s="88"/>
      <c r="EDU96" s="88"/>
      <c r="EEC96" s="88"/>
      <c r="EEK96" s="88"/>
      <c r="EES96" s="88"/>
      <c r="EFA96" s="88"/>
      <c r="EFI96" s="88"/>
      <c r="EFQ96" s="88"/>
      <c r="EFY96" s="88"/>
      <c r="EGG96" s="88"/>
      <c r="EGO96" s="88"/>
      <c r="EGW96" s="88"/>
      <c r="EHE96" s="88"/>
      <c r="EHM96" s="88"/>
      <c r="EHU96" s="88"/>
      <c r="EIC96" s="88"/>
      <c r="EIK96" s="88"/>
      <c r="EIS96" s="88"/>
      <c r="EJA96" s="88"/>
      <c r="EJI96" s="88"/>
      <c r="EJQ96" s="88"/>
      <c r="EJY96" s="88"/>
      <c r="EKG96" s="88"/>
      <c r="EKO96" s="88"/>
      <c r="EKW96" s="88"/>
      <c r="ELE96" s="88"/>
      <c r="ELM96" s="88"/>
      <c r="ELU96" s="88"/>
      <c r="EMC96" s="88"/>
      <c r="EMK96" s="88"/>
      <c r="EMS96" s="88"/>
      <c r="ENA96" s="88"/>
      <c r="ENI96" s="88"/>
      <c r="ENQ96" s="88"/>
      <c r="ENY96" s="88"/>
      <c r="EOG96" s="88"/>
      <c r="EOO96" s="88"/>
      <c r="EOW96" s="88"/>
      <c r="EPE96" s="88"/>
      <c r="EPM96" s="88"/>
      <c r="EPU96" s="88"/>
      <c r="EQC96" s="88"/>
      <c r="EQK96" s="88"/>
      <c r="EQS96" s="88"/>
      <c r="ERA96" s="88"/>
      <c r="ERI96" s="88"/>
      <c r="ERQ96" s="88"/>
      <c r="ERY96" s="88"/>
      <c r="ESG96" s="88"/>
      <c r="ESO96" s="88"/>
      <c r="ESW96" s="88"/>
      <c r="ETE96" s="88"/>
      <c r="ETM96" s="88"/>
      <c r="ETU96" s="88"/>
      <c r="EUC96" s="88"/>
      <c r="EUK96" s="88"/>
      <c r="EUS96" s="88"/>
      <c r="EVA96" s="88"/>
      <c r="EVI96" s="88"/>
      <c r="EVQ96" s="88"/>
      <c r="EVY96" s="88"/>
      <c r="EWG96" s="88"/>
      <c r="EWO96" s="88"/>
      <c r="EWW96" s="88"/>
      <c r="EXE96" s="88"/>
      <c r="EXM96" s="88"/>
      <c r="EXU96" s="88"/>
      <c r="EYC96" s="88"/>
      <c r="EYK96" s="88"/>
      <c r="EYS96" s="88"/>
      <c r="EZA96" s="88"/>
      <c r="EZI96" s="88"/>
      <c r="EZQ96" s="88"/>
      <c r="EZY96" s="88"/>
      <c r="FAG96" s="88"/>
      <c r="FAO96" s="88"/>
      <c r="FAW96" s="88"/>
      <c r="FBE96" s="88"/>
      <c r="FBM96" s="88"/>
      <c r="FBU96" s="88"/>
      <c r="FCC96" s="88"/>
      <c r="FCK96" s="88"/>
      <c r="FCS96" s="88"/>
      <c r="FDA96" s="88"/>
      <c r="FDI96" s="88"/>
      <c r="FDQ96" s="88"/>
      <c r="FDY96" s="88"/>
      <c r="FEG96" s="88"/>
      <c r="FEO96" s="88"/>
      <c r="FEW96" s="88"/>
      <c r="FFE96" s="88"/>
      <c r="FFM96" s="88"/>
      <c r="FFU96" s="88"/>
      <c r="FGC96" s="88"/>
      <c r="FGK96" s="88"/>
      <c r="FGS96" s="88"/>
      <c r="FHA96" s="88"/>
      <c r="FHI96" s="88"/>
      <c r="FHQ96" s="88"/>
      <c r="FHY96" s="88"/>
      <c r="FIG96" s="88"/>
      <c r="FIO96" s="88"/>
      <c r="FIW96" s="88"/>
      <c r="FJE96" s="88"/>
      <c r="FJM96" s="88"/>
      <c r="FJU96" s="88"/>
      <c r="FKC96" s="88"/>
      <c r="FKK96" s="88"/>
      <c r="FKS96" s="88"/>
      <c r="FLA96" s="88"/>
      <c r="FLI96" s="88"/>
      <c r="FLQ96" s="88"/>
      <c r="FLY96" s="88"/>
      <c r="FMG96" s="88"/>
      <c r="FMO96" s="88"/>
      <c r="FMW96" s="88"/>
      <c r="FNE96" s="88"/>
      <c r="FNM96" s="88"/>
      <c r="FNU96" s="88"/>
      <c r="FOC96" s="88"/>
      <c r="FOK96" s="88"/>
      <c r="FOS96" s="88"/>
      <c r="FPA96" s="88"/>
      <c r="FPI96" s="88"/>
      <c r="FPQ96" s="88"/>
      <c r="FPY96" s="88"/>
      <c r="FQG96" s="88"/>
      <c r="FQO96" s="88"/>
      <c r="FQW96" s="88"/>
      <c r="FRE96" s="88"/>
      <c r="FRM96" s="88"/>
      <c r="FRU96" s="88"/>
      <c r="FSC96" s="88"/>
      <c r="FSK96" s="88"/>
      <c r="FSS96" s="88"/>
      <c r="FTA96" s="88"/>
      <c r="FTI96" s="88"/>
      <c r="FTQ96" s="88"/>
      <c r="FTY96" s="88"/>
      <c r="FUG96" s="88"/>
      <c r="FUO96" s="88"/>
      <c r="FUW96" s="88"/>
      <c r="FVE96" s="88"/>
      <c r="FVM96" s="88"/>
      <c r="FVU96" s="88"/>
      <c r="FWC96" s="88"/>
      <c r="FWK96" s="88"/>
      <c r="FWS96" s="88"/>
      <c r="FXA96" s="88"/>
      <c r="FXI96" s="88"/>
      <c r="FXQ96" s="88"/>
      <c r="FXY96" s="88"/>
      <c r="FYG96" s="88"/>
      <c r="FYO96" s="88"/>
      <c r="FYW96" s="88"/>
      <c r="FZE96" s="88"/>
      <c r="FZM96" s="88"/>
      <c r="FZU96" s="88"/>
      <c r="GAC96" s="88"/>
      <c r="GAK96" s="88"/>
      <c r="GAS96" s="88"/>
      <c r="GBA96" s="88"/>
      <c r="GBI96" s="88"/>
      <c r="GBQ96" s="88"/>
      <c r="GBY96" s="88"/>
      <c r="GCG96" s="88"/>
      <c r="GCO96" s="88"/>
      <c r="GCW96" s="88"/>
      <c r="GDE96" s="88"/>
      <c r="GDM96" s="88"/>
      <c r="GDU96" s="88"/>
      <c r="GEC96" s="88"/>
      <c r="GEK96" s="88"/>
      <c r="GES96" s="88"/>
      <c r="GFA96" s="88"/>
      <c r="GFI96" s="88"/>
      <c r="GFQ96" s="88"/>
      <c r="GFY96" s="88"/>
      <c r="GGG96" s="88"/>
      <c r="GGO96" s="88"/>
      <c r="GGW96" s="88"/>
      <c r="GHE96" s="88"/>
      <c r="GHM96" s="88"/>
      <c r="GHU96" s="88"/>
      <c r="GIC96" s="88"/>
      <c r="GIK96" s="88"/>
      <c r="GIS96" s="88"/>
      <c r="GJA96" s="88"/>
      <c r="GJI96" s="88"/>
      <c r="GJQ96" s="88"/>
      <c r="GJY96" s="88"/>
      <c r="GKG96" s="88"/>
      <c r="GKO96" s="88"/>
      <c r="GKW96" s="88"/>
      <c r="GLE96" s="88"/>
      <c r="GLM96" s="88"/>
      <c r="GLU96" s="88"/>
      <c r="GMC96" s="88"/>
      <c r="GMK96" s="88"/>
      <c r="GMS96" s="88"/>
      <c r="GNA96" s="88"/>
      <c r="GNI96" s="88"/>
      <c r="GNQ96" s="88"/>
      <c r="GNY96" s="88"/>
      <c r="GOG96" s="88"/>
      <c r="GOO96" s="88"/>
      <c r="GOW96" s="88"/>
      <c r="GPE96" s="88"/>
      <c r="GPM96" s="88"/>
      <c r="GPU96" s="88"/>
      <c r="GQC96" s="88"/>
      <c r="GQK96" s="88"/>
      <c r="GQS96" s="88"/>
      <c r="GRA96" s="88"/>
      <c r="GRI96" s="88"/>
      <c r="GRQ96" s="88"/>
      <c r="GRY96" s="88"/>
      <c r="GSG96" s="88"/>
      <c r="GSO96" s="88"/>
      <c r="GSW96" s="88"/>
      <c r="GTE96" s="88"/>
      <c r="GTM96" s="88"/>
      <c r="GTU96" s="88"/>
      <c r="GUC96" s="88"/>
      <c r="GUK96" s="88"/>
      <c r="GUS96" s="88"/>
      <c r="GVA96" s="88"/>
      <c r="GVI96" s="88"/>
      <c r="GVQ96" s="88"/>
      <c r="GVY96" s="88"/>
      <c r="GWG96" s="88"/>
      <c r="GWO96" s="88"/>
      <c r="GWW96" s="88"/>
      <c r="GXE96" s="88"/>
      <c r="GXM96" s="88"/>
      <c r="GXU96" s="88"/>
      <c r="GYC96" s="88"/>
      <c r="GYK96" s="88"/>
      <c r="GYS96" s="88"/>
      <c r="GZA96" s="88"/>
      <c r="GZI96" s="88"/>
      <c r="GZQ96" s="88"/>
      <c r="GZY96" s="88"/>
      <c r="HAG96" s="88"/>
      <c r="HAO96" s="88"/>
      <c r="HAW96" s="88"/>
      <c r="HBE96" s="88"/>
      <c r="HBM96" s="88"/>
      <c r="HBU96" s="88"/>
      <c r="HCC96" s="88"/>
      <c r="HCK96" s="88"/>
      <c r="HCS96" s="88"/>
      <c r="HDA96" s="88"/>
      <c r="HDI96" s="88"/>
      <c r="HDQ96" s="88"/>
      <c r="HDY96" s="88"/>
      <c r="HEG96" s="88"/>
      <c r="HEO96" s="88"/>
      <c r="HEW96" s="88"/>
      <c r="HFE96" s="88"/>
      <c r="HFM96" s="88"/>
      <c r="HFU96" s="88"/>
      <c r="HGC96" s="88"/>
      <c r="HGK96" s="88"/>
      <c r="HGS96" s="88"/>
      <c r="HHA96" s="88"/>
      <c r="HHI96" s="88"/>
      <c r="HHQ96" s="88"/>
      <c r="HHY96" s="88"/>
      <c r="HIG96" s="88"/>
      <c r="HIO96" s="88"/>
      <c r="HIW96" s="88"/>
      <c r="HJE96" s="88"/>
      <c r="HJM96" s="88"/>
      <c r="HJU96" s="88"/>
      <c r="HKC96" s="88"/>
      <c r="HKK96" s="88"/>
      <c r="HKS96" s="88"/>
      <c r="HLA96" s="88"/>
      <c r="HLI96" s="88"/>
      <c r="HLQ96" s="88"/>
      <c r="HLY96" s="88"/>
      <c r="HMG96" s="88"/>
      <c r="HMO96" s="88"/>
      <c r="HMW96" s="88"/>
      <c r="HNE96" s="88"/>
      <c r="HNM96" s="88"/>
      <c r="HNU96" s="88"/>
      <c r="HOC96" s="88"/>
      <c r="HOK96" s="88"/>
      <c r="HOS96" s="88"/>
      <c r="HPA96" s="88"/>
      <c r="HPI96" s="88"/>
      <c r="HPQ96" s="88"/>
      <c r="HPY96" s="88"/>
      <c r="HQG96" s="88"/>
      <c r="HQO96" s="88"/>
      <c r="HQW96" s="88"/>
      <c r="HRE96" s="88"/>
      <c r="HRM96" s="88"/>
      <c r="HRU96" s="88"/>
      <c r="HSC96" s="88"/>
      <c r="HSK96" s="88"/>
      <c r="HSS96" s="88"/>
      <c r="HTA96" s="88"/>
      <c r="HTI96" s="88"/>
      <c r="HTQ96" s="88"/>
      <c r="HTY96" s="88"/>
      <c r="HUG96" s="88"/>
      <c r="HUO96" s="88"/>
      <c r="HUW96" s="88"/>
      <c r="HVE96" s="88"/>
      <c r="HVM96" s="88"/>
      <c r="HVU96" s="88"/>
      <c r="HWC96" s="88"/>
      <c r="HWK96" s="88"/>
      <c r="HWS96" s="88"/>
      <c r="HXA96" s="88"/>
      <c r="HXI96" s="88"/>
      <c r="HXQ96" s="88"/>
      <c r="HXY96" s="88"/>
      <c r="HYG96" s="88"/>
      <c r="HYO96" s="88"/>
      <c r="HYW96" s="88"/>
      <c r="HZE96" s="88"/>
      <c r="HZM96" s="88"/>
      <c r="HZU96" s="88"/>
      <c r="IAC96" s="88"/>
      <c r="IAK96" s="88"/>
      <c r="IAS96" s="88"/>
      <c r="IBA96" s="88"/>
      <c r="IBI96" s="88"/>
      <c r="IBQ96" s="88"/>
      <c r="IBY96" s="88"/>
      <c r="ICG96" s="88"/>
      <c r="ICO96" s="88"/>
      <c r="ICW96" s="88"/>
      <c r="IDE96" s="88"/>
      <c r="IDM96" s="88"/>
      <c r="IDU96" s="88"/>
      <c r="IEC96" s="88"/>
      <c r="IEK96" s="88"/>
      <c r="IES96" s="88"/>
      <c r="IFA96" s="88"/>
      <c r="IFI96" s="88"/>
      <c r="IFQ96" s="88"/>
      <c r="IFY96" s="88"/>
      <c r="IGG96" s="88"/>
      <c r="IGO96" s="88"/>
      <c r="IGW96" s="88"/>
      <c r="IHE96" s="88"/>
      <c r="IHM96" s="88"/>
      <c r="IHU96" s="88"/>
      <c r="IIC96" s="88"/>
      <c r="IIK96" s="88"/>
      <c r="IIS96" s="88"/>
      <c r="IJA96" s="88"/>
      <c r="IJI96" s="88"/>
      <c r="IJQ96" s="88"/>
      <c r="IJY96" s="88"/>
      <c r="IKG96" s="88"/>
      <c r="IKO96" s="88"/>
      <c r="IKW96" s="88"/>
      <c r="ILE96" s="88"/>
      <c r="ILM96" s="88"/>
      <c r="ILU96" s="88"/>
      <c r="IMC96" s="88"/>
      <c r="IMK96" s="88"/>
      <c r="IMS96" s="88"/>
      <c r="INA96" s="88"/>
      <c r="INI96" s="88"/>
      <c r="INQ96" s="88"/>
      <c r="INY96" s="88"/>
      <c r="IOG96" s="88"/>
      <c r="IOO96" s="88"/>
      <c r="IOW96" s="88"/>
      <c r="IPE96" s="88"/>
      <c r="IPM96" s="88"/>
      <c r="IPU96" s="88"/>
      <c r="IQC96" s="88"/>
      <c r="IQK96" s="88"/>
      <c r="IQS96" s="88"/>
      <c r="IRA96" s="88"/>
      <c r="IRI96" s="88"/>
      <c r="IRQ96" s="88"/>
      <c r="IRY96" s="88"/>
      <c r="ISG96" s="88"/>
      <c r="ISO96" s="88"/>
      <c r="ISW96" s="88"/>
      <c r="ITE96" s="88"/>
      <c r="ITM96" s="88"/>
      <c r="ITU96" s="88"/>
      <c r="IUC96" s="88"/>
      <c r="IUK96" s="88"/>
      <c r="IUS96" s="88"/>
      <c r="IVA96" s="88"/>
      <c r="IVI96" s="88"/>
      <c r="IVQ96" s="88"/>
      <c r="IVY96" s="88"/>
      <c r="IWG96" s="88"/>
      <c r="IWO96" s="88"/>
      <c r="IWW96" s="88"/>
      <c r="IXE96" s="88"/>
      <c r="IXM96" s="88"/>
      <c r="IXU96" s="88"/>
      <c r="IYC96" s="88"/>
      <c r="IYK96" s="88"/>
      <c r="IYS96" s="88"/>
      <c r="IZA96" s="88"/>
      <c r="IZI96" s="88"/>
      <c r="IZQ96" s="88"/>
      <c r="IZY96" s="88"/>
      <c r="JAG96" s="88"/>
      <c r="JAO96" s="88"/>
      <c r="JAW96" s="88"/>
      <c r="JBE96" s="88"/>
      <c r="JBM96" s="88"/>
      <c r="JBU96" s="88"/>
      <c r="JCC96" s="88"/>
      <c r="JCK96" s="88"/>
      <c r="JCS96" s="88"/>
      <c r="JDA96" s="88"/>
      <c r="JDI96" s="88"/>
      <c r="JDQ96" s="88"/>
      <c r="JDY96" s="88"/>
      <c r="JEG96" s="88"/>
      <c r="JEO96" s="88"/>
      <c r="JEW96" s="88"/>
      <c r="JFE96" s="88"/>
      <c r="JFM96" s="88"/>
      <c r="JFU96" s="88"/>
      <c r="JGC96" s="88"/>
      <c r="JGK96" s="88"/>
      <c r="JGS96" s="88"/>
      <c r="JHA96" s="88"/>
      <c r="JHI96" s="88"/>
      <c r="JHQ96" s="88"/>
      <c r="JHY96" s="88"/>
      <c r="JIG96" s="88"/>
      <c r="JIO96" s="88"/>
      <c r="JIW96" s="88"/>
      <c r="JJE96" s="88"/>
      <c r="JJM96" s="88"/>
      <c r="JJU96" s="88"/>
      <c r="JKC96" s="88"/>
      <c r="JKK96" s="88"/>
      <c r="JKS96" s="88"/>
      <c r="JLA96" s="88"/>
      <c r="JLI96" s="88"/>
      <c r="JLQ96" s="88"/>
      <c r="JLY96" s="88"/>
      <c r="JMG96" s="88"/>
      <c r="JMO96" s="88"/>
      <c r="JMW96" s="88"/>
      <c r="JNE96" s="88"/>
      <c r="JNM96" s="88"/>
      <c r="JNU96" s="88"/>
      <c r="JOC96" s="88"/>
      <c r="JOK96" s="88"/>
      <c r="JOS96" s="88"/>
      <c r="JPA96" s="88"/>
      <c r="JPI96" s="88"/>
      <c r="JPQ96" s="88"/>
      <c r="JPY96" s="88"/>
      <c r="JQG96" s="88"/>
      <c r="JQO96" s="88"/>
      <c r="JQW96" s="88"/>
      <c r="JRE96" s="88"/>
      <c r="JRM96" s="88"/>
      <c r="JRU96" s="88"/>
      <c r="JSC96" s="88"/>
      <c r="JSK96" s="88"/>
      <c r="JSS96" s="88"/>
      <c r="JTA96" s="88"/>
      <c r="JTI96" s="88"/>
      <c r="JTQ96" s="88"/>
      <c r="JTY96" s="88"/>
      <c r="JUG96" s="88"/>
      <c r="JUO96" s="88"/>
      <c r="JUW96" s="88"/>
      <c r="JVE96" s="88"/>
      <c r="JVM96" s="88"/>
      <c r="JVU96" s="88"/>
      <c r="JWC96" s="88"/>
      <c r="JWK96" s="88"/>
      <c r="JWS96" s="88"/>
      <c r="JXA96" s="88"/>
      <c r="JXI96" s="88"/>
      <c r="JXQ96" s="88"/>
      <c r="JXY96" s="88"/>
      <c r="JYG96" s="88"/>
      <c r="JYO96" s="88"/>
      <c r="JYW96" s="88"/>
      <c r="JZE96" s="88"/>
      <c r="JZM96" s="88"/>
      <c r="JZU96" s="88"/>
      <c r="KAC96" s="88"/>
      <c r="KAK96" s="88"/>
      <c r="KAS96" s="88"/>
      <c r="KBA96" s="88"/>
      <c r="KBI96" s="88"/>
      <c r="KBQ96" s="88"/>
      <c r="KBY96" s="88"/>
      <c r="KCG96" s="88"/>
      <c r="KCO96" s="88"/>
      <c r="KCW96" s="88"/>
      <c r="KDE96" s="88"/>
      <c r="KDM96" s="88"/>
      <c r="KDU96" s="88"/>
      <c r="KEC96" s="88"/>
      <c r="KEK96" s="88"/>
      <c r="KES96" s="88"/>
      <c r="KFA96" s="88"/>
      <c r="KFI96" s="88"/>
      <c r="KFQ96" s="88"/>
      <c r="KFY96" s="88"/>
      <c r="KGG96" s="88"/>
      <c r="KGO96" s="88"/>
      <c r="KGW96" s="88"/>
      <c r="KHE96" s="88"/>
      <c r="KHM96" s="88"/>
      <c r="KHU96" s="88"/>
      <c r="KIC96" s="88"/>
      <c r="KIK96" s="88"/>
      <c r="KIS96" s="88"/>
      <c r="KJA96" s="88"/>
      <c r="KJI96" s="88"/>
      <c r="KJQ96" s="88"/>
      <c r="KJY96" s="88"/>
      <c r="KKG96" s="88"/>
      <c r="KKO96" s="88"/>
      <c r="KKW96" s="88"/>
      <c r="KLE96" s="88"/>
      <c r="KLM96" s="88"/>
      <c r="KLU96" s="88"/>
      <c r="KMC96" s="88"/>
      <c r="KMK96" s="88"/>
      <c r="KMS96" s="88"/>
      <c r="KNA96" s="88"/>
      <c r="KNI96" s="88"/>
      <c r="KNQ96" s="88"/>
      <c r="KNY96" s="88"/>
      <c r="KOG96" s="88"/>
      <c r="KOO96" s="88"/>
      <c r="KOW96" s="88"/>
      <c r="KPE96" s="88"/>
      <c r="KPM96" s="88"/>
      <c r="KPU96" s="88"/>
      <c r="KQC96" s="88"/>
      <c r="KQK96" s="88"/>
      <c r="KQS96" s="88"/>
      <c r="KRA96" s="88"/>
      <c r="KRI96" s="88"/>
      <c r="KRQ96" s="88"/>
      <c r="KRY96" s="88"/>
      <c r="KSG96" s="88"/>
      <c r="KSO96" s="88"/>
      <c r="KSW96" s="88"/>
      <c r="KTE96" s="88"/>
      <c r="KTM96" s="88"/>
      <c r="KTU96" s="88"/>
      <c r="KUC96" s="88"/>
      <c r="KUK96" s="88"/>
      <c r="KUS96" s="88"/>
      <c r="KVA96" s="88"/>
      <c r="KVI96" s="88"/>
      <c r="KVQ96" s="88"/>
      <c r="KVY96" s="88"/>
      <c r="KWG96" s="88"/>
      <c r="KWO96" s="88"/>
      <c r="KWW96" s="88"/>
      <c r="KXE96" s="88"/>
      <c r="KXM96" s="88"/>
      <c r="KXU96" s="88"/>
      <c r="KYC96" s="88"/>
      <c r="KYK96" s="88"/>
      <c r="KYS96" s="88"/>
      <c r="KZA96" s="88"/>
      <c r="KZI96" s="88"/>
      <c r="KZQ96" s="88"/>
      <c r="KZY96" s="88"/>
      <c r="LAG96" s="88"/>
      <c r="LAO96" s="88"/>
      <c r="LAW96" s="88"/>
      <c r="LBE96" s="88"/>
      <c r="LBM96" s="88"/>
      <c r="LBU96" s="88"/>
      <c r="LCC96" s="88"/>
      <c r="LCK96" s="88"/>
      <c r="LCS96" s="88"/>
      <c r="LDA96" s="88"/>
      <c r="LDI96" s="88"/>
      <c r="LDQ96" s="88"/>
      <c r="LDY96" s="88"/>
      <c r="LEG96" s="88"/>
      <c r="LEO96" s="88"/>
      <c r="LEW96" s="88"/>
      <c r="LFE96" s="88"/>
      <c r="LFM96" s="88"/>
      <c r="LFU96" s="88"/>
      <c r="LGC96" s="88"/>
      <c r="LGK96" s="88"/>
      <c r="LGS96" s="88"/>
      <c r="LHA96" s="88"/>
      <c r="LHI96" s="88"/>
      <c r="LHQ96" s="88"/>
      <c r="LHY96" s="88"/>
      <c r="LIG96" s="88"/>
      <c r="LIO96" s="88"/>
      <c r="LIW96" s="88"/>
      <c r="LJE96" s="88"/>
      <c r="LJM96" s="88"/>
      <c r="LJU96" s="88"/>
      <c r="LKC96" s="88"/>
      <c r="LKK96" s="88"/>
      <c r="LKS96" s="88"/>
      <c r="LLA96" s="88"/>
      <c r="LLI96" s="88"/>
      <c r="LLQ96" s="88"/>
      <c r="LLY96" s="88"/>
      <c r="LMG96" s="88"/>
      <c r="LMO96" s="88"/>
      <c r="LMW96" s="88"/>
      <c r="LNE96" s="88"/>
      <c r="LNM96" s="88"/>
      <c r="LNU96" s="88"/>
      <c r="LOC96" s="88"/>
      <c r="LOK96" s="88"/>
      <c r="LOS96" s="88"/>
      <c r="LPA96" s="88"/>
      <c r="LPI96" s="88"/>
      <c r="LPQ96" s="88"/>
      <c r="LPY96" s="88"/>
      <c r="LQG96" s="88"/>
      <c r="LQO96" s="88"/>
      <c r="LQW96" s="88"/>
      <c r="LRE96" s="88"/>
      <c r="LRM96" s="88"/>
      <c r="LRU96" s="88"/>
      <c r="LSC96" s="88"/>
      <c r="LSK96" s="88"/>
      <c r="LSS96" s="88"/>
      <c r="LTA96" s="88"/>
      <c r="LTI96" s="88"/>
      <c r="LTQ96" s="88"/>
      <c r="LTY96" s="88"/>
      <c r="LUG96" s="88"/>
      <c r="LUO96" s="88"/>
      <c r="LUW96" s="88"/>
      <c r="LVE96" s="88"/>
      <c r="LVM96" s="88"/>
      <c r="LVU96" s="88"/>
      <c r="LWC96" s="88"/>
      <c r="LWK96" s="88"/>
      <c r="LWS96" s="88"/>
      <c r="LXA96" s="88"/>
      <c r="LXI96" s="88"/>
      <c r="LXQ96" s="88"/>
      <c r="LXY96" s="88"/>
      <c r="LYG96" s="88"/>
      <c r="LYO96" s="88"/>
      <c r="LYW96" s="88"/>
      <c r="LZE96" s="88"/>
      <c r="LZM96" s="88"/>
      <c r="LZU96" s="88"/>
      <c r="MAC96" s="88"/>
      <c r="MAK96" s="88"/>
      <c r="MAS96" s="88"/>
      <c r="MBA96" s="88"/>
      <c r="MBI96" s="88"/>
      <c r="MBQ96" s="88"/>
      <c r="MBY96" s="88"/>
      <c r="MCG96" s="88"/>
      <c r="MCO96" s="88"/>
      <c r="MCW96" s="88"/>
      <c r="MDE96" s="88"/>
      <c r="MDM96" s="88"/>
      <c r="MDU96" s="88"/>
      <c r="MEC96" s="88"/>
      <c r="MEK96" s="88"/>
      <c r="MES96" s="88"/>
      <c r="MFA96" s="88"/>
      <c r="MFI96" s="88"/>
      <c r="MFQ96" s="88"/>
      <c r="MFY96" s="88"/>
      <c r="MGG96" s="88"/>
      <c r="MGO96" s="88"/>
      <c r="MGW96" s="88"/>
      <c r="MHE96" s="88"/>
      <c r="MHM96" s="88"/>
      <c r="MHU96" s="88"/>
      <c r="MIC96" s="88"/>
      <c r="MIK96" s="88"/>
      <c r="MIS96" s="88"/>
      <c r="MJA96" s="88"/>
      <c r="MJI96" s="88"/>
      <c r="MJQ96" s="88"/>
      <c r="MJY96" s="88"/>
      <c r="MKG96" s="88"/>
      <c r="MKO96" s="88"/>
      <c r="MKW96" s="88"/>
      <c r="MLE96" s="88"/>
      <c r="MLM96" s="88"/>
      <c r="MLU96" s="88"/>
      <c r="MMC96" s="88"/>
      <c r="MMK96" s="88"/>
      <c r="MMS96" s="88"/>
      <c r="MNA96" s="88"/>
      <c r="MNI96" s="88"/>
      <c r="MNQ96" s="88"/>
      <c r="MNY96" s="88"/>
      <c r="MOG96" s="88"/>
      <c r="MOO96" s="88"/>
      <c r="MOW96" s="88"/>
      <c r="MPE96" s="88"/>
      <c r="MPM96" s="88"/>
      <c r="MPU96" s="88"/>
      <c r="MQC96" s="88"/>
      <c r="MQK96" s="88"/>
      <c r="MQS96" s="88"/>
      <c r="MRA96" s="88"/>
      <c r="MRI96" s="88"/>
      <c r="MRQ96" s="88"/>
      <c r="MRY96" s="88"/>
      <c r="MSG96" s="88"/>
      <c r="MSO96" s="88"/>
      <c r="MSW96" s="88"/>
      <c r="MTE96" s="88"/>
      <c r="MTM96" s="88"/>
      <c r="MTU96" s="88"/>
      <c r="MUC96" s="88"/>
      <c r="MUK96" s="88"/>
      <c r="MUS96" s="88"/>
      <c r="MVA96" s="88"/>
      <c r="MVI96" s="88"/>
      <c r="MVQ96" s="88"/>
      <c r="MVY96" s="88"/>
      <c r="MWG96" s="88"/>
      <c r="MWO96" s="88"/>
      <c r="MWW96" s="88"/>
      <c r="MXE96" s="88"/>
      <c r="MXM96" s="88"/>
      <c r="MXU96" s="88"/>
      <c r="MYC96" s="88"/>
      <c r="MYK96" s="88"/>
      <c r="MYS96" s="88"/>
      <c r="MZA96" s="88"/>
      <c r="MZI96" s="88"/>
      <c r="MZQ96" s="88"/>
      <c r="MZY96" s="88"/>
      <c r="NAG96" s="88"/>
      <c r="NAO96" s="88"/>
      <c r="NAW96" s="88"/>
      <c r="NBE96" s="88"/>
      <c r="NBM96" s="88"/>
      <c r="NBU96" s="88"/>
      <c r="NCC96" s="88"/>
      <c r="NCK96" s="88"/>
      <c r="NCS96" s="88"/>
      <c r="NDA96" s="88"/>
      <c r="NDI96" s="88"/>
      <c r="NDQ96" s="88"/>
      <c r="NDY96" s="88"/>
      <c r="NEG96" s="88"/>
      <c r="NEO96" s="88"/>
      <c r="NEW96" s="88"/>
      <c r="NFE96" s="88"/>
      <c r="NFM96" s="88"/>
      <c r="NFU96" s="88"/>
      <c r="NGC96" s="88"/>
      <c r="NGK96" s="88"/>
      <c r="NGS96" s="88"/>
      <c r="NHA96" s="88"/>
      <c r="NHI96" s="88"/>
      <c r="NHQ96" s="88"/>
      <c r="NHY96" s="88"/>
      <c r="NIG96" s="88"/>
      <c r="NIO96" s="88"/>
      <c r="NIW96" s="88"/>
      <c r="NJE96" s="88"/>
      <c r="NJM96" s="88"/>
      <c r="NJU96" s="88"/>
      <c r="NKC96" s="88"/>
      <c r="NKK96" s="88"/>
      <c r="NKS96" s="88"/>
      <c r="NLA96" s="88"/>
      <c r="NLI96" s="88"/>
      <c r="NLQ96" s="88"/>
      <c r="NLY96" s="88"/>
      <c r="NMG96" s="88"/>
      <c r="NMO96" s="88"/>
      <c r="NMW96" s="88"/>
      <c r="NNE96" s="88"/>
      <c r="NNM96" s="88"/>
      <c r="NNU96" s="88"/>
      <c r="NOC96" s="88"/>
      <c r="NOK96" s="88"/>
      <c r="NOS96" s="88"/>
      <c r="NPA96" s="88"/>
      <c r="NPI96" s="88"/>
      <c r="NPQ96" s="88"/>
      <c r="NPY96" s="88"/>
      <c r="NQG96" s="88"/>
      <c r="NQO96" s="88"/>
      <c r="NQW96" s="88"/>
      <c r="NRE96" s="88"/>
      <c r="NRM96" s="88"/>
      <c r="NRU96" s="88"/>
      <c r="NSC96" s="88"/>
      <c r="NSK96" s="88"/>
      <c r="NSS96" s="88"/>
      <c r="NTA96" s="88"/>
      <c r="NTI96" s="88"/>
      <c r="NTQ96" s="88"/>
      <c r="NTY96" s="88"/>
      <c r="NUG96" s="88"/>
      <c r="NUO96" s="88"/>
      <c r="NUW96" s="88"/>
      <c r="NVE96" s="88"/>
      <c r="NVM96" s="88"/>
      <c r="NVU96" s="88"/>
      <c r="NWC96" s="88"/>
      <c r="NWK96" s="88"/>
      <c r="NWS96" s="88"/>
      <c r="NXA96" s="88"/>
      <c r="NXI96" s="88"/>
      <c r="NXQ96" s="88"/>
      <c r="NXY96" s="88"/>
      <c r="NYG96" s="88"/>
      <c r="NYO96" s="88"/>
      <c r="NYW96" s="88"/>
      <c r="NZE96" s="88"/>
      <c r="NZM96" s="88"/>
      <c r="NZU96" s="88"/>
      <c r="OAC96" s="88"/>
      <c r="OAK96" s="88"/>
      <c r="OAS96" s="88"/>
      <c r="OBA96" s="88"/>
      <c r="OBI96" s="88"/>
      <c r="OBQ96" s="88"/>
      <c r="OBY96" s="88"/>
      <c r="OCG96" s="88"/>
      <c r="OCO96" s="88"/>
      <c r="OCW96" s="88"/>
      <c r="ODE96" s="88"/>
      <c r="ODM96" s="88"/>
      <c r="ODU96" s="88"/>
      <c r="OEC96" s="88"/>
      <c r="OEK96" s="88"/>
      <c r="OES96" s="88"/>
      <c r="OFA96" s="88"/>
      <c r="OFI96" s="88"/>
      <c r="OFQ96" s="88"/>
      <c r="OFY96" s="88"/>
      <c r="OGG96" s="88"/>
      <c r="OGO96" s="88"/>
      <c r="OGW96" s="88"/>
      <c r="OHE96" s="88"/>
      <c r="OHM96" s="88"/>
      <c r="OHU96" s="88"/>
      <c r="OIC96" s="88"/>
      <c r="OIK96" s="88"/>
      <c r="OIS96" s="88"/>
      <c r="OJA96" s="88"/>
      <c r="OJI96" s="88"/>
      <c r="OJQ96" s="88"/>
      <c r="OJY96" s="88"/>
      <c r="OKG96" s="88"/>
      <c r="OKO96" s="88"/>
      <c r="OKW96" s="88"/>
      <c r="OLE96" s="88"/>
      <c r="OLM96" s="88"/>
      <c r="OLU96" s="88"/>
      <c r="OMC96" s="88"/>
      <c r="OMK96" s="88"/>
      <c r="OMS96" s="88"/>
      <c r="ONA96" s="88"/>
      <c r="ONI96" s="88"/>
      <c r="ONQ96" s="88"/>
      <c r="ONY96" s="88"/>
      <c r="OOG96" s="88"/>
      <c r="OOO96" s="88"/>
      <c r="OOW96" s="88"/>
      <c r="OPE96" s="88"/>
      <c r="OPM96" s="88"/>
      <c r="OPU96" s="88"/>
      <c r="OQC96" s="88"/>
      <c r="OQK96" s="88"/>
      <c r="OQS96" s="88"/>
      <c r="ORA96" s="88"/>
      <c r="ORI96" s="88"/>
      <c r="ORQ96" s="88"/>
      <c r="ORY96" s="88"/>
      <c r="OSG96" s="88"/>
      <c r="OSO96" s="88"/>
      <c r="OSW96" s="88"/>
      <c r="OTE96" s="88"/>
      <c r="OTM96" s="88"/>
      <c r="OTU96" s="88"/>
      <c r="OUC96" s="88"/>
      <c r="OUK96" s="88"/>
      <c r="OUS96" s="88"/>
      <c r="OVA96" s="88"/>
      <c r="OVI96" s="88"/>
      <c r="OVQ96" s="88"/>
      <c r="OVY96" s="88"/>
      <c r="OWG96" s="88"/>
      <c r="OWO96" s="88"/>
      <c r="OWW96" s="88"/>
      <c r="OXE96" s="88"/>
      <c r="OXM96" s="88"/>
      <c r="OXU96" s="88"/>
      <c r="OYC96" s="88"/>
      <c r="OYK96" s="88"/>
      <c r="OYS96" s="88"/>
      <c r="OZA96" s="88"/>
      <c r="OZI96" s="88"/>
      <c r="OZQ96" s="88"/>
      <c r="OZY96" s="88"/>
      <c r="PAG96" s="88"/>
      <c r="PAO96" s="88"/>
      <c r="PAW96" s="88"/>
      <c r="PBE96" s="88"/>
      <c r="PBM96" s="88"/>
      <c r="PBU96" s="88"/>
      <c r="PCC96" s="88"/>
      <c r="PCK96" s="88"/>
      <c r="PCS96" s="88"/>
      <c r="PDA96" s="88"/>
      <c r="PDI96" s="88"/>
      <c r="PDQ96" s="88"/>
      <c r="PDY96" s="88"/>
      <c r="PEG96" s="88"/>
      <c r="PEO96" s="88"/>
      <c r="PEW96" s="88"/>
      <c r="PFE96" s="88"/>
      <c r="PFM96" s="88"/>
      <c r="PFU96" s="88"/>
      <c r="PGC96" s="88"/>
      <c r="PGK96" s="88"/>
      <c r="PGS96" s="88"/>
      <c r="PHA96" s="88"/>
      <c r="PHI96" s="88"/>
      <c r="PHQ96" s="88"/>
      <c r="PHY96" s="88"/>
      <c r="PIG96" s="88"/>
      <c r="PIO96" s="88"/>
      <c r="PIW96" s="88"/>
      <c r="PJE96" s="88"/>
      <c r="PJM96" s="88"/>
      <c r="PJU96" s="88"/>
      <c r="PKC96" s="88"/>
      <c r="PKK96" s="88"/>
      <c r="PKS96" s="88"/>
      <c r="PLA96" s="88"/>
      <c r="PLI96" s="88"/>
      <c r="PLQ96" s="88"/>
      <c r="PLY96" s="88"/>
      <c r="PMG96" s="88"/>
      <c r="PMO96" s="88"/>
      <c r="PMW96" s="88"/>
      <c r="PNE96" s="88"/>
      <c r="PNM96" s="88"/>
      <c r="PNU96" s="88"/>
      <c r="POC96" s="88"/>
      <c r="POK96" s="88"/>
      <c r="POS96" s="88"/>
      <c r="PPA96" s="88"/>
      <c r="PPI96" s="88"/>
      <c r="PPQ96" s="88"/>
      <c r="PPY96" s="88"/>
      <c r="PQG96" s="88"/>
      <c r="PQO96" s="88"/>
      <c r="PQW96" s="88"/>
      <c r="PRE96" s="88"/>
      <c r="PRM96" s="88"/>
      <c r="PRU96" s="88"/>
      <c r="PSC96" s="88"/>
      <c r="PSK96" s="88"/>
      <c r="PSS96" s="88"/>
      <c r="PTA96" s="88"/>
      <c r="PTI96" s="88"/>
      <c r="PTQ96" s="88"/>
      <c r="PTY96" s="88"/>
      <c r="PUG96" s="88"/>
      <c r="PUO96" s="88"/>
      <c r="PUW96" s="88"/>
      <c r="PVE96" s="88"/>
      <c r="PVM96" s="88"/>
      <c r="PVU96" s="88"/>
      <c r="PWC96" s="88"/>
      <c r="PWK96" s="88"/>
      <c r="PWS96" s="88"/>
      <c r="PXA96" s="88"/>
      <c r="PXI96" s="88"/>
      <c r="PXQ96" s="88"/>
      <c r="PXY96" s="88"/>
      <c r="PYG96" s="88"/>
      <c r="PYO96" s="88"/>
      <c r="PYW96" s="88"/>
      <c r="PZE96" s="88"/>
      <c r="PZM96" s="88"/>
      <c r="PZU96" s="88"/>
      <c r="QAC96" s="88"/>
      <c r="QAK96" s="88"/>
      <c r="QAS96" s="88"/>
      <c r="QBA96" s="88"/>
      <c r="QBI96" s="88"/>
      <c r="QBQ96" s="88"/>
      <c r="QBY96" s="88"/>
      <c r="QCG96" s="88"/>
      <c r="QCO96" s="88"/>
      <c r="QCW96" s="88"/>
      <c r="QDE96" s="88"/>
      <c r="QDM96" s="88"/>
      <c r="QDU96" s="88"/>
      <c r="QEC96" s="88"/>
      <c r="QEK96" s="88"/>
      <c r="QES96" s="88"/>
      <c r="QFA96" s="88"/>
      <c r="QFI96" s="88"/>
      <c r="QFQ96" s="88"/>
      <c r="QFY96" s="88"/>
      <c r="QGG96" s="88"/>
      <c r="QGO96" s="88"/>
      <c r="QGW96" s="88"/>
      <c r="QHE96" s="88"/>
      <c r="QHM96" s="88"/>
      <c r="QHU96" s="88"/>
      <c r="QIC96" s="88"/>
      <c r="QIK96" s="88"/>
      <c r="QIS96" s="88"/>
      <c r="QJA96" s="88"/>
      <c r="QJI96" s="88"/>
      <c r="QJQ96" s="88"/>
      <c r="QJY96" s="88"/>
      <c r="QKG96" s="88"/>
      <c r="QKO96" s="88"/>
      <c r="QKW96" s="88"/>
      <c r="QLE96" s="88"/>
      <c r="QLM96" s="88"/>
      <c r="QLU96" s="88"/>
      <c r="QMC96" s="88"/>
      <c r="QMK96" s="88"/>
      <c r="QMS96" s="88"/>
      <c r="QNA96" s="88"/>
      <c r="QNI96" s="88"/>
      <c r="QNQ96" s="88"/>
      <c r="QNY96" s="88"/>
      <c r="QOG96" s="88"/>
      <c r="QOO96" s="88"/>
      <c r="QOW96" s="88"/>
      <c r="QPE96" s="88"/>
      <c r="QPM96" s="88"/>
      <c r="QPU96" s="88"/>
      <c r="QQC96" s="88"/>
      <c r="QQK96" s="88"/>
      <c r="QQS96" s="88"/>
      <c r="QRA96" s="88"/>
      <c r="QRI96" s="88"/>
      <c r="QRQ96" s="88"/>
      <c r="QRY96" s="88"/>
      <c r="QSG96" s="88"/>
      <c r="QSO96" s="88"/>
      <c r="QSW96" s="88"/>
      <c r="QTE96" s="88"/>
      <c r="QTM96" s="88"/>
      <c r="QTU96" s="88"/>
      <c r="QUC96" s="88"/>
      <c r="QUK96" s="88"/>
      <c r="QUS96" s="88"/>
      <c r="QVA96" s="88"/>
      <c r="QVI96" s="88"/>
      <c r="QVQ96" s="88"/>
      <c r="QVY96" s="88"/>
      <c r="QWG96" s="88"/>
      <c r="QWO96" s="88"/>
      <c r="QWW96" s="88"/>
      <c r="QXE96" s="88"/>
      <c r="QXM96" s="88"/>
      <c r="QXU96" s="88"/>
      <c r="QYC96" s="88"/>
      <c r="QYK96" s="88"/>
      <c r="QYS96" s="88"/>
      <c r="QZA96" s="88"/>
      <c r="QZI96" s="88"/>
      <c r="QZQ96" s="88"/>
      <c r="QZY96" s="88"/>
      <c r="RAG96" s="88"/>
      <c r="RAO96" s="88"/>
      <c r="RAW96" s="88"/>
      <c r="RBE96" s="88"/>
      <c r="RBM96" s="88"/>
      <c r="RBU96" s="88"/>
      <c r="RCC96" s="88"/>
      <c r="RCK96" s="88"/>
      <c r="RCS96" s="88"/>
      <c r="RDA96" s="88"/>
      <c r="RDI96" s="88"/>
      <c r="RDQ96" s="88"/>
      <c r="RDY96" s="88"/>
      <c r="REG96" s="88"/>
      <c r="REO96" s="88"/>
      <c r="REW96" s="88"/>
      <c r="RFE96" s="88"/>
      <c r="RFM96" s="88"/>
      <c r="RFU96" s="88"/>
      <c r="RGC96" s="88"/>
      <c r="RGK96" s="88"/>
      <c r="RGS96" s="88"/>
      <c r="RHA96" s="88"/>
      <c r="RHI96" s="88"/>
      <c r="RHQ96" s="88"/>
      <c r="RHY96" s="88"/>
      <c r="RIG96" s="88"/>
      <c r="RIO96" s="88"/>
      <c r="RIW96" s="88"/>
      <c r="RJE96" s="88"/>
      <c r="RJM96" s="88"/>
      <c r="RJU96" s="88"/>
      <c r="RKC96" s="88"/>
      <c r="RKK96" s="88"/>
      <c r="RKS96" s="88"/>
      <c r="RLA96" s="88"/>
      <c r="RLI96" s="88"/>
      <c r="RLQ96" s="88"/>
      <c r="RLY96" s="88"/>
      <c r="RMG96" s="88"/>
      <c r="RMO96" s="88"/>
      <c r="RMW96" s="88"/>
      <c r="RNE96" s="88"/>
      <c r="RNM96" s="88"/>
      <c r="RNU96" s="88"/>
      <c r="ROC96" s="88"/>
      <c r="ROK96" s="88"/>
      <c r="ROS96" s="88"/>
      <c r="RPA96" s="88"/>
      <c r="RPI96" s="88"/>
      <c r="RPQ96" s="88"/>
      <c r="RPY96" s="88"/>
      <c r="RQG96" s="88"/>
      <c r="RQO96" s="88"/>
      <c r="RQW96" s="88"/>
      <c r="RRE96" s="88"/>
      <c r="RRM96" s="88"/>
      <c r="RRU96" s="88"/>
      <c r="RSC96" s="88"/>
      <c r="RSK96" s="88"/>
      <c r="RSS96" s="88"/>
      <c r="RTA96" s="88"/>
      <c r="RTI96" s="88"/>
      <c r="RTQ96" s="88"/>
      <c r="RTY96" s="88"/>
      <c r="RUG96" s="88"/>
      <c r="RUO96" s="88"/>
      <c r="RUW96" s="88"/>
      <c r="RVE96" s="88"/>
      <c r="RVM96" s="88"/>
      <c r="RVU96" s="88"/>
      <c r="RWC96" s="88"/>
      <c r="RWK96" s="88"/>
      <c r="RWS96" s="88"/>
      <c r="RXA96" s="88"/>
      <c r="RXI96" s="88"/>
      <c r="RXQ96" s="88"/>
      <c r="RXY96" s="88"/>
      <c r="RYG96" s="88"/>
      <c r="RYO96" s="88"/>
      <c r="RYW96" s="88"/>
      <c r="RZE96" s="88"/>
      <c r="RZM96" s="88"/>
      <c r="RZU96" s="88"/>
      <c r="SAC96" s="88"/>
      <c r="SAK96" s="88"/>
      <c r="SAS96" s="88"/>
      <c r="SBA96" s="88"/>
      <c r="SBI96" s="88"/>
      <c r="SBQ96" s="88"/>
      <c r="SBY96" s="88"/>
      <c r="SCG96" s="88"/>
      <c r="SCO96" s="88"/>
      <c r="SCW96" s="88"/>
      <c r="SDE96" s="88"/>
      <c r="SDM96" s="88"/>
      <c r="SDU96" s="88"/>
      <c r="SEC96" s="88"/>
      <c r="SEK96" s="88"/>
      <c r="SES96" s="88"/>
      <c r="SFA96" s="88"/>
      <c r="SFI96" s="88"/>
      <c r="SFQ96" s="88"/>
      <c r="SFY96" s="88"/>
      <c r="SGG96" s="88"/>
      <c r="SGO96" s="88"/>
      <c r="SGW96" s="88"/>
      <c r="SHE96" s="88"/>
      <c r="SHM96" s="88"/>
      <c r="SHU96" s="88"/>
      <c r="SIC96" s="88"/>
      <c r="SIK96" s="88"/>
      <c r="SIS96" s="88"/>
      <c r="SJA96" s="88"/>
      <c r="SJI96" s="88"/>
      <c r="SJQ96" s="88"/>
      <c r="SJY96" s="88"/>
      <c r="SKG96" s="88"/>
      <c r="SKO96" s="88"/>
      <c r="SKW96" s="88"/>
      <c r="SLE96" s="88"/>
      <c r="SLM96" s="88"/>
      <c r="SLU96" s="88"/>
      <c r="SMC96" s="88"/>
      <c r="SMK96" s="88"/>
      <c r="SMS96" s="88"/>
      <c r="SNA96" s="88"/>
      <c r="SNI96" s="88"/>
      <c r="SNQ96" s="88"/>
      <c r="SNY96" s="88"/>
      <c r="SOG96" s="88"/>
      <c r="SOO96" s="88"/>
      <c r="SOW96" s="88"/>
      <c r="SPE96" s="88"/>
      <c r="SPM96" s="88"/>
      <c r="SPU96" s="88"/>
      <c r="SQC96" s="88"/>
      <c r="SQK96" s="88"/>
      <c r="SQS96" s="88"/>
      <c r="SRA96" s="88"/>
      <c r="SRI96" s="88"/>
      <c r="SRQ96" s="88"/>
      <c r="SRY96" s="88"/>
      <c r="SSG96" s="88"/>
      <c r="SSO96" s="88"/>
      <c r="SSW96" s="88"/>
      <c r="STE96" s="88"/>
      <c r="STM96" s="88"/>
      <c r="STU96" s="88"/>
      <c r="SUC96" s="88"/>
      <c r="SUK96" s="88"/>
      <c r="SUS96" s="88"/>
      <c r="SVA96" s="88"/>
      <c r="SVI96" s="88"/>
      <c r="SVQ96" s="88"/>
      <c r="SVY96" s="88"/>
      <c r="SWG96" s="88"/>
      <c r="SWO96" s="88"/>
      <c r="SWW96" s="88"/>
      <c r="SXE96" s="88"/>
      <c r="SXM96" s="88"/>
      <c r="SXU96" s="88"/>
      <c r="SYC96" s="88"/>
      <c r="SYK96" s="88"/>
      <c r="SYS96" s="88"/>
      <c r="SZA96" s="88"/>
      <c r="SZI96" s="88"/>
      <c r="SZQ96" s="88"/>
      <c r="SZY96" s="88"/>
      <c r="TAG96" s="88"/>
      <c r="TAO96" s="88"/>
      <c r="TAW96" s="88"/>
      <c r="TBE96" s="88"/>
      <c r="TBM96" s="88"/>
      <c r="TBU96" s="88"/>
      <c r="TCC96" s="88"/>
      <c r="TCK96" s="88"/>
      <c r="TCS96" s="88"/>
      <c r="TDA96" s="88"/>
      <c r="TDI96" s="88"/>
      <c r="TDQ96" s="88"/>
      <c r="TDY96" s="88"/>
      <c r="TEG96" s="88"/>
      <c r="TEO96" s="88"/>
      <c r="TEW96" s="88"/>
      <c r="TFE96" s="88"/>
      <c r="TFM96" s="88"/>
      <c r="TFU96" s="88"/>
      <c r="TGC96" s="88"/>
      <c r="TGK96" s="88"/>
      <c r="TGS96" s="88"/>
      <c r="THA96" s="88"/>
      <c r="THI96" s="88"/>
      <c r="THQ96" s="88"/>
      <c r="THY96" s="88"/>
      <c r="TIG96" s="88"/>
      <c r="TIO96" s="88"/>
      <c r="TIW96" s="88"/>
      <c r="TJE96" s="88"/>
      <c r="TJM96" s="88"/>
      <c r="TJU96" s="88"/>
      <c r="TKC96" s="88"/>
      <c r="TKK96" s="88"/>
      <c r="TKS96" s="88"/>
      <c r="TLA96" s="88"/>
      <c r="TLI96" s="88"/>
      <c r="TLQ96" s="88"/>
      <c r="TLY96" s="88"/>
      <c r="TMG96" s="88"/>
      <c r="TMO96" s="88"/>
      <c r="TMW96" s="88"/>
      <c r="TNE96" s="88"/>
      <c r="TNM96" s="88"/>
      <c r="TNU96" s="88"/>
      <c r="TOC96" s="88"/>
      <c r="TOK96" s="88"/>
      <c r="TOS96" s="88"/>
      <c r="TPA96" s="88"/>
      <c r="TPI96" s="88"/>
      <c r="TPQ96" s="88"/>
      <c r="TPY96" s="88"/>
      <c r="TQG96" s="88"/>
      <c r="TQO96" s="88"/>
      <c r="TQW96" s="88"/>
      <c r="TRE96" s="88"/>
      <c r="TRM96" s="88"/>
      <c r="TRU96" s="88"/>
      <c r="TSC96" s="88"/>
      <c r="TSK96" s="88"/>
      <c r="TSS96" s="88"/>
      <c r="TTA96" s="88"/>
      <c r="TTI96" s="88"/>
      <c r="TTQ96" s="88"/>
      <c r="TTY96" s="88"/>
      <c r="TUG96" s="88"/>
      <c r="TUO96" s="88"/>
      <c r="TUW96" s="88"/>
      <c r="TVE96" s="88"/>
      <c r="TVM96" s="88"/>
      <c r="TVU96" s="88"/>
      <c r="TWC96" s="88"/>
      <c r="TWK96" s="88"/>
      <c r="TWS96" s="88"/>
      <c r="TXA96" s="88"/>
      <c r="TXI96" s="88"/>
      <c r="TXQ96" s="88"/>
      <c r="TXY96" s="88"/>
      <c r="TYG96" s="88"/>
      <c r="TYO96" s="88"/>
      <c r="TYW96" s="88"/>
      <c r="TZE96" s="88"/>
      <c r="TZM96" s="88"/>
      <c r="TZU96" s="88"/>
      <c r="UAC96" s="88"/>
      <c r="UAK96" s="88"/>
      <c r="UAS96" s="88"/>
      <c r="UBA96" s="88"/>
      <c r="UBI96" s="88"/>
      <c r="UBQ96" s="88"/>
      <c r="UBY96" s="88"/>
      <c r="UCG96" s="88"/>
      <c r="UCO96" s="88"/>
      <c r="UCW96" s="88"/>
      <c r="UDE96" s="88"/>
      <c r="UDM96" s="88"/>
      <c r="UDU96" s="88"/>
      <c r="UEC96" s="88"/>
      <c r="UEK96" s="88"/>
      <c r="UES96" s="88"/>
      <c r="UFA96" s="88"/>
      <c r="UFI96" s="88"/>
      <c r="UFQ96" s="88"/>
      <c r="UFY96" s="88"/>
      <c r="UGG96" s="88"/>
      <c r="UGO96" s="88"/>
      <c r="UGW96" s="88"/>
      <c r="UHE96" s="88"/>
      <c r="UHM96" s="88"/>
      <c r="UHU96" s="88"/>
      <c r="UIC96" s="88"/>
      <c r="UIK96" s="88"/>
      <c r="UIS96" s="88"/>
      <c r="UJA96" s="88"/>
      <c r="UJI96" s="88"/>
      <c r="UJQ96" s="88"/>
      <c r="UJY96" s="88"/>
      <c r="UKG96" s="88"/>
      <c r="UKO96" s="88"/>
      <c r="UKW96" s="88"/>
      <c r="ULE96" s="88"/>
      <c r="ULM96" s="88"/>
      <c r="ULU96" s="88"/>
      <c r="UMC96" s="88"/>
      <c r="UMK96" s="88"/>
      <c r="UMS96" s="88"/>
      <c r="UNA96" s="88"/>
      <c r="UNI96" s="88"/>
      <c r="UNQ96" s="88"/>
      <c r="UNY96" s="88"/>
      <c r="UOG96" s="88"/>
      <c r="UOO96" s="88"/>
      <c r="UOW96" s="88"/>
      <c r="UPE96" s="88"/>
      <c r="UPM96" s="88"/>
      <c r="UPU96" s="88"/>
      <c r="UQC96" s="88"/>
      <c r="UQK96" s="88"/>
      <c r="UQS96" s="88"/>
      <c r="URA96" s="88"/>
      <c r="URI96" s="88"/>
      <c r="URQ96" s="88"/>
      <c r="URY96" s="88"/>
      <c r="USG96" s="88"/>
      <c r="USO96" s="88"/>
      <c r="USW96" s="88"/>
      <c r="UTE96" s="88"/>
      <c r="UTM96" s="88"/>
      <c r="UTU96" s="88"/>
      <c r="UUC96" s="88"/>
      <c r="UUK96" s="88"/>
      <c r="UUS96" s="88"/>
      <c r="UVA96" s="88"/>
      <c r="UVI96" s="88"/>
      <c r="UVQ96" s="88"/>
      <c r="UVY96" s="88"/>
      <c r="UWG96" s="88"/>
      <c r="UWO96" s="88"/>
      <c r="UWW96" s="88"/>
      <c r="UXE96" s="88"/>
      <c r="UXM96" s="88"/>
      <c r="UXU96" s="88"/>
      <c r="UYC96" s="88"/>
      <c r="UYK96" s="88"/>
      <c r="UYS96" s="88"/>
      <c r="UZA96" s="88"/>
      <c r="UZI96" s="88"/>
      <c r="UZQ96" s="88"/>
      <c r="UZY96" s="88"/>
      <c r="VAG96" s="88"/>
      <c r="VAO96" s="88"/>
      <c r="VAW96" s="88"/>
      <c r="VBE96" s="88"/>
      <c r="VBM96" s="88"/>
      <c r="VBU96" s="88"/>
      <c r="VCC96" s="88"/>
      <c r="VCK96" s="88"/>
      <c r="VCS96" s="88"/>
      <c r="VDA96" s="88"/>
      <c r="VDI96" s="88"/>
      <c r="VDQ96" s="88"/>
      <c r="VDY96" s="88"/>
      <c r="VEG96" s="88"/>
      <c r="VEO96" s="88"/>
      <c r="VEW96" s="88"/>
      <c r="VFE96" s="88"/>
      <c r="VFM96" s="88"/>
      <c r="VFU96" s="88"/>
      <c r="VGC96" s="88"/>
      <c r="VGK96" s="88"/>
      <c r="VGS96" s="88"/>
      <c r="VHA96" s="88"/>
      <c r="VHI96" s="88"/>
      <c r="VHQ96" s="88"/>
      <c r="VHY96" s="88"/>
      <c r="VIG96" s="88"/>
      <c r="VIO96" s="88"/>
      <c r="VIW96" s="88"/>
      <c r="VJE96" s="88"/>
      <c r="VJM96" s="88"/>
      <c r="VJU96" s="88"/>
      <c r="VKC96" s="88"/>
      <c r="VKK96" s="88"/>
      <c r="VKS96" s="88"/>
      <c r="VLA96" s="88"/>
      <c r="VLI96" s="88"/>
      <c r="VLQ96" s="88"/>
      <c r="VLY96" s="88"/>
      <c r="VMG96" s="88"/>
      <c r="VMO96" s="88"/>
      <c r="VMW96" s="88"/>
      <c r="VNE96" s="88"/>
      <c r="VNM96" s="88"/>
      <c r="VNU96" s="88"/>
      <c r="VOC96" s="88"/>
      <c r="VOK96" s="88"/>
      <c r="VOS96" s="88"/>
      <c r="VPA96" s="88"/>
      <c r="VPI96" s="88"/>
      <c r="VPQ96" s="88"/>
      <c r="VPY96" s="88"/>
      <c r="VQG96" s="88"/>
      <c r="VQO96" s="88"/>
      <c r="VQW96" s="88"/>
      <c r="VRE96" s="88"/>
      <c r="VRM96" s="88"/>
      <c r="VRU96" s="88"/>
      <c r="VSC96" s="88"/>
      <c r="VSK96" s="88"/>
      <c r="VSS96" s="88"/>
      <c r="VTA96" s="88"/>
      <c r="VTI96" s="88"/>
      <c r="VTQ96" s="88"/>
      <c r="VTY96" s="88"/>
      <c r="VUG96" s="88"/>
      <c r="VUO96" s="88"/>
      <c r="VUW96" s="88"/>
      <c r="VVE96" s="88"/>
      <c r="VVM96" s="88"/>
      <c r="VVU96" s="88"/>
      <c r="VWC96" s="88"/>
      <c r="VWK96" s="88"/>
      <c r="VWS96" s="88"/>
      <c r="VXA96" s="88"/>
      <c r="VXI96" s="88"/>
      <c r="VXQ96" s="88"/>
      <c r="VXY96" s="88"/>
      <c r="VYG96" s="88"/>
      <c r="VYO96" s="88"/>
      <c r="VYW96" s="88"/>
      <c r="VZE96" s="88"/>
      <c r="VZM96" s="88"/>
      <c r="VZU96" s="88"/>
      <c r="WAC96" s="88"/>
      <c r="WAK96" s="88"/>
      <c r="WAS96" s="88"/>
      <c r="WBA96" s="88"/>
      <c r="WBI96" s="88"/>
      <c r="WBQ96" s="88"/>
      <c r="WBY96" s="88"/>
      <c r="WCG96" s="88"/>
      <c r="WCO96" s="88"/>
      <c r="WCW96" s="88"/>
      <c r="WDE96" s="88"/>
      <c r="WDM96" s="88"/>
      <c r="WDU96" s="88"/>
      <c r="WEC96" s="88"/>
      <c r="WEK96" s="88"/>
      <c r="WES96" s="88"/>
      <c r="WFA96" s="88"/>
      <c r="WFI96" s="88"/>
      <c r="WFQ96" s="88"/>
      <c r="WFY96" s="88"/>
      <c r="WGG96" s="88"/>
      <c r="WGO96" s="88"/>
      <c r="WGW96" s="88"/>
      <c r="WHE96" s="88"/>
      <c r="WHM96" s="88"/>
      <c r="WHU96" s="88"/>
      <c r="WIC96" s="88"/>
      <c r="WIK96" s="88"/>
      <c r="WIS96" s="88"/>
      <c r="WJA96" s="88"/>
      <c r="WJI96" s="88"/>
      <c r="WJQ96" s="88"/>
      <c r="WJY96" s="88"/>
      <c r="WKG96" s="88"/>
      <c r="WKO96" s="88"/>
      <c r="WKW96" s="88"/>
      <c r="WLE96" s="88"/>
      <c r="WLM96" s="88"/>
      <c r="WLU96" s="88"/>
      <c r="WMC96" s="88"/>
      <c r="WMK96" s="88"/>
      <c r="WMS96" s="88"/>
      <c r="WNA96" s="88"/>
      <c r="WNI96" s="88"/>
      <c r="WNQ96" s="88"/>
      <c r="WNY96" s="88"/>
      <c r="WOG96" s="88"/>
      <c r="WOO96" s="88"/>
      <c r="WOW96" s="88"/>
      <c r="WPE96" s="88"/>
      <c r="WPM96" s="88"/>
      <c r="WPU96" s="88"/>
      <c r="WQC96" s="88"/>
      <c r="WQK96" s="88"/>
      <c r="WQS96" s="88"/>
      <c r="WRA96" s="88"/>
      <c r="WRI96" s="88"/>
      <c r="WRQ96" s="88"/>
      <c r="WRY96" s="88"/>
      <c r="WSG96" s="88"/>
      <c r="WSO96" s="88"/>
      <c r="WSW96" s="88"/>
      <c r="WTE96" s="88"/>
      <c r="WTM96" s="88"/>
      <c r="WTU96" s="88"/>
      <c r="WUC96" s="88"/>
      <c r="WUK96" s="88"/>
      <c r="WUS96" s="88"/>
      <c r="WVA96" s="88"/>
      <c r="WVI96" s="88"/>
      <c r="WVQ96" s="88"/>
      <c r="WVY96" s="88"/>
      <c r="WWG96" s="88"/>
      <c r="WWO96" s="88"/>
      <c r="WWW96" s="88"/>
      <c r="WXE96" s="88"/>
      <c r="WXM96" s="88"/>
      <c r="WXU96" s="88"/>
      <c r="WYC96" s="88"/>
      <c r="WYK96" s="88"/>
      <c r="WYS96" s="88"/>
      <c r="WZA96" s="88"/>
      <c r="WZI96" s="88"/>
      <c r="WZQ96" s="88"/>
      <c r="WZY96" s="88"/>
      <c r="XAG96" s="88"/>
      <c r="XAO96" s="88"/>
      <c r="XAW96" s="88"/>
      <c r="XBE96" s="88"/>
      <c r="XBM96" s="88"/>
      <c r="XBU96" s="88"/>
      <c r="XCC96" s="88"/>
      <c r="XCK96" s="88"/>
      <c r="XCS96" s="88"/>
      <c r="XDA96" s="88"/>
      <c r="XDI96" s="88"/>
      <c r="XDQ96" s="88"/>
      <c r="XDY96" s="88"/>
      <c r="XEG96" s="88"/>
      <c r="XEO96" s="88"/>
      <c r="XEW96" s="88"/>
    </row>
    <row r="97" spans="1:1017 1025:2041 2049:3065 3073:4089 4097:5113 5121:6137 6145:7161 7169:8185 8193:9209 9217:10233 10241:11257 11265:12281 12289:13305 13313:14329 14337:15353 15361:16377" s="99" customFormat="1" ht="15.75" customHeight="1" x14ac:dyDescent="0.25">
      <c r="A97" s="88" t="s">
        <v>1035</v>
      </c>
      <c r="B97" s="99">
        <v>0</v>
      </c>
      <c r="C97" s="99">
        <v>0</v>
      </c>
      <c r="D97" s="99">
        <v>0</v>
      </c>
      <c r="E97" s="99">
        <v>0</v>
      </c>
      <c r="F97" s="99">
        <v>1093488.2475000001</v>
      </c>
      <c r="G97" s="99">
        <v>0</v>
      </c>
      <c r="H97" s="99">
        <v>1093488.2475000001</v>
      </c>
      <c r="I97" s="88"/>
      <c r="Q97" s="88"/>
      <c r="Y97" s="88"/>
      <c r="AG97" s="88"/>
      <c r="AO97" s="88"/>
      <c r="AW97" s="88"/>
      <c r="BE97" s="88"/>
      <c r="BM97" s="88"/>
      <c r="BU97" s="88"/>
      <c r="CC97" s="88"/>
      <c r="CK97" s="88"/>
      <c r="CS97" s="88"/>
      <c r="DA97" s="88"/>
      <c r="DI97" s="88"/>
      <c r="DQ97" s="88"/>
      <c r="DY97" s="88"/>
      <c r="EG97" s="88"/>
      <c r="EO97" s="88"/>
      <c r="EW97" s="88"/>
      <c r="FE97" s="88"/>
      <c r="FM97" s="88"/>
      <c r="FU97" s="88"/>
      <c r="GC97" s="88"/>
      <c r="GK97" s="88"/>
      <c r="GS97" s="88"/>
      <c r="HA97" s="88"/>
      <c r="HI97" s="88"/>
      <c r="HQ97" s="88"/>
      <c r="HY97" s="88"/>
      <c r="IG97" s="88"/>
      <c r="IO97" s="88"/>
      <c r="IW97" s="88"/>
      <c r="JE97" s="88"/>
      <c r="JM97" s="88"/>
      <c r="JU97" s="88"/>
      <c r="KC97" s="88"/>
      <c r="KK97" s="88"/>
      <c r="KS97" s="88"/>
      <c r="LA97" s="88"/>
      <c r="LI97" s="88"/>
      <c r="LQ97" s="88"/>
      <c r="LY97" s="88"/>
      <c r="MG97" s="88"/>
      <c r="MO97" s="88"/>
      <c r="MW97" s="88"/>
      <c r="NE97" s="88"/>
      <c r="NM97" s="88"/>
      <c r="NU97" s="88"/>
      <c r="OC97" s="88"/>
      <c r="OK97" s="88"/>
      <c r="OS97" s="88"/>
      <c r="PA97" s="88"/>
      <c r="PI97" s="88"/>
      <c r="PQ97" s="88"/>
      <c r="PY97" s="88"/>
      <c r="QG97" s="88"/>
      <c r="QO97" s="88"/>
      <c r="QW97" s="88"/>
      <c r="RE97" s="88"/>
      <c r="RM97" s="88"/>
      <c r="RU97" s="88"/>
      <c r="SC97" s="88"/>
      <c r="SK97" s="88"/>
      <c r="SS97" s="88"/>
      <c r="TA97" s="88"/>
      <c r="TI97" s="88"/>
      <c r="TQ97" s="88"/>
      <c r="TY97" s="88"/>
      <c r="UG97" s="88"/>
      <c r="UO97" s="88"/>
      <c r="UW97" s="88"/>
      <c r="VE97" s="88"/>
      <c r="VM97" s="88"/>
      <c r="VU97" s="88"/>
      <c r="WC97" s="88"/>
      <c r="WK97" s="88"/>
      <c r="WS97" s="88"/>
      <c r="XA97" s="88"/>
      <c r="XI97" s="88"/>
      <c r="XQ97" s="88"/>
      <c r="XY97" s="88"/>
      <c r="YG97" s="88"/>
      <c r="YO97" s="88"/>
      <c r="YW97" s="88"/>
      <c r="ZE97" s="88"/>
      <c r="ZM97" s="88"/>
      <c r="ZU97" s="88"/>
      <c r="AAC97" s="88"/>
      <c r="AAK97" s="88"/>
      <c r="AAS97" s="88"/>
      <c r="ABA97" s="88"/>
      <c r="ABI97" s="88"/>
      <c r="ABQ97" s="88"/>
      <c r="ABY97" s="88"/>
      <c r="ACG97" s="88"/>
      <c r="ACO97" s="88"/>
      <c r="ACW97" s="88"/>
      <c r="ADE97" s="88"/>
      <c r="ADM97" s="88"/>
      <c r="ADU97" s="88"/>
      <c r="AEC97" s="88"/>
      <c r="AEK97" s="88"/>
      <c r="AES97" s="88"/>
      <c r="AFA97" s="88"/>
      <c r="AFI97" s="88"/>
      <c r="AFQ97" s="88"/>
      <c r="AFY97" s="88"/>
      <c r="AGG97" s="88"/>
      <c r="AGO97" s="88"/>
      <c r="AGW97" s="88"/>
      <c r="AHE97" s="88"/>
      <c r="AHM97" s="88"/>
      <c r="AHU97" s="88"/>
      <c r="AIC97" s="88"/>
      <c r="AIK97" s="88"/>
      <c r="AIS97" s="88"/>
      <c r="AJA97" s="88"/>
      <c r="AJI97" s="88"/>
      <c r="AJQ97" s="88"/>
      <c r="AJY97" s="88"/>
      <c r="AKG97" s="88"/>
      <c r="AKO97" s="88"/>
      <c r="AKW97" s="88"/>
      <c r="ALE97" s="88"/>
      <c r="ALM97" s="88"/>
      <c r="ALU97" s="88"/>
      <c r="AMC97" s="88"/>
      <c r="AMK97" s="88"/>
      <c r="AMS97" s="88"/>
      <c r="ANA97" s="88"/>
      <c r="ANI97" s="88"/>
      <c r="ANQ97" s="88"/>
      <c r="ANY97" s="88"/>
      <c r="AOG97" s="88"/>
      <c r="AOO97" s="88"/>
      <c r="AOW97" s="88"/>
      <c r="APE97" s="88"/>
      <c r="APM97" s="88"/>
      <c r="APU97" s="88"/>
      <c r="AQC97" s="88"/>
      <c r="AQK97" s="88"/>
      <c r="AQS97" s="88"/>
      <c r="ARA97" s="88"/>
      <c r="ARI97" s="88"/>
      <c r="ARQ97" s="88"/>
      <c r="ARY97" s="88"/>
      <c r="ASG97" s="88"/>
      <c r="ASO97" s="88"/>
      <c r="ASW97" s="88"/>
      <c r="ATE97" s="88"/>
      <c r="ATM97" s="88"/>
      <c r="ATU97" s="88"/>
      <c r="AUC97" s="88"/>
      <c r="AUK97" s="88"/>
      <c r="AUS97" s="88"/>
      <c r="AVA97" s="88"/>
      <c r="AVI97" s="88"/>
      <c r="AVQ97" s="88"/>
      <c r="AVY97" s="88"/>
      <c r="AWG97" s="88"/>
      <c r="AWO97" s="88"/>
      <c r="AWW97" s="88"/>
      <c r="AXE97" s="88"/>
      <c r="AXM97" s="88"/>
      <c r="AXU97" s="88"/>
      <c r="AYC97" s="88"/>
      <c r="AYK97" s="88"/>
      <c r="AYS97" s="88"/>
      <c r="AZA97" s="88"/>
      <c r="AZI97" s="88"/>
      <c r="AZQ97" s="88"/>
      <c r="AZY97" s="88"/>
      <c r="BAG97" s="88"/>
      <c r="BAO97" s="88"/>
      <c r="BAW97" s="88"/>
      <c r="BBE97" s="88"/>
      <c r="BBM97" s="88"/>
      <c r="BBU97" s="88"/>
      <c r="BCC97" s="88"/>
      <c r="BCK97" s="88"/>
      <c r="BCS97" s="88"/>
      <c r="BDA97" s="88"/>
      <c r="BDI97" s="88"/>
      <c r="BDQ97" s="88"/>
      <c r="BDY97" s="88"/>
      <c r="BEG97" s="88"/>
      <c r="BEO97" s="88"/>
      <c r="BEW97" s="88"/>
      <c r="BFE97" s="88"/>
      <c r="BFM97" s="88"/>
      <c r="BFU97" s="88"/>
      <c r="BGC97" s="88"/>
      <c r="BGK97" s="88"/>
      <c r="BGS97" s="88"/>
      <c r="BHA97" s="88"/>
      <c r="BHI97" s="88"/>
      <c r="BHQ97" s="88"/>
      <c r="BHY97" s="88"/>
      <c r="BIG97" s="88"/>
      <c r="BIO97" s="88"/>
      <c r="BIW97" s="88"/>
      <c r="BJE97" s="88"/>
      <c r="BJM97" s="88"/>
      <c r="BJU97" s="88"/>
      <c r="BKC97" s="88"/>
      <c r="BKK97" s="88"/>
      <c r="BKS97" s="88"/>
      <c r="BLA97" s="88"/>
      <c r="BLI97" s="88"/>
      <c r="BLQ97" s="88"/>
      <c r="BLY97" s="88"/>
      <c r="BMG97" s="88"/>
      <c r="BMO97" s="88"/>
      <c r="BMW97" s="88"/>
      <c r="BNE97" s="88"/>
      <c r="BNM97" s="88"/>
      <c r="BNU97" s="88"/>
      <c r="BOC97" s="88"/>
      <c r="BOK97" s="88"/>
      <c r="BOS97" s="88"/>
      <c r="BPA97" s="88"/>
      <c r="BPI97" s="88"/>
      <c r="BPQ97" s="88"/>
      <c r="BPY97" s="88"/>
      <c r="BQG97" s="88"/>
      <c r="BQO97" s="88"/>
      <c r="BQW97" s="88"/>
      <c r="BRE97" s="88"/>
      <c r="BRM97" s="88"/>
      <c r="BRU97" s="88"/>
      <c r="BSC97" s="88"/>
      <c r="BSK97" s="88"/>
      <c r="BSS97" s="88"/>
      <c r="BTA97" s="88"/>
      <c r="BTI97" s="88"/>
      <c r="BTQ97" s="88"/>
      <c r="BTY97" s="88"/>
      <c r="BUG97" s="88"/>
      <c r="BUO97" s="88"/>
      <c r="BUW97" s="88"/>
      <c r="BVE97" s="88"/>
      <c r="BVM97" s="88"/>
      <c r="BVU97" s="88"/>
      <c r="BWC97" s="88"/>
      <c r="BWK97" s="88"/>
      <c r="BWS97" s="88"/>
      <c r="BXA97" s="88"/>
      <c r="BXI97" s="88"/>
      <c r="BXQ97" s="88"/>
      <c r="BXY97" s="88"/>
      <c r="BYG97" s="88"/>
      <c r="BYO97" s="88"/>
      <c r="BYW97" s="88"/>
      <c r="BZE97" s="88"/>
      <c r="BZM97" s="88"/>
      <c r="BZU97" s="88"/>
      <c r="CAC97" s="88"/>
      <c r="CAK97" s="88"/>
      <c r="CAS97" s="88"/>
      <c r="CBA97" s="88"/>
      <c r="CBI97" s="88"/>
      <c r="CBQ97" s="88"/>
      <c r="CBY97" s="88"/>
      <c r="CCG97" s="88"/>
      <c r="CCO97" s="88"/>
      <c r="CCW97" s="88"/>
      <c r="CDE97" s="88"/>
      <c r="CDM97" s="88"/>
      <c r="CDU97" s="88"/>
      <c r="CEC97" s="88"/>
      <c r="CEK97" s="88"/>
      <c r="CES97" s="88"/>
      <c r="CFA97" s="88"/>
      <c r="CFI97" s="88"/>
      <c r="CFQ97" s="88"/>
      <c r="CFY97" s="88"/>
      <c r="CGG97" s="88"/>
      <c r="CGO97" s="88"/>
      <c r="CGW97" s="88"/>
      <c r="CHE97" s="88"/>
      <c r="CHM97" s="88"/>
      <c r="CHU97" s="88"/>
      <c r="CIC97" s="88"/>
      <c r="CIK97" s="88"/>
      <c r="CIS97" s="88"/>
      <c r="CJA97" s="88"/>
      <c r="CJI97" s="88"/>
      <c r="CJQ97" s="88"/>
      <c r="CJY97" s="88"/>
      <c r="CKG97" s="88"/>
      <c r="CKO97" s="88"/>
      <c r="CKW97" s="88"/>
      <c r="CLE97" s="88"/>
      <c r="CLM97" s="88"/>
      <c r="CLU97" s="88"/>
      <c r="CMC97" s="88"/>
      <c r="CMK97" s="88"/>
      <c r="CMS97" s="88"/>
      <c r="CNA97" s="88"/>
      <c r="CNI97" s="88"/>
      <c r="CNQ97" s="88"/>
      <c r="CNY97" s="88"/>
      <c r="COG97" s="88"/>
      <c r="COO97" s="88"/>
      <c r="COW97" s="88"/>
      <c r="CPE97" s="88"/>
      <c r="CPM97" s="88"/>
      <c r="CPU97" s="88"/>
      <c r="CQC97" s="88"/>
      <c r="CQK97" s="88"/>
      <c r="CQS97" s="88"/>
      <c r="CRA97" s="88"/>
      <c r="CRI97" s="88"/>
      <c r="CRQ97" s="88"/>
      <c r="CRY97" s="88"/>
      <c r="CSG97" s="88"/>
      <c r="CSO97" s="88"/>
      <c r="CSW97" s="88"/>
      <c r="CTE97" s="88"/>
      <c r="CTM97" s="88"/>
      <c r="CTU97" s="88"/>
      <c r="CUC97" s="88"/>
      <c r="CUK97" s="88"/>
      <c r="CUS97" s="88"/>
      <c r="CVA97" s="88"/>
      <c r="CVI97" s="88"/>
      <c r="CVQ97" s="88"/>
      <c r="CVY97" s="88"/>
      <c r="CWG97" s="88"/>
      <c r="CWO97" s="88"/>
      <c r="CWW97" s="88"/>
      <c r="CXE97" s="88"/>
      <c r="CXM97" s="88"/>
      <c r="CXU97" s="88"/>
      <c r="CYC97" s="88"/>
      <c r="CYK97" s="88"/>
      <c r="CYS97" s="88"/>
      <c r="CZA97" s="88"/>
      <c r="CZI97" s="88"/>
      <c r="CZQ97" s="88"/>
      <c r="CZY97" s="88"/>
      <c r="DAG97" s="88"/>
      <c r="DAO97" s="88"/>
      <c r="DAW97" s="88"/>
      <c r="DBE97" s="88"/>
      <c r="DBM97" s="88"/>
      <c r="DBU97" s="88"/>
      <c r="DCC97" s="88"/>
      <c r="DCK97" s="88"/>
      <c r="DCS97" s="88"/>
      <c r="DDA97" s="88"/>
      <c r="DDI97" s="88"/>
      <c r="DDQ97" s="88"/>
      <c r="DDY97" s="88"/>
      <c r="DEG97" s="88"/>
      <c r="DEO97" s="88"/>
      <c r="DEW97" s="88"/>
      <c r="DFE97" s="88"/>
      <c r="DFM97" s="88"/>
      <c r="DFU97" s="88"/>
      <c r="DGC97" s="88"/>
      <c r="DGK97" s="88"/>
      <c r="DGS97" s="88"/>
      <c r="DHA97" s="88"/>
      <c r="DHI97" s="88"/>
      <c r="DHQ97" s="88"/>
      <c r="DHY97" s="88"/>
      <c r="DIG97" s="88"/>
      <c r="DIO97" s="88"/>
      <c r="DIW97" s="88"/>
      <c r="DJE97" s="88"/>
      <c r="DJM97" s="88"/>
      <c r="DJU97" s="88"/>
      <c r="DKC97" s="88"/>
      <c r="DKK97" s="88"/>
      <c r="DKS97" s="88"/>
      <c r="DLA97" s="88"/>
      <c r="DLI97" s="88"/>
      <c r="DLQ97" s="88"/>
      <c r="DLY97" s="88"/>
      <c r="DMG97" s="88"/>
      <c r="DMO97" s="88"/>
      <c r="DMW97" s="88"/>
      <c r="DNE97" s="88"/>
      <c r="DNM97" s="88"/>
      <c r="DNU97" s="88"/>
      <c r="DOC97" s="88"/>
      <c r="DOK97" s="88"/>
      <c r="DOS97" s="88"/>
      <c r="DPA97" s="88"/>
      <c r="DPI97" s="88"/>
      <c r="DPQ97" s="88"/>
      <c r="DPY97" s="88"/>
      <c r="DQG97" s="88"/>
      <c r="DQO97" s="88"/>
      <c r="DQW97" s="88"/>
      <c r="DRE97" s="88"/>
      <c r="DRM97" s="88"/>
      <c r="DRU97" s="88"/>
      <c r="DSC97" s="88"/>
      <c r="DSK97" s="88"/>
      <c r="DSS97" s="88"/>
      <c r="DTA97" s="88"/>
      <c r="DTI97" s="88"/>
      <c r="DTQ97" s="88"/>
      <c r="DTY97" s="88"/>
      <c r="DUG97" s="88"/>
      <c r="DUO97" s="88"/>
      <c r="DUW97" s="88"/>
      <c r="DVE97" s="88"/>
      <c r="DVM97" s="88"/>
      <c r="DVU97" s="88"/>
      <c r="DWC97" s="88"/>
      <c r="DWK97" s="88"/>
      <c r="DWS97" s="88"/>
      <c r="DXA97" s="88"/>
      <c r="DXI97" s="88"/>
      <c r="DXQ97" s="88"/>
      <c r="DXY97" s="88"/>
      <c r="DYG97" s="88"/>
      <c r="DYO97" s="88"/>
      <c r="DYW97" s="88"/>
      <c r="DZE97" s="88"/>
      <c r="DZM97" s="88"/>
      <c r="DZU97" s="88"/>
      <c r="EAC97" s="88"/>
      <c r="EAK97" s="88"/>
      <c r="EAS97" s="88"/>
      <c r="EBA97" s="88"/>
      <c r="EBI97" s="88"/>
      <c r="EBQ97" s="88"/>
      <c r="EBY97" s="88"/>
      <c r="ECG97" s="88"/>
      <c r="ECO97" s="88"/>
      <c r="ECW97" s="88"/>
      <c r="EDE97" s="88"/>
      <c r="EDM97" s="88"/>
      <c r="EDU97" s="88"/>
      <c r="EEC97" s="88"/>
      <c r="EEK97" s="88"/>
      <c r="EES97" s="88"/>
      <c r="EFA97" s="88"/>
      <c r="EFI97" s="88"/>
      <c r="EFQ97" s="88"/>
      <c r="EFY97" s="88"/>
      <c r="EGG97" s="88"/>
      <c r="EGO97" s="88"/>
      <c r="EGW97" s="88"/>
      <c r="EHE97" s="88"/>
      <c r="EHM97" s="88"/>
      <c r="EHU97" s="88"/>
      <c r="EIC97" s="88"/>
      <c r="EIK97" s="88"/>
      <c r="EIS97" s="88"/>
      <c r="EJA97" s="88"/>
      <c r="EJI97" s="88"/>
      <c r="EJQ97" s="88"/>
      <c r="EJY97" s="88"/>
      <c r="EKG97" s="88"/>
      <c r="EKO97" s="88"/>
      <c r="EKW97" s="88"/>
      <c r="ELE97" s="88"/>
      <c r="ELM97" s="88"/>
      <c r="ELU97" s="88"/>
      <c r="EMC97" s="88"/>
      <c r="EMK97" s="88"/>
      <c r="EMS97" s="88"/>
      <c r="ENA97" s="88"/>
      <c r="ENI97" s="88"/>
      <c r="ENQ97" s="88"/>
      <c r="ENY97" s="88"/>
      <c r="EOG97" s="88"/>
      <c r="EOO97" s="88"/>
      <c r="EOW97" s="88"/>
      <c r="EPE97" s="88"/>
      <c r="EPM97" s="88"/>
      <c r="EPU97" s="88"/>
      <c r="EQC97" s="88"/>
      <c r="EQK97" s="88"/>
      <c r="EQS97" s="88"/>
      <c r="ERA97" s="88"/>
      <c r="ERI97" s="88"/>
      <c r="ERQ97" s="88"/>
      <c r="ERY97" s="88"/>
      <c r="ESG97" s="88"/>
      <c r="ESO97" s="88"/>
      <c r="ESW97" s="88"/>
      <c r="ETE97" s="88"/>
      <c r="ETM97" s="88"/>
      <c r="ETU97" s="88"/>
      <c r="EUC97" s="88"/>
      <c r="EUK97" s="88"/>
      <c r="EUS97" s="88"/>
      <c r="EVA97" s="88"/>
      <c r="EVI97" s="88"/>
      <c r="EVQ97" s="88"/>
      <c r="EVY97" s="88"/>
      <c r="EWG97" s="88"/>
      <c r="EWO97" s="88"/>
      <c r="EWW97" s="88"/>
      <c r="EXE97" s="88"/>
      <c r="EXM97" s="88"/>
      <c r="EXU97" s="88"/>
      <c r="EYC97" s="88"/>
      <c r="EYK97" s="88"/>
      <c r="EYS97" s="88"/>
      <c r="EZA97" s="88"/>
      <c r="EZI97" s="88"/>
      <c r="EZQ97" s="88"/>
      <c r="EZY97" s="88"/>
      <c r="FAG97" s="88"/>
      <c r="FAO97" s="88"/>
      <c r="FAW97" s="88"/>
      <c r="FBE97" s="88"/>
      <c r="FBM97" s="88"/>
      <c r="FBU97" s="88"/>
      <c r="FCC97" s="88"/>
      <c r="FCK97" s="88"/>
      <c r="FCS97" s="88"/>
      <c r="FDA97" s="88"/>
      <c r="FDI97" s="88"/>
      <c r="FDQ97" s="88"/>
      <c r="FDY97" s="88"/>
      <c r="FEG97" s="88"/>
      <c r="FEO97" s="88"/>
      <c r="FEW97" s="88"/>
      <c r="FFE97" s="88"/>
      <c r="FFM97" s="88"/>
      <c r="FFU97" s="88"/>
      <c r="FGC97" s="88"/>
      <c r="FGK97" s="88"/>
      <c r="FGS97" s="88"/>
      <c r="FHA97" s="88"/>
      <c r="FHI97" s="88"/>
      <c r="FHQ97" s="88"/>
      <c r="FHY97" s="88"/>
      <c r="FIG97" s="88"/>
      <c r="FIO97" s="88"/>
      <c r="FIW97" s="88"/>
      <c r="FJE97" s="88"/>
      <c r="FJM97" s="88"/>
      <c r="FJU97" s="88"/>
      <c r="FKC97" s="88"/>
      <c r="FKK97" s="88"/>
      <c r="FKS97" s="88"/>
      <c r="FLA97" s="88"/>
      <c r="FLI97" s="88"/>
      <c r="FLQ97" s="88"/>
      <c r="FLY97" s="88"/>
      <c r="FMG97" s="88"/>
      <c r="FMO97" s="88"/>
      <c r="FMW97" s="88"/>
      <c r="FNE97" s="88"/>
      <c r="FNM97" s="88"/>
      <c r="FNU97" s="88"/>
      <c r="FOC97" s="88"/>
      <c r="FOK97" s="88"/>
      <c r="FOS97" s="88"/>
      <c r="FPA97" s="88"/>
      <c r="FPI97" s="88"/>
      <c r="FPQ97" s="88"/>
      <c r="FPY97" s="88"/>
      <c r="FQG97" s="88"/>
      <c r="FQO97" s="88"/>
      <c r="FQW97" s="88"/>
      <c r="FRE97" s="88"/>
      <c r="FRM97" s="88"/>
      <c r="FRU97" s="88"/>
      <c r="FSC97" s="88"/>
      <c r="FSK97" s="88"/>
      <c r="FSS97" s="88"/>
      <c r="FTA97" s="88"/>
      <c r="FTI97" s="88"/>
      <c r="FTQ97" s="88"/>
      <c r="FTY97" s="88"/>
      <c r="FUG97" s="88"/>
      <c r="FUO97" s="88"/>
      <c r="FUW97" s="88"/>
      <c r="FVE97" s="88"/>
      <c r="FVM97" s="88"/>
      <c r="FVU97" s="88"/>
      <c r="FWC97" s="88"/>
      <c r="FWK97" s="88"/>
      <c r="FWS97" s="88"/>
      <c r="FXA97" s="88"/>
      <c r="FXI97" s="88"/>
      <c r="FXQ97" s="88"/>
      <c r="FXY97" s="88"/>
      <c r="FYG97" s="88"/>
      <c r="FYO97" s="88"/>
      <c r="FYW97" s="88"/>
      <c r="FZE97" s="88"/>
      <c r="FZM97" s="88"/>
      <c r="FZU97" s="88"/>
      <c r="GAC97" s="88"/>
      <c r="GAK97" s="88"/>
      <c r="GAS97" s="88"/>
      <c r="GBA97" s="88"/>
      <c r="GBI97" s="88"/>
      <c r="GBQ97" s="88"/>
      <c r="GBY97" s="88"/>
      <c r="GCG97" s="88"/>
      <c r="GCO97" s="88"/>
      <c r="GCW97" s="88"/>
      <c r="GDE97" s="88"/>
      <c r="GDM97" s="88"/>
      <c r="GDU97" s="88"/>
      <c r="GEC97" s="88"/>
      <c r="GEK97" s="88"/>
      <c r="GES97" s="88"/>
      <c r="GFA97" s="88"/>
      <c r="GFI97" s="88"/>
      <c r="GFQ97" s="88"/>
      <c r="GFY97" s="88"/>
      <c r="GGG97" s="88"/>
      <c r="GGO97" s="88"/>
      <c r="GGW97" s="88"/>
      <c r="GHE97" s="88"/>
      <c r="GHM97" s="88"/>
      <c r="GHU97" s="88"/>
      <c r="GIC97" s="88"/>
      <c r="GIK97" s="88"/>
      <c r="GIS97" s="88"/>
      <c r="GJA97" s="88"/>
      <c r="GJI97" s="88"/>
      <c r="GJQ97" s="88"/>
      <c r="GJY97" s="88"/>
      <c r="GKG97" s="88"/>
      <c r="GKO97" s="88"/>
      <c r="GKW97" s="88"/>
      <c r="GLE97" s="88"/>
      <c r="GLM97" s="88"/>
      <c r="GLU97" s="88"/>
      <c r="GMC97" s="88"/>
      <c r="GMK97" s="88"/>
      <c r="GMS97" s="88"/>
      <c r="GNA97" s="88"/>
      <c r="GNI97" s="88"/>
      <c r="GNQ97" s="88"/>
      <c r="GNY97" s="88"/>
      <c r="GOG97" s="88"/>
      <c r="GOO97" s="88"/>
      <c r="GOW97" s="88"/>
      <c r="GPE97" s="88"/>
      <c r="GPM97" s="88"/>
      <c r="GPU97" s="88"/>
      <c r="GQC97" s="88"/>
      <c r="GQK97" s="88"/>
      <c r="GQS97" s="88"/>
      <c r="GRA97" s="88"/>
      <c r="GRI97" s="88"/>
      <c r="GRQ97" s="88"/>
      <c r="GRY97" s="88"/>
      <c r="GSG97" s="88"/>
      <c r="GSO97" s="88"/>
      <c r="GSW97" s="88"/>
      <c r="GTE97" s="88"/>
      <c r="GTM97" s="88"/>
      <c r="GTU97" s="88"/>
      <c r="GUC97" s="88"/>
      <c r="GUK97" s="88"/>
      <c r="GUS97" s="88"/>
      <c r="GVA97" s="88"/>
      <c r="GVI97" s="88"/>
      <c r="GVQ97" s="88"/>
      <c r="GVY97" s="88"/>
      <c r="GWG97" s="88"/>
      <c r="GWO97" s="88"/>
      <c r="GWW97" s="88"/>
      <c r="GXE97" s="88"/>
      <c r="GXM97" s="88"/>
      <c r="GXU97" s="88"/>
      <c r="GYC97" s="88"/>
      <c r="GYK97" s="88"/>
      <c r="GYS97" s="88"/>
      <c r="GZA97" s="88"/>
      <c r="GZI97" s="88"/>
      <c r="GZQ97" s="88"/>
      <c r="GZY97" s="88"/>
      <c r="HAG97" s="88"/>
      <c r="HAO97" s="88"/>
      <c r="HAW97" s="88"/>
      <c r="HBE97" s="88"/>
      <c r="HBM97" s="88"/>
      <c r="HBU97" s="88"/>
      <c r="HCC97" s="88"/>
      <c r="HCK97" s="88"/>
      <c r="HCS97" s="88"/>
      <c r="HDA97" s="88"/>
      <c r="HDI97" s="88"/>
      <c r="HDQ97" s="88"/>
      <c r="HDY97" s="88"/>
      <c r="HEG97" s="88"/>
      <c r="HEO97" s="88"/>
      <c r="HEW97" s="88"/>
      <c r="HFE97" s="88"/>
      <c r="HFM97" s="88"/>
      <c r="HFU97" s="88"/>
      <c r="HGC97" s="88"/>
      <c r="HGK97" s="88"/>
      <c r="HGS97" s="88"/>
      <c r="HHA97" s="88"/>
      <c r="HHI97" s="88"/>
      <c r="HHQ97" s="88"/>
      <c r="HHY97" s="88"/>
      <c r="HIG97" s="88"/>
      <c r="HIO97" s="88"/>
      <c r="HIW97" s="88"/>
      <c r="HJE97" s="88"/>
      <c r="HJM97" s="88"/>
      <c r="HJU97" s="88"/>
      <c r="HKC97" s="88"/>
      <c r="HKK97" s="88"/>
      <c r="HKS97" s="88"/>
      <c r="HLA97" s="88"/>
      <c r="HLI97" s="88"/>
      <c r="HLQ97" s="88"/>
      <c r="HLY97" s="88"/>
      <c r="HMG97" s="88"/>
      <c r="HMO97" s="88"/>
      <c r="HMW97" s="88"/>
      <c r="HNE97" s="88"/>
      <c r="HNM97" s="88"/>
      <c r="HNU97" s="88"/>
      <c r="HOC97" s="88"/>
      <c r="HOK97" s="88"/>
      <c r="HOS97" s="88"/>
      <c r="HPA97" s="88"/>
      <c r="HPI97" s="88"/>
      <c r="HPQ97" s="88"/>
      <c r="HPY97" s="88"/>
      <c r="HQG97" s="88"/>
      <c r="HQO97" s="88"/>
      <c r="HQW97" s="88"/>
      <c r="HRE97" s="88"/>
      <c r="HRM97" s="88"/>
      <c r="HRU97" s="88"/>
      <c r="HSC97" s="88"/>
      <c r="HSK97" s="88"/>
      <c r="HSS97" s="88"/>
      <c r="HTA97" s="88"/>
      <c r="HTI97" s="88"/>
      <c r="HTQ97" s="88"/>
      <c r="HTY97" s="88"/>
      <c r="HUG97" s="88"/>
      <c r="HUO97" s="88"/>
      <c r="HUW97" s="88"/>
      <c r="HVE97" s="88"/>
      <c r="HVM97" s="88"/>
      <c r="HVU97" s="88"/>
      <c r="HWC97" s="88"/>
      <c r="HWK97" s="88"/>
      <c r="HWS97" s="88"/>
      <c r="HXA97" s="88"/>
      <c r="HXI97" s="88"/>
      <c r="HXQ97" s="88"/>
      <c r="HXY97" s="88"/>
      <c r="HYG97" s="88"/>
      <c r="HYO97" s="88"/>
      <c r="HYW97" s="88"/>
      <c r="HZE97" s="88"/>
      <c r="HZM97" s="88"/>
      <c r="HZU97" s="88"/>
      <c r="IAC97" s="88"/>
      <c r="IAK97" s="88"/>
      <c r="IAS97" s="88"/>
      <c r="IBA97" s="88"/>
      <c r="IBI97" s="88"/>
      <c r="IBQ97" s="88"/>
      <c r="IBY97" s="88"/>
      <c r="ICG97" s="88"/>
      <c r="ICO97" s="88"/>
      <c r="ICW97" s="88"/>
      <c r="IDE97" s="88"/>
      <c r="IDM97" s="88"/>
      <c r="IDU97" s="88"/>
      <c r="IEC97" s="88"/>
      <c r="IEK97" s="88"/>
      <c r="IES97" s="88"/>
      <c r="IFA97" s="88"/>
      <c r="IFI97" s="88"/>
      <c r="IFQ97" s="88"/>
      <c r="IFY97" s="88"/>
      <c r="IGG97" s="88"/>
      <c r="IGO97" s="88"/>
      <c r="IGW97" s="88"/>
      <c r="IHE97" s="88"/>
      <c r="IHM97" s="88"/>
      <c r="IHU97" s="88"/>
      <c r="IIC97" s="88"/>
      <c r="IIK97" s="88"/>
      <c r="IIS97" s="88"/>
      <c r="IJA97" s="88"/>
      <c r="IJI97" s="88"/>
      <c r="IJQ97" s="88"/>
      <c r="IJY97" s="88"/>
      <c r="IKG97" s="88"/>
      <c r="IKO97" s="88"/>
      <c r="IKW97" s="88"/>
      <c r="ILE97" s="88"/>
      <c r="ILM97" s="88"/>
      <c r="ILU97" s="88"/>
      <c r="IMC97" s="88"/>
      <c r="IMK97" s="88"/>
      <c r="IMS97" s="88"/>
      <c r="INA97" s="88"/>
      <c r="INI97" s="88"/>
      <c r="INQ97" s="88"/>
      <c r="INY97" s="88"/>
      <c r="IOG97" s="88"/>
      <c r="IOO97" s="88"/>
      <c r="IOW97" s="88"/>
      <c r="IPE97" s="88"/>
      <c r="IPM97" s="88"/>
      <c r="IPU97" s="88"/>
      <c r="IQC97" s="88"/>
      <c r="IQK97" s="88"/>
      <c r="IQS97" s="88"/>
      <c r="IRA97" s="88"/>
      <c r="IRI97" s="88"/>
      <c r="IRQ97" s="88"/>
      <c r="IRY97" s="88"/>
      <c r="ISG97" s="88"/>
      <c r="ISO97" s="88"/>
      <c r="ISW97" s="88"/>
      <c r="ITE97" s="88"/>
      <c r="ITM97" s="88"/>
      <c r="ITU97" s="88"/>
      <c r="IUC97" s="88"/>
      <c r="IUK97" s="88"/>
      <c r="IUS97" s="88"/>
      <c r="IVA97" s="88"/>
      <c r="IVI97" s="88"/>
      <c r="IVQ97" s="88"/>
      <c r="IVY97" s="88"/>
      <c r="IWG97" s="88"/>
      <c r="IWO97" s="88"/>
      <c r="IWW97" s="88"/>
      <c r="IXE97" s="88"/>
      <c r="IXM97" s="88"/>
      <c r="IXU97" s="88"/>
      <c r="IYC97" s="88"/>
      <c r="IYK97" s="88"/>
      <c r="IYS97" s="88"/>
      <c r="IZA97" s="88"/>
      <c r="IZI97" s="88"/>
      <c r="IZQ97" s="88"/>
      <c r="IZY97" s="88"/>
      <c r="JAG97" s="88"/>
      <c r="JAO97" s="88"/>
      <c r="JAW97" s="88"/>
      <c r="JBE97" s="88"/>
      <c r="JBM97" s="88"/>
      <c r="JBU97" s="88"/>
      <c r="JCC97" s="88"/>
      <c r="JCK97" s="88"/>
      <c r="JCS97" s="88"/>
      <c r="JDA97" s="88"/>
      <c r="JDI97" s="88"/>
      <c r="JDQ97" s="88"/>
      <c r="JDY97" s="88"/>
      <c r="JEG97" s="88"/>
      <c r="JEO97" s="88"/>
      <c r="JEW97" s="88"/>
      <c r="JFE97" s="88"/>
      <c r="JFM97" s="88"/>
      <c r="JFU97" s="88"/>
      <c r="JGC97" s="88"/>
      <c r="JGK97" s="88"/>
      <c r="JGS97" s="88"/>
      <c r="JHA97" s="88"/>
      <c r="JHI97" s="88"/>
      <c r="JHQ97" s="88"/>
      <c r="JHY97" s="88"/>
      <c r="JIG97" s="88"/>
      <c r="JIO97" s="88"/>
      <c r="JIW97" s="88"/>
      <c r="JJE97" s="88"/>
      <c r="JJM97" s="88"/>
      <c r="JJU97" s="88"/>
      <c r="JKC97" s="88"/>
      <c r="JKK97" s="88"/>
      <c r="JKS97" s="88"/>
      <c r="JLA97" s="88"/>
      <c r="JLI97" s="88"/>
      <c r="JLQ97" s="88"/>
      <c r="JLY97" s="88"/>
      <c r="JMG97" s="88"/>
      <c r="JMO97" s="88"/>
      <c r="JMW97" s="88"/>
      <c r="JNE97" s="88"/>
      <c r="JNM97" s="88"/>
      <c r="JNU97" s="88"/>
      <c r="JOC97" s="88"/>
      <c r="JOK97" s="88"/>
      <c r="JOS97" s="88"/>
      <c r="JPA97" s="88"/>
      <c r="JPI97" s="88"/>
      <c r="JPQ97" s="88"/>
      <c r="JPY97" s="88"/>
      <c r="JQG97" s="88"/>
      <c r="JQO97" s="88"/>
      <c r="JQW97" s="88"/>
      <c r="JRE97" s="88"/>
      <c r="JRM97" s="88"/>
      <c r="JRU97" s="88"/>
      <c r="JSC97" s="88"/>
      <c r="JSK97" s="88"/>
      <c r="JSS97" s="88"/>
      <c r="JTA97" s="88"/>
      <c r="JTI97" s="88"/>
      <c r="JTQ97" s="88"/>
      <c r="JTY97" s="88"/>
      <c r="JUG97" s="88"/>
      <c r="JUO97" s="88"/>
      <c r="JUW97" s="88"/>
      <c r="JVE97" s="88"/>
      <c r="JVM97" s="88"/>
      <c r="JVU97" s="88"/>
      <c r="JWC97" s="88"/>
      <c r="JWK97" s="88"/>
      <c r="JWS97" s="88"/>
      <c r="JXA97" s="88"/>
      <c r="JXI97" s="88"/>
      <c r="JXQ97" s="88"/>
      <c r="JXY97" s="88"/>
      <c r="JYG97" s="88"/>
      <c r="JYO97" s="88"/>
      <c r="JYW97" s="88"/>
      <c r="JZE97" s="88"/>
      <c r="JZM97" s="88"/>
      <c r="JZU97" s="88"/>
      <c r="KAC97" s="88"/>
      <c r="KAK97" s="88"/>
      <c r="KAS97" s="88"/>
      <c r="KBA97" s="88"/>
      <c r="KBI97" s="88"/>
      <c r="KBQ97" s="88"/>
      <c r="KBY97" s="88"/>
      <c r="KCG97" s="88"/>
      <c r="KCO97" s="88"/>
      <c r="KCW97" s="88"/>
      <c r="KDE97" s="88"/>
      <c r="KDM97" s="88"/>
      <c r="KDU97" s="88"/>
      <c r="KEC97" s="88"/>
      <c r="KEK97" s="88"/>
      <c r="KES97" s="88"/>
      <c r="KFA97" s="88"/>
      <c r="KFI97" s="88"/>
      <c r="KFQ97" s="88"/>
      <c r="KFY97" s="88"/>
      <c r="KGG97" s="88"/>
      <c r="KGO97" s="88"/>
      <c r="KGW97" s="88"/>
      <c r="KHE97" s="88"/>
      <c r="KHM97" s="88"/>
      <c r="KHU97" s="88"/>
      <c r="KIC97" s="88"/>
      <c r="KIK97" s="88"/>
      <c r="KIS97" s="88"/>
      <c r="KJA97" s="88"/>
      <c r="KJI97" s="88"/>
      <c r="KJQ97" s="88"/>
      <c r="KJY97" s="88"/>
      <c r="KKG97" s="88"/>
      <c r="KKO97" s="88"/>
      <c r="KKW97" s="88"/>
      <c r="KLE97" s="88"/>
      <c r="KLM97" s="88"/>
      <c r="KLU97" s="88"/>
      <c r="KMC97" s="88"/>
      <c r="KMK97" s="88"/>
      <c r="KMS97" s="88"/>
      <c r="KNA97" s="88"/>
      <c r="KNI97" s="88"/>
      <c r="KNQ97" s="88"/>
      <c r="KNY97" s="88"/>
      <c r="KOG97" s="88"/>
      <c r="KOO97" s="88"/>
      <c r="KOW97" s="88"/>
      <c r="KPE97" s="88"/>
      <c r="KPM97" s="88"/>
      <c r="KPU97" s="88"/>
      <c r="KQC97" s="88"/>
      <c r="KQK97" s="88"/>
      <c r="KQS97" s="88"/>
      <c r="KRA97" s="88"/>
      <c r="KRI97" s="88"/>
      <c r="KRQ97" s="88"/>
      <c r="KRY97" s="88"/>
      <c r="KSG97" s="88"/>
      <c r="KSO97" s="88"/>
      <c r="KSW97" s="88"/>
      <c r="KTE97" s="88"/>
      <c r="KTM97" s="88"/>
      <c r="KTU97" s="88"/>
      <c r="KUC97" s="88"/>
      <c r="KUK97" s="88"/>
      <c r="KUS97" s="88"/>
      <c r="KVA97" s="88"/>
      <c r="KVI97" s="88"/>
      <c r="KVQ97" s="88"/>
      <c r="KVY97" s="88"/>
      <c r="KWG97" s="88"/>
      <c r="KWO97" s="88"/>
      <c r="KWW97" s="88"/>
      <c r="KXE97" s="88"/>
      <c r="KXM97" s="88"/>
      <c r="KXU97" s="88"/>
      <c r="KYC97" s="88"/>
      <c r="KYK97" s="88"/>
      <c r="KYS97" s="88"/>
      <c r="KZA97" s="88"/>
      <c r="KZI97" s="88"/>
      <c r="KZQ97" s="88"/>
      <c r="KZY97" s="88"/>
      <c r="LAG97" s="88"/>
      <c r="LAO97" s="88"/>
      <c r="LAW97" s="88"/>
      <c r="LBE97" s="88"/>
      <c r="LBM97" s="88"/>
      <c r="LBU97" s="88"/>
      <c r="LCC97" s="88"/>
      <c r="LCK97" s="88"/>
      <c r="LCS97" s="88"/>
      <c r="LDA97" s="88"/>
      <c r="LDI97" s="88"/>
      <c r="LDQ97" s="88"/>
      <c r="LDY97" s="88"/>
      <c r="LEG97" s="88"/>
      <c r="LEO97" s="88"/>
      <c r="LEW97" s="88"/>
      <c r="LFE97" s="88"/>
      <c r="LFM97" s="88"/>
      <c r="LFU97" s="88"/>
      <c r="LGC97" s="88"/>
      <c r="LGK97" s="88"/>
      <c r="LGS97" s="88"/>
      <c r="LHA97" s="88"/>
      <c r="LHI97" s="88"/>
      <c r="LHQ97" s="88"/>
      <c r="LHY97" s="88"/>
      <c r="LIG97" s="88"/>
      <c r="LIO97" s="88"/>
      <c r="LIW97" s="88"/>
      <c r="LJE97" s="88"/>
      <c r="LJM97" s="88"/>
      <c r="LJU97" s="88"/>
      <c r="LKC97" s="88"/>
      <c r="LKK97" s="88"/>
      <c r="LKS97" s="88"/>
      <c r="LLA97" s="88"/>
      <c r="LLI97" s="88"/>
      <c r="LLQ97" s="88"/>
      <c r="LLY97" s="88"/>
      <c r="LMG97" s="88"/>
      <c r="LMO97" s="88"/>
      <c r="LMW97" s="88"/>
      <c r="LNE97" s="88"/>
      <c r="LNM97" s="88"/>
      <c r="LNU97" s="88"/>
      <c r="LOC97" s="88"/>
      <c r="LOK97" s="88"/>
      <c r="LOS97" s="88"/>
      <c r="LPA97" s="88"/>
      <c r="LPI97" s="88"/>
      <c r="LPQ97" s="88"/>
      <c r="LPY97" s="88"/>
      <c r="LQG97" s="88"/>
      <c r="LQO97" s="88"/>
      <c r="LQW97" s="88"/>
      <c r="LRE97" s="88"/>
      <c r="LRM97" s="88"/>
      <c r="LRU97" s="88"/>
      <c r="LSC97" s="88"/>
      <c r="LSK97" s="88"/>
      <c r="LSS97" s="88"/>
      <c r="LTA97" s="88"/>
      <c r="LTI97" s="88"/>
      <c r="LTQ97" s="88"/>
      <c r="LTY97" s="88"/>
      <c r="LUG97" s="88"/>
      <c r="LUO97" s="88"/>
      <c r="LUW97" s="88"/>
      <c r="LVE97" s="88"/>
      <c r="LVM97" s="88"/>
      <c r="LVU97" s="88"/>
      <c r="LWC97" s="88"/>
      <c r="LWK97" s="88"/>
      <c r="LWS97" s="88"/>
      <c r="LXA97" s="88"/>
      <c r="LXI97" s="88"/>
      <c r="LXQ97" s="88"/>
      <c r="LXY97" s="88"/>
      <c r="LYG97" s="88"/>
      <c r="LYO97" s="88"/>
      <c r="LYW97" s="88"/>
      <c r="LZE97" s="88"/>
      <c r="LZM97" s="88"/>
      <c r="LZU97" s="88"/>
      <c r="MAC97" s="88"/>
      <c r="MAK97" s="88"/>
      <c r="MAS97" s="88"/>
      <c r="MBA97" s="88"/>
      <c r="MBI97" s="88"/>
      <c r="MBQ97" s="88"/>
      <c r="MBY97" s="88"/>
      <c r="MCG97" s="88"/>
      <c r="MCO97" s="88"/>
      <c r="MCW97" s="88"/>
      <c r="MDE97" s="88"/>
      <c r="MDM97" s="88"/>
      <c r="MDU97" s="88"/>
      <c r="MEC97" s="88"/>
      <c r="MEK97" s="88"/>
      <c r="MES97" s="88"/>
      <c r="MFA97" s="88"/>
      <c r="MFI97" s="88"/>
      <c r="MFQ97" s="88"/>
      <c r="MFY97" s="88"/>
      <c r="MGG97" s="88"/>
      <c r="MGO97" s="88"/>
      <c r="MGW97" s="88"/>
      <c r="MHE97" s="88"/>
      <c r="MHM97" s="88"/>
      <c r="MHU97" s="88"/>
      <c r="MIC97" s="88"/>
      <c r="MIK97" s="88"/>
      <c r="MIS97" s="88"/>
      <c r="MJA97" s="88"/>
      <c r="MJI97" s="88"/>
      <c r="MJQ97" s="88"/>
      <c r="MJY97" s="88"/>
      <c r="MKG97" s="88"/>
      <c r="MKO97" s="88"/>
      <c r="MKW97" s="88"/>
      <c r="MLE97" s="88"/>
      <c r="MLM97" s="88"/>
      <c r="MLU97" s="88"/>
      <c r="MMC97" s="88"/>
      <c r="MMK97" s="88"/>
      <c r="MMS97" s="88"/>
      <c r="MNA97" s="88"/>
      <c r="MNI97" s="88"/>
      <c r="MNQ97" s="88"/>
      <c r="MNY97" s="88"/>
      <c r="MOG97" s="88"/>
      <c r="MOO97" s="88"/>
      <c r="MOW97" s="88"/>
      <c r="MPE97" s="88"/>
      <c r="MPM97" s="88"/>
      <c r="MPU97" s="88"/>
      <c r="MQC97" s="88"/>
      <c r="MQK97" s="88"/>
      <c r="MQS97" s="88"/>
      <c r="MRA97" s="88"/>
      <c r="MRI97" s="88"/>
      <c r="MRQ97" s="88"/>
      <c r="MRY97" s="88"/>
      <c r="MSG97" s="88"/>
      <c r="MSO97" s="88"/>
      <c r="MSW97" s="88"/>
      <c r="MTE97" s="88"/>
      <c r="MTM97" s="88"/>
      <c r="MTU97" s="88"/>
      <c r="MUC97" s="88"/>
      <c r="MUK97" s="88"/>
      <c r="MUS97" s="88"/>
      <c r="MVA97" s="88"/>
      <c r="MVI97" s="88"/>
      <c r="MVQ97" s="88"/>
      <c r="MVY97" s="88"/>
      <c r="MWG97" s="88"/>
      <c r="MWO97" s="88"/>
      <c r="MWW97" s="88"/>
      <c r="MXE97" s="88"/>
      <c r="MXM97" s="88"/>
      <c r="MXU97" s="88"/>
      <c r="MYC97" s="88"/>
      <c r="MYK97" s="88"/>
      <c r="MYS97" s="88"/>
      <c r="MZA97" s="88"/>
      <c r="MZI97" s="88"/>
      <c r="MZQ97" s="88"/>
      <c r="MZY97" s="88"/>
      <c r="NAG97" s="88"/>
      <c r="NAO97" s="88"/>
      <c r="NAW97" s="88"/>
      <c r="NBE97" s="88"/>
      <c r="NBM97" s="88"/>
      <c r="NBU97" s="88"/>
      <c r="NCC97" s="88"/>
      <c r="NCK97" s="88"/>
      <c r="NCS97" s="88"/>
      <c r="NDA97" s="88"/>
      <c r="NDI97" s="88"/>
      <c r="NDQ97" s="88"/>
      <c r="NDY97" s="88"/>
      <c r="NEG97" s="88"/>
      <c r="NEO97" s="88"/>
      <c r="NEW97" s="88"/>
      <c r="NFE97" s="88"/>
      <c r="NFM97" s="88"/>
      <c r="NFU97" s="88"/>
      <c r="NGC97" s="88"/>
      <c r="NGK97" s="88"/>
      <c r="NGS97" s="88"/>
      <c r="NHA97" s="88"/>
      <c r="NHI97" s="88"/>
      <c r="NHQ97" s="88"/>
      <c r="NHY97" s="88"/>
      <c r="NIG97" s="88"/>
      <c r="NIO97" s="88"/>
      <c r="NIW97" s="88"/>
      <c r="NJE97" s="88"/>
      <c r="NJM97" s="88"/>
      <c r="NJU97" s="88"/>
      <c r="NKC97" s="88"/>
      <c r="NKK97" s="88"/>
      <c r="NKS97" s="88"/>
      <c r="NLA97" s="88"/>
      <c r="NLI97" s="88"/>
      <c r="NLQ97" s="88"/>
      <c r="NLY97" s="88"/>
      <c r="NMG97" s="88"/>
      <c r="NMO97" s="88"/>
      <c r="NMW97" s="88"/>
      <c r="NNE97" s="88"/>
      <c r="NNM97" s="88"/>
      <c r="NNU97" s="88"/>
      <c r="NOC97" s="88"/>
      <c r="NOK97" s="88"/>
      <c r="NOS97" s="88"/>
      <c r="NPA97" s="88"/>
      <c r="NPI97" s="88"/>
      <c r="NPQ97" s="88"/>
      <c r="NPY97" s="88"/>
      <c r="NQG97" s="88"/>
      <c r="NQO97" s="88"/>
      <c r="NQW97" s="88"/>
      <c r="NRE97" s="88"/>
      <c r="NRM97" s="88"/>
      <c r="NRU97" s="88"/>
      <c r="NSC97" s="88"/>
      <c r="NSK97" s="88"/>
      <c r="NSS97" s="88"/>
      <c r="NTA97" s="88"/>
      <c r="NTI97" s="88"/>
      <c r="NTQ97" s="88"/>
      <c r="NTY97" s="88"/>
      <c r="NUG97" s="88"/>
      <c r="NUO97" s="88"/>
      <c r="NUW97" s="88"/>
      <c r="NVE97" s="88"/>
      <c r="NVM97" s="88"/>
      <c r="NVU97" s="88"/>
      <c r="NWC97" s="88"/>
      <c r="NWK97" s="88"/>
      <c r="NWS97" s="88"/>
      <c r="NXA97" s="88"/>
      <c r="NXI97" s="88"/>
      <c r="NXQ97" s="88"/>
      <c r="NXY97" s="88"/>
      <c r="NYG97" s="88"/>
      <c r="NYO97" s="88"/>
      <c r="NYW97" s="88"/>
      <c r="NZE97" s="88"/>
      <c r="NZM97" s="88"/>
      <c r="NZU97" s="88"/>
      <c r="OAC97" s="88"/>
      <c r="OAK97" s="88"/>
      <c r="OAS97" s="88"/>
      <c r="OBA97" s="88"/>
      <c r="OBI97" s="88"/>
      <c r="OBQ97" s="88"/>
      <c r="OBY97" s="88"/>
      <c r="OCG97" s="88"/>
      <c r="OCO97" s="88"/>
      <c r="OCW97" s="88"/>
      <c r="ODE97" s="88"/>
      <c r="ODM97" s="88"/>
      <c r="ODU97" s="88"/>
      <c r="OEC97" s="88"/>
      <c r="OEK97" s="88"/>
      <c r="OES97" s="88"/>
      <c r="OFA97" s="88"/>
      <c r="OFI97" s="88"/>
      <c r="OFQ97" s="88"/>
      <c r="OFY97" s="88"/>
      <c r="OGG97" s="88"/>
      <c r="OGO97" s="88"/>
      <c r="OGW97" s="88"/>
      <c r="OHE97" s="88"/>
      <c r="OHM97" s="88"/>
      <c r="OHU97" s="88"/>
      <c r="OIC97" s="88"/>
      <c r="OIK97" s="88"/>
      <c r="OIS97" s="88"/>
      <c r="OJA97" s="88"/>
      <c r="OJI97" s="88"/>
      <c r="OJQ97" s="88"/>
      <c r="OJY97" s="88"/>
      <c r="OKG97" s="88"/>
      <c r="OKO97" s="88"/>
      <c r="OKW97" s="88"/>
      <c r="OLE97" s="88"/>
      <c r="OLM97" s="88"/>
      <c r="OLU97" s="88"/>
      <c r="OMC97" s="88"/>
      <c r="OMK97" s="88"/>
      <c r="OMS97" s="88"/>
      <c r="ONA97" s="88"/>
      <c r="ONI97" s="88"/>
      <c r="ONQ97" s="88"/>
      <c r="ONY97" s="88"/>
      <c r="OOG97" s="88"/>
      <c r="OOO97" s="88"/>
      <c r="OOW97" s="88"/>
      <c r="OPE97" s="88"/>
      <c r="OPM97" s="88"/>
      <c r="OPU97" s="88"/>
      <c r="OQC97" s="88"/>
      <c r="OQK97" s="88"/>
      <c r="OQS97" s="88"/>
      <c r="ORA97" s="88"/>
      <c r="ORI97" s="88"/>
      <c r="ORQ97" s="88"/>
      <c r="ORY97" s="88"/>
      <c r="OSG97" s="88"/>
      <c r="OSO97" s="88"/>
      <c r="OSW97" s="88"/>
      <c r="OTE97" s="88"/>
      <c r="OTM97" s="88"/>
      <c r="OTU97" s="88"/>
      <c r="OUC97" s="88"/>
      <c r="OUK97" s="88"/>
      <c r="OUS97" s="88"/>
      <c r="OVA97" s="88"/>
      <c r="OVI97" s="88"/>
      <c r="OVQ97" s="88"/>
      <c r="OVY97" s="88"/>
      <c r="OWG97" s="88"/>
      <c r="OWO97" s="88"/>
      <c r="OWW97" s="88"/>
      <c r="OXE97" s="88"/>
      <c r="OXM97" s="88"/>
      <c r="OXU97" s="88"/>
      <c r="OYC97" s="88"/>
      <c r="OYK97" s="88"/>
      <c r="OYS97" s="88"/>
      <c r="OZA97" s="88"/>
      <c r="OZI97" s="88"/>
      <c r="OZQ97" s="88"/>
      <c r="OZY97" s="88"/>
      <c r="PAG97" s="88"/>
      <c r="PAO97" s="88"/>
      <c r="PAW97" s="88"/>
      <c r="PBE97" s="88"/>
      <c r="PBM97" s="88"/>
      <c r="PBU97" s="88"/>
      <c r="PCC97" s="88"/>
      <c r="PCK97" s="88"/>
      <c r="PCS97" s="88"/>
      <c r="PDA97" s="88"/>
      <c r="PDI97" s="88"/>
      <c r="PDQ97" s="88"/>
      <c r="PDY97" s="88"/>
      <c r="PEG97" s="88"/>
      <c r="PEO97" s="88"/>
      <c r="PEW97" s="88"/>
      <c r="PFE97" s="88"/>
      <c r="PFM97" s="88"/>
      <c r="PFU97" s="88"/>
      <c r="PGC97" s="88"/>
      <c r="PGK97" s="88"/>
      <c r="PGS97" s="88"/>
      <c r="PHA97" s="88"/>
      <c r="PHI97" s="88"/>
      <c r="PHQ97" s="88"/>
      <c r="PHY97" s="88"/>
      <c r="PIG97" s="88"/>
      <c r="PIO97" s="88"/>
      <c r="PIW97" s="88"/>
      <c r="PJE97" s="88"/>
      <c r="PJM97" s="88"/>
      <c r="PJU97" s="88"/>
      <c r="PKC97" s="88"/>
      <c r="PKK97" s="88"/>
      <c r="PKS97" s="88"/>
      <c r="PLA97" s="88"/>
      <c r="PLI97" s="88"/>
      <c r="PLQ97" s="88"/>
      <c r="PLY97" s="88"/>
      <c r="PMG97" s="88"/>
      <c r="PMO97" s="88"/>
      <c r="PMW97" s="88"/>
      <c r="PNE97" s="88"/>
      <c r="PNM97" s="88"/>
      <c r="PNU97" s="88"/>
      <c r="POC97" s="88"/>
      <c r="POK97" s="88"/>
      <c r="POS97" s="88"/>
      <c r="PPA97" s="88"/>
      <c r="PPI97" s="88"/>
      <c r="PPQ97" s="88"/>
      <c r="PPY97" s="88"/>
      <c r="PQG97" s="88"/>
      <c r="PQO97" s="88"/>
      <c r="PQW97" s="88"/>
      <c r="PRE97" s="88"/>
      <c r="PRM97" s="88"/>
      <c r="PRU97" s="88"/>
      <c r="PSC97" s="88"/>
      <c r="PSK97" s="88"/>
      <c r="PSS97" s="88"/>
      <c r="PTA97" s="88"/>
      <c r="PTI97" s="88"/>
      <c r="PTQ97" s="88"/>
      <c r="PTY97" s="88"/>
      <c r="PUG97" s="88"/>
      <c r="PUO97" s="88"/>
      <c r="PUW97" s="88"/>
      <c r="PVE97" s="88"/>
      <c r="PVM97" s="88"/>
      <c r="PVU97" s="88"/>
      <c r="PWC97" s="88"/>
      <c r="PWK97" s="88"/>
      <c r="PWS97" s="88"/>
      <c r="PXA97" s="88"/>
      <c r="PXI97" s="88"/>
      <c r="PXQ97" s="88"/>
      <c r="PXY97" s="88"/>
      <c r="PYG97" s="88"/>
      <c r="PYO97" s="88"/>
      <c r="PYW97" s="88"/>
      <c r="PZE97" s="88"/>
      <c r="PZM97" s="88"/>
      <c r="PZU97" s="88"/>
      <c r="QAC97" s="88"/>
      <c r="QAK97" s="88"/>
      <c r="QAS97" s="88"/>
      <c r="QBA97" s="88"/>
      <c r="QBI97" s="88"/>
      <c r="QBQ97" s="88"/>
      <c r="QBY97" s="88"/>
      <c r="QCG97" s="88"/>
      <c r="QCO97" s="88"/>
      <c r="QCW97" s="88"/>
      <c r="QDE97" s="88"/>
      <c r="QDM97" s="88"/>
      <c r="QDU97" s="88"/>
      <c r="QEC97" s="88"/>
      <c r="QEK97" s="88"/>
      <c r="QES97" s="88"/>
      <c r="QFA97" s="88"/>
      <c r="QFI97" s="88"/>
      <c r="QFQ97" s="88"/>
      <c r="QFY97" s="88"/>
      <c r="QGG97" s="88"/>
      <c r="QGO97" s="88"/>
      <c r="QGW97" s="88"/>
      <c r="QHE97" s="88"/>
      <c r="QHM97" s="88"/>
      <c r="QHU97" s="88"/>
      <c r="QIC97" s="88"/>
      <c r="QIK97" s="88"/>
      <c r="QIS97" s="88"/>
      <c r="QJA97" s="88"/>
      <c r="QJI97" s="88"/>
      <c r="QJQ97" s="88"/>
      <c r="QJY97" s="88"/>
      <c r="QKG97" s="88"/>
      <c r="QKO97" s="88"/>
      <c r="QKW97" s="88"/>
      <c r="QLE97" s="88"/>
      <c r="QLM97" s="88"/>
      <c r="QLU97" s="88"/>
      <c r="QMC97" s="88"/>
      <c r="QMK97" s="88"/>
      <c r="QMS97" s="88"/>
      <c r="QNA97" s="88"/>
      <c r="QNI97" s="88"/>
      <c r="QNQ97" s="88"/>
      <c r="QNY97" s="88"/>
      <c r="QOG97" s="88"/>
      <c r="QOO97" s="88"/>
      <c r="QOW97" s="88"/>
      <c r="QPE97" s="88"/>
      <c r="QPM97" s="88"/>
      <c r="QPU97" s="88"/>
      <c r="QQC97" s="88"/>
      <c r="QQK97" s="88"/>
      <c r="QQS97" s="88"/>
      <c r="QRA97" s="88"/>
      <c r="QRI97" s="88"/>
      <c r="QRQ97" s="88"/>
      <c r="QRY97" s="88"/>
      <c r="QSG97" s="88"/>
      <c r="QSO97" s="88"/>
      <c r="QSW97" s="88"/>
      <c r="QTE97" s="88"/>
      <c r="QTM97" s="88"/>
      <c r="QTU97" s="88"/>
      <c r="QUC97" s="88"/>
      <c r="QUK97" s="88"/>
      <c r="QUS97" s="88"/>
      <c r="QVA97" s="88"/>
      <c r="QVI97" s="88"/>
      <c r="QVQ97" s="88"/>
      <c r="QVY97" s="88"/>
      <c r="QWG97" s="88"/>
      <c r="QWO97" s="88"/>
      <c r="QWW97" s="88"/>
      <c r="QXE97" s="88"/>
      <c r="QXM97" s="88"/>
      <c r="QXU97" s="88"/>
      <c r="QYC97" s="88"/>
      <c r="QYK97" s="88"/>
      <c r="QYS97" s="88"/>
      <c r="QZA97" s="88"/>
      <c r="QZI97" s="88"/>
      <c r="QZQ97" s="88"/>
      <c r="QZY97" s="88"/>
      <c r="RAG97" s="88"/>
      <c r="RAO97" s="88"/>
      <c r="RAW97" s="88"/>
      <c r="RBE97" s="88"/>
      <c r="RBM97" s="88"/>
      <c r="RBU97" s="88"/>
      <c r="RCC97" s="88"/>
      <c r="RCK97" s="88"/>
      <c r="RCS97" s="88"/>
      <c r="RDA97" s="88"/>
      <c r="RDI97" s="88"/>
      <c r="RDQ97" s="88"/>
      <c r="RDY97" s="88"/>
      <c r="REG97" s="88"/>
      <c r="REO97" s="88"/>
      <c r="REW97" s="88"/>
      <c r="RFE97" s="88"/>
      <c r="RFM97" s="88"/>
      <c r="RFU97" s="88"/>
      <c r="RGC97" s="88"/>
      <c r="RGK97" s="88"/>
      <c r="RGS97" s="88"/>
      <c r="RHA97" s="88"/>
      <c r="RHI97" s="88"/>
      <c r="RHQ97" s="88"/>
      <c r="RHY97" s="88"/>
      <c r="RIG97" s="88"/>
      <c r="RIO97" s="88"/>
      <c r="RIW97" s="88"/>
      <c r="RJE97" s="88"/>
      <c r="RJM97" s="88"/>
      <c r="RJU97" s="88"/>
      <c r="RKC97" s="88"/>
      <c r="RKK97" s="88"/>
      <c r="RKS97" s="88"/>
      <c r="RLA97" s="88"/>
      <c r="RLI97" s="88"/>
      <c r="RLQ97" s="88"/>
      <c r="RLY97" s="88"/>
      <c r="RMG97" s="88"/>
      <c r="RMO97" s="88"/>
      <c r="RMW97" s="88"/>
      <c r="RNE97" s="88"/>
      <c r="RNM97" s="88"/>
      <c r="RNU97" s="88"/>
      <c r="ROC97" s="88"/>
      <c r="ROK97" s="88"/>
      <c r="ROS97" s="88"/>
      <c r="RPA97" s="88"/>
      <c r="RPI97" s="88"/>
      <c r="RPQ97" s="88"/>
      <c r="RPY97" s="88"/>
      <c r="RQG97" s="88"/>
      <c r="RQO97" s="88"/>
      <c r="RQW97" s="88"/>
      <c r="RRE97" s="88"/>
      <c r="RRM97" s="88"/>
      <c r="RRU97" s="88"/>
      <c r="RSC97" s="88"/>
      <c r="RSK97" s="88"/>
      <c r="RSS97" s="88"/>
      <c r="RTA97" s="88"/>
      <c r="RTI97" s="88"/>
      <c r="RTQ97" s="88"/>
      <c r="RTY97" s="88"/>
      <c r="RUG97" s="88"/>
      <c r="RUO97" s="88"/>
      <c r="RUW97" s="88"/>
      <c r="RVE97" s="88"/>
      <c r="RVM97" s="88"/>
      <c r="RVU97" s="88"/>
      <c r="RWC97" s="88"/>
      <c r="RWK97" s="88"/>
      <c r="RWS97" s="88"/>
      <c r="RXA97" s="88"/>
      <c r="RXI97" s="88"/>
      <c r="RXQ97" s="88"/>
      <c r="RXY97" s="88"/>
      <c r="RYG97" s="88"/>
      <c r="RYO97" s="88"/>
      <c r="RYW97" s="88"/>
      <c r="RZE97" s="88"/>
      <c r="RZM97" s="88"/>
      <c r="RZU97" s="88"/>
      <c r="SAC97" s="88"/>
      <c r="SAK97" s="88"/>
      <c r="SAS97" s="88"/>
      <c r="SBA97" s="88"/>
      <c r="SBI97" s="88"/>
      <c r="SBQ97" s="88"/>
      <c r="SBY97" s="88"/>
      <c r="SCG97" s="88"/>
      <c r="SCO97" s="88"/>
      <c r="SCW97" s="88"/>
      <c r="SDE97" s="88"/>
      <c r="SDM97" s="88"/>
      <c r="SDU97" s="88"/>
      <c r="SEC97" s="88"/>
      <c r="SEK97" s="88"/>
      <c r="SES97" s="88"/>
      <c r="SFA97" s="88"/>
      <c r="SFI97" s="88"/>
      <c r="SFQ97" s="88"/>
      <c r="SFY97" s="88"/>
      <c r="SGG97" s="88"/>
      <c r="SGO97" s="88"/>
      <c r="SGW97" s="88"/>
      <c r="SHE97" s="88"/>
      <c r="SHM97" s="88"/>
      <c r="SHU97" s="88"/>
      <c r="SIC97" s="88"/>
      <c r="SIK97" s="88"/>
      <c r="SIS97" s="88"/>
      <c r="SJA97" s="88"/>
      <c r="SJI97" s="88"/>
      <c r="SJQ97" s="88"/>
      <c r="SJY97" s="88"/>
      <c r="SKG97" s="88"/>
      <c r="SKO97" s="88"/>
      <c r="SKW97" s="88"/>
      <c r="SLE97" s="88"/>
      <c r="SLM97" s="88"/>
      <c r="SLU97" s="88"/>
      <c r="SMC97" s="88"/>
      <c r="SMK97" s="88"/>
      <c r="SMS97" s="88"/>
      <c r="SNA97" s="88"/>
      <c r="SNI97" s="88"/>
      <c r="SNQ97" s="88"/>
      <c r="SNY97" s="88"/>
      <c r="SOG97" s="88"/>
      <c r="SOO97" s="88"/>
      <c r="SOW97" s="88"/>
      <c r="SPE97" s="88"/>
      <c r="SPM97" s="88"/>
      <c r="SPU97" s="88"/>
      <c r="SQC97" s="88"/>
      <c r="SQK97" s="88"/>
      <c r="SQS97" s="88"/>
      <c r="SRA97" s="88"/>
      <c r="SRI97" s="88"/>
      <c r="SRQ97" s="88"/>
      <c r="SRY97" s="88"/>
      <c r="SSG97" s="88"/>
      <c r="SSO97" s="88"/>
      <c r="SSW97" s="88"/>
      <c r="STE97" s="88"/>
      <c r="STM97" s="88"/>
      <c r="STU97" s="88"/>
      <c r="SUC97" s="88"/>
      <c r="SUK97" s="88"/>
      <c r="SUS97" s="88"/>
      <c r="SVA97" s="88"/>
      <c r="SVI97" s="88"/>
      <c r="SVQ97" s="88"/>
      <c r="SVY97" s="88"/>
      <c r="SWG97" s="88"/>
      <c r="SWO97" s="88"/>
      <c r="SWW97" s="88"/>
      <c r="SXE97" s="88"/>
      <c r="SXM97" s="88"/>
      <c r="SXU97" s="88"/>
      <c r="SYC97" s="88"/>
      <c r="SYK97" s="88"/>
      <c r="SYS97" s="88"/>
      <c r="SZA97" s="88"/>
      <c r="SZI97" s="88"/>
      <c r="SZQ97" s="88"/>
      <c r="SZY97" s="88"/>
      <c r="TAG97" s="88"/>
      <c r="TAO97" s="88"/>
      <c r="TAW97" s="88"/>
      <c r="TBE97" s="88"/>
      <c r="TBM97" s="88"/>
      <c r="TBU97" s="88"/>
      <c r="TCC97" s="88"/>
      <c r="TCK97" s="88"/>
      <c r="TCS97" s="88"/>
      <c r="TDA97" s="88"/>
      <c r="TDI97" s="88"/>
      <c r="TDQ97" s="88"/>
      <c r="TDY97" s="88"/>
      <c r="TEG97" s="88"/>
      <c r="TEO97" s="88"/>
      <c r="TEW97" s="88"/>
      <c r="TFE97" s="88"/>
      <c r="TFM97" s="88"/>
      <c r="TFU97" s="88"/>
      <c r="TGC97" s="88"/>
      <c r="TGK97" s="88"/>
      <c r="TGS97" s="88"/>
      <c r="THA97" s="88"/>
      <c r="THI97" s="88"/>
      <c r="THQ97" s="88"/>
      <c r="THY97" s="88"/>
      <c r="TIG97" s="88"/>
      <c r="TIO97" s="88"/>
      <c r="TIW97" s="88"/>
      <c r="TJE97" s="88"/>
      <c r="TJM97" s="88"/>
      <c r="TJU97" s="88"/>
      <c r="TKC97" s="88"/>
      <c r="TKK97" s="88"/>
      <c r="TKS97" s="88"/>
      <c r="TLA97" s="88"/>
      <c r="TLI97" s="88"/>
      <c r="TLQ97" s="88"/>
      <c r="TLY97" s="88"/>
      <c r="TMG97" s="88"/>
      <c r="TMO97" s="88"/>
      <c r="TMW97" s="88"/>
      <c r="TNE97" s="88"/>
      <c r="TNM97" s="88"/>
      <c r="TNU97" s="88"/>
      <c r="TOC97" s="88"/>
      <c r="TOK97" s="88"/>
      <c r="TOS97" s="88"/>
      <c r="TPA97" s="88"/>
      <c r="TPI97" s="88"/>
      <c r="TPQ97" s="88"/>
      <c r="TPY97" s="88"/>
      <c r="TQG97" s="88"/>
      <c r="TQO97" s="88"/>
      <c r="TQW97" s="88"/>
      <c r="TRE97" s="88"/>
      <c r="TRM97" s="88"/>
      <c r="TRU97" s="88"/>
      <c r="TSC97" s="88"/>
      <c r="TSK97" s="88"/>
      <c r="TSS97" s="88"/>
      <c r="TTA97" s="88"/>
      <c r="TTI97" s="88"/>
      <c r="TTQ97" s="88"/>
      <c r="TTY97" s="88"/>
      <c r="TUG97" s="88"/>
      <c r="TUO97" s="88"/>
      <c r="TUW97" s="88"/>
      <c r="TVE97" s="88"/>
      <c r="TVM97" s="88"/>
      <c r="TVU97" s="88"/>
      <c r="TWC97" s="88"/>
      <c r="TWK97" s="88"/>
      <c r="TWS97" s="88"/>
      <c r="TXA97" s="88"/>
      <c r="TXI97" s="88"/>
      <c r="TXQ97" s="88"/>
      <c r="TXY97" s="88"/>
      <c r="TYG97" s="88"/>
      <c r="TYO97" s="88"/>
      <c r="TYW97" s="88"/>
      <c r="TZE97" s="88"/>
      <c r="TZM97" s="88"/>
      <c r="TZU97" s="88"/>
      <c r="UAC97" s="88"/>
      <c r="UAK97" s="88"/>
      <c r="UAS97" s="88"/>
      <c r="UBA97" s="88"/>
      <c r="UBI97" s="88"/>
      <c r="UBQ97" s="88"/>
      <c r="UBY97" s="88"/>
      <c r="UCG97" s="88"/>
      <c r="UCO97" s="88"/>
      <c r="UCW97" s="88"/>
      <c r="UDE97" s="88"/>
      <c r="UDM97" s="88"/>
      <c r="UDU97" s="88"/>
      <c r="UEC97" s="88"/>
      <c r="UEK97" s="88"/>
      <c r="UES97" s="88"/>
      <c r="UFA97" s="88"/>
      <c r="UFI97" s="88"/>
      <c r="UFQ97" s="88"/>
      <c r="UFY97" s="88"/>
      <c r="UGG97" s="88"/>
      <c r="UGO97" s="88"/>
      <c r="UGW97" s="88"/>
      <c r="UHE97" s="88"/>
      <c r="UHM97" s="88"/>
      <c r="UHU97" s="88"/>
      <c r="UIC97" s="88"/>
      <c r="UIK97" s="88"/>
      <c r="UIS97" s="88"/>
      <c r="UJA97" s="88"/>
      <c r="UJI97" s="88"/>
      <c r="UJQ97" s="88"/>
      <c r="UJY97" s="88"/>
      <c r="UKG97" s="88"/>
      <c r="UKO97" s="88"/>
      <c r="UKW97" s="88"/>
      <c r="ULE97" s="88"/>
      <c r="ULM97" s="88"/>
      <c r="ULU97" s="88"/>
      <c r="UMC97" s="88"/>
      <c r="UMK97" s="88"/>
      <c r="UMS97" s="88"/>
      <c r="UNA97" s="88"/>
      <c r="UNI97" s="88"/>
      <c r="UNQ97" s="88"/>
      <c r="UNY97" s="88"/>
      <c r="UOG97" s="88"/>
      <c r="UOO97" s="88"/>
      <c r="UOW97" s="88"/>
      <c r="UPE97" s="88"/>
      <c r="UPM97" s="88"/>
      <c r="UPU97" s="88"/>
      <c r="UQC97" s="88"/>
      <c r="UQK97" s="88"/>
      <c r="UQS97" s="88"/>
      <c r="URA97" s="88"/>
      <c r="URI97" s="88"/>
      <c r="URQ97" s="88"/>
      <c r="URY97" s="88"/>
      <c r="USG97" s="88"/>
      <c r="USO97" s="88"/>
      <c r="USW97" s="88"/>
      <c r="UTE97" s="88"/>
      <c r="UTM97" s="88"/>
      <c r="UTU97" s="88"/>
      <c r="UUC97" s="88"/>
      <c r="UUK97" s="88"/>
      <c r="UUS97" s="88"/>
      <c r="UVA97" s="88"/>
      <c r="UVI97" s="88"/>
      <c r="UVQ97" s="88"/>
      <c r="UVY97" s="88"/>
      <c r="UWG97" s="88"/>
      <c r="UWO97" s="88"/>
      <c r="UWW97" s="88"/>
      <c r="UXE97" s="88"/>
      <c r="UXM97" s="88"/>
      <c r="UXU97" s="88"/>
      <c r="UYC97" s="88"/>
      <c r="UYK97" s="88"/>
      <c r="UYS97" s="88"/>
      <c r="UZA97" s="88"/>
      <c r="UZI97" s="88"/>
      <c r="UZQ97" s="88"/>
      <c r="UZY97" s="88"/>
      <c r="VAG97" s="88"/>
      <c r="VAO97" s="88"/>
      <c r="VAW97" s="88"/>
      <c r="VBE97" s="88"/>
      <c r="VBM97" s="88"/>
      <c r="VBU97" s="88"/>
      <c r="VCC97" s="88"/>
      <c r="VCK97" s="88"/>
      <c r="VCS97" s="88"/>
      <c r="VDA97" s="88"/>
      <c r="VDI97" s="88"/>
      <c r="VDQ97" s="88"/>
      <c r="VDY97" s="88"/>
      <c r="VEG97" s="88"/>
      <c r="VEO97" s="88"/>
      <c r="VEW97" s="88"/>
      <c r="VFE97" s="88"/>
      <c r="VFM97" s="88"/>
      <c r="VFU97" s="88"/>
      <c r="VGC97" s="88"/>
      <c r="VGK97" s="88"/>
      <c r="VGS97" s="88"/>
      <c r="VHA97" s="88"/>
      <c r="VHI97" s="88"/>
      <c r="VHQ97" s="88"/>
      <c r="VHY97" s="88"/>
      <c r="VIG97" s="88"/>
      <c r="VIO97" s="88"/>
      <c r="VIW97" s="88"/>
      <c r="VJE97" s="88"/>
      <c r="VJM97" s="88"/>
      <c r="VJU97" s="88"/>
      <c r="VKC97" s="88"/>
      <c r="VKK97" s="88"/>
      <c r="VKS97" s="88"/>
      <c r="VLA97" s="88"/>
      <c r="VLI97" s="88"/>
      <c r="VLQ97" s="88"/>
      <c r="VLY97" s="88"/>
      <c r="VMG97" s="88"/>
      <c r="VMO97" s="88"/>
      <c r="VMW97" s="88"/>
      <c r="VNE97" s="88"/>
      <c r="VNM97" s="88"/>
      <c r="VNU97" s="88"/>
      <c r="VOC97" s="88"/>
      <c r="VOK97" s="88"/>
      <c r="VOS97" s="88"/>
      <c r="VPA97" s="88"/>
      <c r="VPI97" s="88"/>
      <c r="VPQ97" s="88"/>
      <c r="VPY97" s="88"/>
      <c r="VQG97" s="88"/>
      <c r="VQO97" s="88"/>
      <c r="VQW97" s="88"/>
      <c r="VRE97" s="88"/>
      <c r="VRM97" s="88"/>
      <c r="VRU97" s="88"/>
      <c r="VSC97" s="88"/>
      <c r="VSK97" s="88"/>
      <c r="VSS97" s="88"/>
      <c r="VTA97" s="88"/>
      <c r="VTI97" s="88"/>
      <c r="VTQ97" s="88"/>
      <c r="VTY97" s="88"/>
      <c r="VUG97" s="88"/>
      <c r="VUO97" s="88"/>
      <c r="VUW97" s="88"/>
      <c r="VVE97" s="88"/>
      <c r="VVM97" s="88"/>
      <c r="VVU97" s="88"/>
      <c r="VWC97" s="88"/>
      <c r="VWK97" s="88"/>
      <c r="VWS97" s="88"/>
      <c r="VXA97" s="88"/>
      <c r="VXI97" s="88"/>
      <c r="VXQ97" s="88"/>
      <c r="VXY97" s="88"/>
      <c r="VYG97" s="88"/>
      <c r="VYO97" s="88"/>
      <c r="VYW97" s="88"/>
      <c r="VZE97" s="88"/>
      <c r="VZM97" s="88"/>
      <c r="VZU97" s="88"/>
      <c r="WAC97" s="88"/>
      <c r="WAK97" s="88"/>
      <c r="WAS97" s="88"/>
      <c r="WBA97" s="88"/>
      <c r="WBI97" s="88"/>
      <c r="WBQ97" s="88"/>
      <c r="WBY97" s="88"/>
      <c r="WCG97" s="88"/>
      <c r="WCO97" s="88"/>
      <c r="WCW97" s="88"/>
      <c r="WDE97" s="88"/>
      <c r="WDM97" s="88"/>
      <c r="WDU97" s="88"/>
      <c r="WEC97" s="88"/>
      <c r="WEK97" s="88"/>
      <c r="WES97" s="88"/>
      <c r="WFA97" s="88"/>
      <c r="WFI97" s="88"/>
      <c r="WFQ97" s="88"/>
      <c r="WFY97" s="88"/>
      <c r="WGG97" s="88"/>
      <c r="WGO97" s="88"/>
      <c r="WGW97" s="88"/>
      <c r="WHE97" s="88"/>
      <c r="WHM97" s="88"/>
      <c r="WHU97" s="88"/>
      <c r="WIC97" s="88"/>
      <c r="WIK97" s="88"/>
      <c r="WIS97" s="88"/>
      <c r="WJA97" s="88"/>
      <c r="WJI97" s="88"/>
      <c r="WJQ97" s="88"/>
      <c r="WJY97" s="88"/>
      <c r="WKG97" s="88"/>
      <c r="WKO97" s="88"/>
      <c r="WKW97" s="88"/>
      <c r="WLE97" s="88"/>
      <c r="WLM97" s="88"/>
      <c r="WLU97" s="88"/>
      <c r="WMC97" s="88"/>
      <c r="WMK97" s="88"/>
      <c r="WMS97" s="88"/>
      <c r="WNA97" s="88"/>
      <c r="WNI97" s="88"/>
      <c r="WNQ97" s="88"/>
      <c r="WNY97" s="88"/>
      <c r="WOG97" s="88"/>
      <c r="WOO97" s="88"/>
      <c r="WOW97" s="88"/>
      <c r="WPE97" s="88"/>
      <c r="WPM97" s="88"/>
      <c r="WPU97" s="88"/>
      <c r="WQC97" s="88"/>
      <c r="WQK97" s="88"/>
      <c r="WQS97" s="88"/>
      <c r="WRA97" s="88"/>
      <c r="WRI97" s="88"/>
      <c r="WRQ97" s="88"/>
      <c r="WRY97" s="88"/>
      <c r="WSG97" s="88"/>
      <c r="WSO97" s="88"/>
      <c r="WSW97" s="88"/>
      <c r="WTE97" s="88"/>
      <c r="WTM97" s="88"/>
      <c r="WTU97" s="88"/>
      <c r="WUC97" s="88"/>
      <c r="WUK97" s="88"/>
      <c r="WUS97" s="88"/>
      <c r="WVA97" s="88"/>
      <c r="WVI97" s="88"/>
      <c r="WVQ97" s="88"/>
      <c r="WVY97" s="88"/>
      <c r="WWG97" s="88"/>
      <c r="WWO97" s="88"/>
      <c r="WWW97" s="88"/>
      <c r="WXE97" s="88"/>
      <c r="WXM97" s="88"/>
      <c r="WXU97" s="88"/>
      <c r="WYC97" s="88"/>
      <c r="WYK97" s="88"/>
      <c r="WYS97" s="88"/>
      <c r="WZA97" s="88"/>
      <c r="WZI97" s="88"/>
      <c r="WZQ97" s="88"/>
      <c r="WZY97" s="88"/>
      <c r="XAG97" s="88"/>
      <c r="XAO97" s="88"/>
      <c r="XAW97" s="88"/>
      <c r="XBE97" s="88"/>
      <c r="XBM97" s="88"/>
      <c r="XBU97" s="88"/>
      <c r="XCC97" s="88"/>
      <c r="XCK97" s="88"/>
      <c r="XCS97" s="88"/>
      <c r="XDA97" s="88"/>
      <c r="XDI97" s="88"/>
      <c r="XDQ97" s="88"/>
      <c r="XDY97" s="88"/>
      <c r="XEG97" s="88"/>
      <c r="XEO97" s="88"/>
      <c r="XEW97" s="88"/>
    </row>
    <row r="98" spans="1:1017 1025:2041 2049:3065 3073:4089 4097:5113 5121:6137 6145:7161 7169:8185 8193:9209 9217:10233 10241:11257 11265:12281 12289:13305 13313:14329 14337:15353 15361:16377" s="99" customFormat="1" ht="15.75" customHeight="1" x14ac:dyDescent="0.25">
      <c r="A98" s="88" t="s">
        <v>1036</v>
      </c>
      <c r="B98" s="99">
        <v>0</v>
      </c>
      <c r="C98" s="99">
        <v>60697</v>
      </c>
      <c r="D98" s="99">
        <v>225634.5</v>
      </c>
      <c r="E98" s="99">
        <v>0</v>
      </c>
      <c r="F98" s="99">
        <v>0</v>
      </c>
      <c r="G98" s="99">
        <v>0</v>
      </c>
      <c r="H98" s="99">
        <v>286331.5</v>
      </c>
      <c r="I98" s="88"/>
      <c r="Q98" s="88"/>
      <c r="Y98" s="88"/>
      <c r="AG98" s="88"/>
      <c r="AO98" s="88"/>
      <c r="AW98" s="88"/>
      <c r="BE98" s="88"/>
      <c r="BM98" s="88"/>
      <c r="BU98" s="88"/>
      <c r="CC98" s="88"/>
      <c r="CK98" s="88"/>
      <c r="CS98" s="88"/>
      <c r="DA98" s="88"/>
      <c r="DI98" s="88"/>
      <c r="DQ98" s="88"/>
      <c r="DY98" s="88"/>
      <c r="EG98" s="88"/>
      <c r="EO98" s="88"/>
      <c r="EW98" s="88"/>
      <c r="FE98" s="88"/>
      <c r="FM98" s="88"/>
      <c r="FU98" s="88"/>
      <c r="GC98" s="88"/>
      <c r="GK98" s="88"/>
      <c r="GS98" s="88"/>
      <c r="HA98" s="88"/>
      <c r="HI98" s="88"/>
      <c r="HQ98" s="88"/>
      <c r="HY98" s="88"/>
      <c r="IG98" s="88"/>
      <c r="IO98" s="88"/>
      <c r="IW98" s="88"/>
      <c r="JE98" s="88"/>
      <c r="JM98" s="88"/>
      <c r="JU98" s="88"/>
      <c r="KC98" s="88"/>
      <c r="KK98" s="88"/>
      <c r="KS98" s="88"/>
      <c r="LA98" s="88"/>
      <c r="LI98" s="88"/>
      <c r="LQ98" s="88"/>
      <c r="LY98" s="88"/>
      <c r="MG98" s="88"/>
      <c r="MO98" s="88"/>
      <c r="MW98" s="88"/>
      <c r="NE98" s="88"/>
      <c r="NM98" s="88"/>
      <c r="NU98" s="88"/>
      <c r="OC98" s="88"/>
      <c r="OK98" s="88"/>
      <c r="OS98" s="88"/>
      <c r="PA98" s="88"/>
      <c r="PI98" s="88"/>
      <c r="PQ98" s="88"/>
      <c r="PY98" s="88"/>
      <c r="QG98" s="88"/>
      <c r="QO98" s="88"/>
      <c r="QW98" s="88"/>
      <c r="RE98" s="88"/>
      <c r="RM98" s="88"/>
      <c r="RU98" s="88"/>
      <c r="SC98" s="88"/>
      <c r="SK98" s="88"/>
      <c r="SS98" s="88"/>
      <c r="TA98" s="88"/>
      <c r="TI98" s="88"/>
      <c r="TQ98" s="88"/>
      <c r="TY98" s="88"/>
      <c r="UG98" s="88"/>
      <c r="UO98" s="88"/>
      <c r="UW98" s="88"/>
      <c r="VE98" s="88"/>
      <c r="VM98" s="88"/>
      <c r="VU98" s="88"/>
      <c r="WC98" s="88"/>
      <c r="WK98" s="88"/>
      <c r="WS98" s="88"/>
      <c r="XA98" s="88"/>
      <c r="XI98" s="88"/>
      <c r="XQ98" s="88"/>
      <c r="XY98" s="88"/>
      <c r="YG98" s="88"/>
      <c r="YO98" s="88"/>
      <c r="YW98" s="88"/>
      <c r="ZE98" s="88"/>
      <c r="ZM98" s="88"/>
      <c r="ZU98" s="88"/>
      <c r="AAC98" s="88"/>
      <c r="AAK98" s="88"/>
      <c r="AAS98" s="88"/>
      <c r="ABA98" s="88"/>
      <c r="ABI98" s="88"/>
      <c r="ABQ98" s="88"/>
      <c r="ABY98" s="88"/>
      <c r="ACG98" s="88"/>
      <c r="ACO98" s="88"/>
      <c r="ACW98" s="88"/>
      <c r="ADE98" s="88"/>
      <c r="ADM98" s="88"/>
      <c r="ADU98" s="88"/>
      <c r="AEC98" s="88"/>
      <c r="AEK98" s="88"/>
      <c r="AES98" s="88"/>
      <c r="AFA98" s="88"/>
      <c r="AFI98" s="88"/>
      <c r="AFQ98" s="88"/>
      <c r="AFY98" s="88"/>
      <c r="AGG98" s="88"/>
      <c r="AGO98" s="88"/>
      <c r="AGW98" s="88"/>
      <c r="AHE98" s="88"/>
      <c r="AHM98" s="88"/>
      <c r="AHU98" s="88"/>
      <c r="AIC98" s="88"/>
      <c r="AIK98" s="88"/>
      <c r="AIS98" s="88"/>
      <c r="AJA98" s="88"/>
      <c r="AJI98" s="88"/>
      <c r="AJQ98" s="88"/>
      <c r="AJY98" s="88"/>
      <c r="AKG98" s="88"/>
      <c r="AKO98" s="88"/>
      <c r="AKW98" s="88"/>
      <c r="ALE98" s="88"/>
      <c r="ALM98" s="88"/>
      <c r="ALU98" s="88"/>
      <c r="AMC98" s="88"/>
      <c r="AMK98" s="88"/>
      <c r="AMS98" s="88"/>
      <c r="ANA98" s="88"/>
      <c r="ANI98" s="88"/>
      <c r="ANQ98" s="88"/>
      <c r="ANY98" s="88"/>
      <c r="AOG98" s="88"/>
      <c r="AOO98" s="88"/>
      <c r="AOW98" s="88"/>
      <c r="APE98" s="88"/>
      <c r="APM98" s="88"/>
      <c r="APU98" s="88"/>
      <c r="AQC98" s="88"/>
      <c r="AQK98" s="88"/>
      <c r="AQS98" s="88"/>
      <c r="ARA98" s="88"/>
      <c r="ARI98" s="88"/>
      <c r="ARQ98" s="88"/>
      <c r="ARY98" s="88"/>
      <c r="ASG98" s="88"/>
      <c r="ASO98" s="88"/>
      <c r="ASW98" s="88"/>
      <c r="ATE98" s="88"/>
      <c r="ATM98" s="88"/>
      <c r="ATU98" s="88"/>
      <c r="AUC98" s="88"/>
      <c r="AUK98" s="88"/>
      <c r="AUS98" s="88"/>
      <c r="AVA98" s="88"/>
      <c r="AVI98" s="88"/>
      <c r="AVQ98" s="88"/>
      <c r="AVY98" s="88"/>
      <c r="AWG98" s="88"/>
      <c r="AWO98" s="88"/>
      <c r="AWW98" s="88"/>
      <c r="AXE98" s="88"/>
      <c r="AXM98" s="88"/>
      <c r="AXU98" s="88"/>
      <c r="AYC98" s="88"/>
      <c r="AYK98" s="88"/>
      <c r="AYS98" s="88"/>
      <c r="AZA98" s="88"/>
      <c r="AZI98" s="88"/>
      <c r="AZQ98" s="88"/>
      <c r="AZY98" s="88"/>
      <c r="BAG98" s="88"/>
      <c r="BAO98" s="88"/>
      <c r="BAW98" s="88"/>
      <c r="BBE98" s="88"/>
      <c r="BBM98" s="88"/>
      <c r="BBU98" s="88"/>
      <c r="BCC98" s="88"/>
      <c r="BCK98" s="88"/>
      <c r="BCS98" s="88"/>
      <c r="BDA98" s="88"/>
      <c r="BDI98" s="88"/>
      <c r="BDQ98" s="88"/>
      <c r="BDY98" s="88"/>
      <c r="BEG98" s="88"/>
      <c r="BEO98" s="88"/>
      <c r="BEW98" s="88"/>
      <c r="BFE98" s="88"/>
      <c r="BFM98" s="88"/>
      <c r="BFU98" s="88"/>
      <c r="BGC98" s="88"/>
      <c r="BGK98" s="88"/>
      <c r="BGS98" s="88"/>
      <c r="BHA98" s="88"/>
      <c r="BHI98" s="88"/>
      <c r="BHQ98" s="88"/>
      <c r="BHY98" s="88"/>
      <c r="BIG98" s="88"/>
      <c r="BIO98" s="88"/>
      <c r="BIW98" s="88"/>
      <c r="BJE98" s="88"/>
      <c r="BJM98" s="88"/>
      <c r="BJU98" s="88"/>
      <c r="BKC98" s="88"/>
      <c r="BKK98" s="88"/>
      <c r="BKS98" s="88"/>
      <c r="BLA98" s="88"/>
      <c r="BLI98" s="88"/>
      <c r="BLQ98" s="88"/>
      <c r="BLY98" s="88"/>
      <c r="BMG98" s="88"/>
      <c r="BMO98" s="88"/>
      <c r="BMW98" s="88"/>
      <c r="BNE98" s="88"/>
      <c r="BNM98" s="88"/>
      <c r="BNU98" s="88"/>
      <c r="BOC98" s="88"/>
      <c r="BOK98" s="88"/>
      <c r="BOS98" s="88"/>
      <c r="BPA98" s="88"/>
      <c r="BPI98" s="88"/>
      <c r="BPQ98" s="88"/>
      <c r="BPY98" s="88"/>
      <c r="BQG98" s="88"/>
      <c r="BQO98" s="88"/>
      <c r="BQW98" s="88"/>
      <c r="BRE98" s="88"/>
      <c r="BRM98" s="88"/>
      <c r="BRU98" s="88"/>
      <c r="BSC98" s="88"/>
      <c r="BSK98" s="88"/>
      <c r="BSS98" s="88"/>
      <c r="BTA98" s="88"/>
      <c r="BTI98" s="88"/>
      <c r="BTQ98" s="88"/>
      <c r="BTY98" s="88"/>
      <c r="BUG98" s="88"/>
      <c r="BUO98" s="88"/>
      <c r="BUW98" s="88"/>
      <c r="BVE98" s="88"/>
      <c r="BVM98" s="88"/>
      <c r="BVU98" s="88"/>
      <c r="BWC98" s="88"/>
      <c r="BWK98" s="88"/>
      <c r="BWS98" s="88"/>
      <c r="BXA98" s="88"/>
      <c r="BXI98" s="88"/>
      <c r="BXQ98" s="88"/>
      <c r="BXY98" s="88"/>
      <c r="BYG98" s="88"/>
      <c r="BYO98" s="88"/>
      <c r="BYW98" s="88"/>
      <c r="BZE98" s="88"/>
      <c r="BZM98" s="88"/>
      <c r="BZU98" s="88"/>
      <c r="CAC98" s="88"/>
      <c r="CAK98" s="88"/>
      <c r="CAS98" s="88"/>
      <c r="CBA98" s="88"/>
      <c r="CBI98" s="88"/>
      <c r="CBQ98" s="88"/>
      <c r="CBY98" s="88"/>
      <c r="CCG98" s="88"/>
      <c r="CCO98" s="88"/>
      <c r="CCW98" s="88"/>
      <c r="CDE98" s="88"/>
      <c r="CDM98" s="88"/>
      <c r="CDU98" s="88"/>
      <c r="CEC98" s="88"/>
      <c r="CEK98" s="88"/>
      <c r="CES98" s="88"/>
      <c r="CFA98" s="88"/>
      <c r="CFI98" s="88"/>
      <c r="CFQ98" s="88"/>
      <c r="CFY98" s="88"/>
      <c r="CGG98" s="88"/>
      <c r="CGO98" s="88"/>
      <c r="CGW98" s="88"/>
      <c r="CHE98" s="88"/>
      <c r="CHM98" s="88"/>
      <c r="CHU98" s="88"/>
      <c r="CIC98" s="88"/>
      <c r="CIK98" s="88"/>
      <c r="CIS98" s="88"/>
      <c r="CJA98" s="88"/>
      <c r="CJI98" s="88"/>
      <c r="CJQ98" s="88"/>
      <c r="CJY98" s="88"/>
      <c r="CKG98" s="88"/>
      <c r="CKO98" s="88"/>
      <c r="CKW98" s="88"/>
      <c r="CLE98" s="88"/>
      <c r="CLM98" s="88"/>
      <c r="CLU98" s="88"/>
      <c r="CMC98" s="88"/>
      <c r="CMK98" s="88"/>
      <c r="CMS98" s="88"/>
      <c r="CNA98" s="88"/>
      <c r="CNI98" s="88"/>
      <c r="CNQ98" s="88"/>
      <c r="CNY98" s="88"/>
      <c r="COG98" s="88"/>
      <c r="COO98" s="88"/>
      <c r="COW98" s="88"/>
      <c r="CPE98" s="88"/>
      <c r="CPM98" s="88"/>
      <c r="CPU98" s="88"/>
      <c r="CQC98" s="88"/>
      <c r="CQK98" s="88"/>
      <c r="CQS98" s="88"/>
      <c r="CRA98" s="88"/>
      <c r="CRI98" s="88"/>
      <c r="CRQ98" s="88"/>
      <c r="CRY98" s="88"/>
      <c r="CSG98" s="88"/>
      <c r="CSO98" s="88"/>
      <c r="CSW98" s="88"/>
      <c r="CTE98" s="88"/>
      <c r="CTM98" s="88"/>
      <c r="CTU98" s="88"/>
      <c r="CUC98" s="88"/>
      <c r="CUK98" s="88"/>
      <c r="CUS98" s="88"/>
      <c r="CVA98" s="88"/>
      <c r="CVI98" s="88"/>
      <c r="CVQ98" s="88"/>
      <c r="CVY98" s="88"/>
      <c r="CWG98" s="88"/>
      <c r="CWO98" s="88"/>
      <c r="CWW98" s="88"/>
      <c r="CXE98" s="88"/>
      <c r="CXM98" s="88"/>
      <c r="CXU98" s="88"/>
      <c r="CYC98" s="88"/>
      <c r="CYK98" s="88"/>
      <c r="CYS98" s="88"/>
      <c r="CZA98" s="88"/>
      <c r="CZI98" s="88"/>
      <c r="CZQ98" s="88"/>
      <c r="CZY98" s="88"/>
      <c r="DAG98" s="88"/>
      <c r="DAO98" s="88"/>
      <c r="DAW98" s="88"/>
      <c r="DBE98" s="88"/>
      <c r="DBM98" s="88"/>
      <c r="DBU98" s="88"/>
      <c r="DCC98" s="88"/>
      <c r="DCK98" s="88"/>
      <c r="DCS98" s="88"/>
      <c r="DDA98" s="88"/>
      <c r="DDI98" s="88"/>
      <c r="DDQ98" s="88"/>
      <c r="DDY98" s="88"/>
      <c r="DEG98" s="88"/>
      <c r="DEO98" s="88"/>
      <c r="DEW98" s="88"/>
      <c r="DFE98" s="88"/>
      <c r="DFM98" s="88"/>
      <c r="DFU98" s="88"/>
      <c r="DGC98" s="88"/>
      <c r="DGK98" s="88"/>
      <c r="DGS98" s="88"/>
      <c r="DHA98" s="88"/>
      <c r="DHI98" s="88"/>
      <c r="DHQ98" s="88"/>
      <c r="DHY98" s="88"/>
      <c r="DIG98" s="88"/>
      <c r="DIO98" s="88"/>
      <c r="DIW98" s="88"/>
      <c r="DJE98" s="88"/>
      <c r="DJM98" s="88"/>
      <c r="DJU98" s="88"/>
      <c r="DKC98" s="88"/>
      <c r="DKK98" s="88"/>
      <c r="DKS98" s="88"/>
      <c r="DLA98" s="88"/>
      <c r="DLI98" s="88"/>
      <c r="DLQ98" s="88"/>
      <c r="DLY98" s="88"/>
      <c r="DMG98" s="88"/>
      <c r="DMO98" s="88"/>
      <c r="DMW98" s="88"/>
      <c r="DNE98" s="88"/>
      <c r="DNM98" s="88"/>
      <c r="DNU98" s="88"/>
      <c r="DOC98" s="88"/>
      <c r="DOK98" s="88"/>
      <c r="DOS98" s="88"/>
      <c r="DPA98" s="88"/>
      <c r="DPI98" s="88"/>
      <c r="DPQ98" s="88"/>
      <c r="DPY98" s="88"/>
      <c r="DQG98" s="88"/>
      <c r="DQO98" s="88"/>
      <c r="DQW98" s="88"/>
      <c r="DRE98" s="88"/>
      <c r="DRM98" s="88"/>
      <c r="DRU98" s="88"/>
      <c r="DSC98" s="88"/>
      <c r="DSK98" s="88"/>
      <c r="DSS98" s="88"/>
      <c r="DTA98" s="88"/>
      <c r="DTI98" s="88"/>
      <c r="DTQ98" s="88"/>
      <c r="DTY98" s="88"/>
      <c r="DUG98" s="88"/>
      <c r="DUO98" s="88"/>
      <c r="DUW98" s="88"/>
      <c r="DVE98" s="88"/>
      <c r="DVM98" s="88"/>
      <c r="DVU98" s="88"/>
      <c r="DWC98" s="88"/>
      <c r="DWK98" s="88"/>
      <c r="DWS98" s="88"/>
      <c r="DXA98" s="88"/>
      <c r="DXI98" s="88"/>
      <c r="DXQ98" s="88"/>
      <c r="DXY98" s="88"/>
      <c r="DYG98" s="88"/>
      <c r="DYO98" s="88"/>
      <c r="DYW98" s="88"/>
      <c r="DZE98" s="88"/>
      <c r="DZM98" s="88"/>
      <c r="DZU98" s="88"/>
      <c r="EAC98" s="88"/>
      <c r="EAK98" s="88"/>
      <c r="EAS98" s="88"/>
      <c r="EBA98" s="88"/>
      <c r="EBI98" s="88"/>
      <c r="EBQ98" s="88"/>
      <c r="EBY98" s="88"/>
      <c r="ECG98" s="88"/>
      <c r="ECO98" s="88"/>
      <c r="ECW98" s="88"/>
      <c r="EDE98" s="88"/>
      <c r="EDM98" s="88"/>
      <c r="EDU98" s="88"/>
      <c r="EEC98" s="88"/>
      <c r="EEK98" s="88"/>
      <c r="EES98" s="88"/>
      <c r="EFA98" s="88"/>
      <c r="EFI98" s="88"/>
      <c r="EFQ98" s="88"/>
      <c r="EFY98" s="88"/>
      <c r="EGG98" s="88"/>
      <c r="EGO98" s="88"/>
      <c r="EGW98" s="88"/>
      <c r="EHE98" s="88"/>
      <c r="EHM98" s="88"/>
      <c r="EHU98" s="88"/>
      <c r="EIC98" s="88"/>
      <c r="EIK98" s="88"/>
      <c r="EIS98" s="88"/>
      <c r="EJA98" s="88"/>
      <c r="EJI98" s="88"/>
      <c r="EJQ98" s="88"/>
      <c r="EJY98" s="88"/>
      <c r="EKG98" s="88"/>
      <c r="EKO98" s="88"/>
      <c r="EKW98" s="88"/>
      <c r="ELE98" s="88"/>
      <c r="ELM98" s="88"/>
      <c r="ELU98" s="88"/>
      <c r="EMC98" s="88"/>
      <c r="EMK98" s="88"/>
      <c r="EMS98" s="88"/>
      <c r="ENA98" s="88"/>
      <c r="ENI98" s="88"/>
      <c r="ENQ98" s="88"/>
      <c r="ENY98" s="88"/>
      <c r="EOG98" s="88"/>
      <c r="EOO98" s="88"/>
      <c r="EOW98" s="88"/>
      <c r="EPE98" s="88"/>
      <c r="EPM98" s="88"/>
      <c r="EPU98" s="88"/>
      <c r="EQC98" s="88"/>
      <c r="EQK98" s="88"/>
      <c r="EQS98" s="88"/>
      <c r="ERA98" s="88"/>
      <c r="ERI98" s="88"/>
      <c r="ERQ98" s="88"/>
      <c r="ERY98" s="88"/>
      <c r="ESG98" s="88"/>
      <c r="ESO98" s="88"/>
      <c r="ESW98" s="88"/>
      <c r="ETE98" s="88"/>
      <c r="ETM98" s="88"/>
      <c r="ETU98" s="88"/>
      <c r="EUC98" s="88"/>
      <c r="EUK98" s="88"/>
      <c r="EUS98" s="88"/>
      <c r="EVA98" s="88"/>
      <c r="EVI98" s="88"/>
      <c r="EVQ98" s="88"/>
      <c r="EVY98" s="88"/>
      <c r="EWG98" s="88"/>
      <c r="EWO98" s="88"/>
      <c r="EWW98" s="88"/>
      <c r="EXE98" s="88"/>
      <c r="EXM98" s="88"/>
      <c r="EXU98" s="88"/>
      <c r="EYC98" s="88"/>
      <c r="EYK98" s="88"/>
      <c r="EYS98" s="88"/>
      <c r="EZA98" s="88"/>
      <c r="EZI98" s="88"/>
      <c r="EZQ98" s="88"/>
      <c r="EZY98" s="88"/>
      <c r="FAG98" s="88"/>
      <c r="FAO98" s="88"/>
      <c r="FAW98" s="88"/>
      <c r="FBE98" s="88"/>
      <c r="FBM98" s="88"/>
      <c r="FBU98" s="88"/>
      <c r="FCC98" s="88"/>
      <c r="FCK98" s="88"/>
      <c r="FCS98" s="88"/>
      <c r="FDA98" s="88"/>
      <c r="FDI98" s="88"/>
      <c r="FDQ98" s="88"/>
      <c r="FDY98" s="88"/>
      <c r="FEG98" s="88"/>
      <c r="FEO98" s="88"/>
      <c r="FEW98" s="88"/>
      <c r="FFE98" s="88"/>
      <c r="FFM98" s="88"/>
      <c r="FFU98" s="88"/>
      <c r="FGC98" s="88"/>
      <c r="FGK98" s="88"/>
      <c r="FGS98" s="88"/>
      <c r="FHA98" s="88"/>
      <c r="FHI98" s="88"/>
      <c r="FHQ98" s="88"/>
      <c r="FHY98" s="88"/>
      <c r="FIG98" s="88"/>
      <c r="FIO98" s="88"/>
      <c r="FIW98" s="88"/>
      <c r="FJE98" s="88"/>
      <c r="FJM98" s="88"/>
      <c r="FJU98" s="88"/>
      <c r="FKC98" s="88"/>
      <c r="FKK98" s="88"/>
      <c r="FKS98" s="88"/>
      <c r="FLA98" s="88"/>
      <c r="FLI98" s="88"/>
      <c r="FLQ98" s="88"/>
      <c r="FLY98" s="88"/>
      <c r="FMG98" s="88"/>
      <c r="FMO98" s="88"/>
      <c r="FMW98" s="88"/>
      <c r="FNE98" s="88"/>
      <c r="FNM98" s="88"/>
      <c r="FNU98" s="88"/>
      <c r="FOC98" s="88"/>
      <c r="FOK98" s="88"/>
      <c r="FOS98" s="88"/>
      <c r="FPA98" s="88"/>
      <c r="FPI98" s="88"/>
      <c r="FPQ98" s="88"/>
      <c r="FPY98" s="88"/>
      <c r="FQG98" s="88"/>
      <c r="FQO98" s="88"/>
      <c r="FQW98" s="88"/>
      <c r="FRE98" s="88"/>
      <c r="FRM98" s="88"/>
      <c r="FRU98" s="88"/>
      <c r="FSC98" s="88"/>
      <c r="FSK98" s="88"/>
      <c r="FSS98" s="88"/>
      <c r="FTA98" s="88"/>
      <c r="FTI98" s="88"/>
      <c r="FTQ98" s="88"/>
      <c r="FTY98" s="88"/>
      <c r="FUG98" s="88"/>
      <c r="FUO98" s="88"/>
      <c r="FUW98" s="88"/>
      <c r="FVE98" s="88"/>
      <c r="FVM98" s="88"/>
      <c r="FVU98" s="88"/>
      <c r="FWC98" s="88"/>
      <c r="FWK98" s="88"/>
      <c r="FWS98" s="88"/>
      <c r="FXA98" s="88"/>
      <c r="FXI98" s="88"/>
      <c r="FXQ98" s="88"/>
      <c r="FXY98" s="88"/>
      <c r="FYG98" s="88"/>
      <c r="FYO98" s="88"/>
      <c r="FYW98" s="88"/>
      <c r="FZE98" s="88"/>
      <c r="FZM98" s="88"/>
      <c r="FZU98" s="88"/>
      <c r="GAC98" s="88"/>
      <c r="GAK98" s="88"/>
      <c r="GAS98" s="88"/>
      <c r="GBA98" s="88"/>
      <c r="GBI98" s="88"/>
      <c r="GBQ98" s="88"/>
      <c r="GBY98" s="88"/>
      <c r="GCG98" s="88"/>
      <c r="GCO98" s="88"/>
      <c r="GCW98" s="88"/>
      <c r="GDE98" s="88"/>
      <c r="GDM98" s="88"/>
      <c r="GDU98" s="88"/>
      <c r="GEC98" s="88"/>
      <c r="GEK98" s="88"/>
      <c r="GES98" s="88"/>
      <c r="GFA98" s="88"/>
      <c r="GFI98" s="88"/>
      <c r="GFQ98" s="88"/>
      <c r="GFY98" s="88"/>
      <c r="GGG98" s="88"/>
      <c r="GGO98" s="88"/>
      <c r="GGW98" s="88"/>
      <c r="GHE98" s="88"/>
      <c r="GHM98" s="88"/>
      <c r="GHU98" s="88"/>
      <c r="GIC98" s="88"/>
      <c r="GIK98" s="88"/>
      <c r="GIS98" s="88"/>
      <c r="GJA98" s="88"/>
      <c r="GJI98" s="88"/>
      <c r="GJQ98" s="88"/>
      <c r="GJY98" s="88"/>
      <c r="GKG98" s="88"/>
      <c r="GKO98" s="88"/>
      <c r="GKW98" s="88"/>
      <c r="GLE98" s="88"/>
      <c r="GLM98" s="88"/>
      <c r="GLU98" s="88"/>
      <c r="GMC98" s="88"/>
      <c r="GMK98" s="88"/>
      <c r="GMS98" s="88"/>
      <c r="GNA98" s="88"/>
      <c r="GNI98" s="88"/>
      <c r="GNQ98" s="88"/>
      <c r="GNY98" s="88"/>
      <c r="GOG98" s="88"/>
      <c r="GOO98" s="88"/>
      <c r="GOW98" s="88"/>
      <c r="GPE98" s="88"/>
      <c r="GPM98" s="88"/>
      <c r="GPU98" s="88"/>
      <c r="GQC98" s="88"/>
      <c r="GQK98" s="88"/>
      <c r="GQS98" s="88"/>
      <c r="GRA98" s="88"/>
      <c r="GRI98" s="88"/>
      <c r="GRQ98" s="88"/>
      <c r="GRY98" s="88"/>
      <c r="GSG98" s="88"/>
      <c r="GSO98" s="88"/>
      <c r="GSW98" s="88"/>
      <c r="GTE98" s="88"/>
      <c r="GTM98" s="88"/>
      <c r="GTU98" s="88"/>
      <c r="GUC98" s="88"/>
      <c r="GUK98" s="88"/>
      <c r="GUS98" s="88"/>
      <c r="GVA98" s="88"/>
      <c r="GVI98" s="88"/>
      <c r="GVQ98" s="88"/>
      <c r="GVY98" s="88"/>
      <c r="GWG98" s="88"/>
      <c r="GWO98" s="88"/>
      <c r="GWW98" s="88"/>
      <c r="GXE98" s="88"/>
      <c r="GXM98" s="88"/>
      <c r="GXU98" s="88"/>
      <c r="GYC98" s="88"/>
      <c r="GYK98" s="88"/>
      <c r="GYS98" s="88"/>
      <c r="GZA98" s="88"/>
      <c r="GZI98" s="88"/>
      <c r="GZQ98" s="88"/>
      <c r="GZY98" s="88"/>
      <c r="HAG98" s="88"/>
      <c r="HAO98" s="88"/>
      <c r="HAW98" s="88"/>
      <c r="HBE98" s="88"/>
      <c r="HBM98" s="88"/>
      <c r="HBU98" s="88"/>
      <c r="HCC98" s="88"/>
      <c r="HCK98" s="88"/>
      <c r="HCS98" s="88"/>
      <c r="HDA98" s="88"/>
      <c r="HDI98" s="88"/>
      <c r="HDQ98" s="88"/>
      <c r="HDY98" s="88"/>
      <c r="HEG98" s="88"/>
      <c r="HEO98" s="88"/>
      <c r="HEW98" s="88"/>
      <c r="HFE98" s="88"/>
      <c r="HFM98" s="88"/>
      <c r="HFU98" s="88"/>
      <c r="HGC98" s="88"/>
      <c r="HGK98" s="88"/>
      <c r="HGS98" s="88"/>
      <c r="HHA98" s="88"/>
      <c r="HHI98" s="88"/>
      <c r="HHQ98" s="88"/>
      <c r="HHY98" s="88"/>
      <c r="HIG98" s="88"/>
      <c r="HIO98" s="88"/>
      <c r="HIW98" s="88"/>
      <c r="HJE98" s="88"/>
      <c r="HJM98" s="88"/>
      <c r="HJU98" s="88"/>
      <c r="HKC98" s="88"/>
      <c r="HKK98" s="88"/>
      <c r="HKS98" s="88"/>
      <c r="HLA98" s="88"/>
      <c r="HLI98" s="88"/>
      <c r="HLQ98" s="88"/>
      <c r="HLY98" s="88"/>
      <c r="HMG98" s="88"/>
      <c r="HMO98" s="88"/>
      <c r="HMW98" s="88"/>
      <c r="HNE98" s="88"/>
      <c r="HNM98" s="88"/>
      <c r="HNU98" s="88"/>
      <c r="HOC98" s="88"/>
      <c r="HOK98" s="88"/>
      <c r="HOS98" s="88"/>
      <c r="HPA98" s="88"/>
      <c r="HPI98" s="88"/>
      <c r="HPQ98" s="88"/>
      <c r="HPY98" s="88"/>
      <c r="HQG98" s="88"/>
      <c r="HQO98" s="88"/>
      <c r="HQW98" s="88"/>
      <c r="HRE98" s="88"/>
      <c r="HRM98" s="88"/>
      <c r="HRU98" s="88"/>
      <c r="HSC98" s="88"/>
      <c r="HSK98" s="88"/>
      <c r="HSS98" s="88"/>
      <c r="HTA98" s="88"/>
      <c r="HTI98" s="88"/>
      <c r="HTQ98" s="88"/>
      <c r="HTY98" s="88"/>
      <c r="HUG98" s="88"/>
      <c r="HUO98" s="88"/>
      <c r="HUW98" s="88"/>
      <c r="HVE98" s="88"/>
      <c r="HVM98" s="88"/>
      <c r="HVU98" s="88"/>
      <c r="HWC98" s="88"/>
      <c r="HWK98" s="88"/>
      <c r="HWS98" s="88"/>
      <c r="HXA98" s="88"/>
      <c r="HXI98" s="88"/>
      <c r="HXQ98" s="88"/>
      <c r="HXY98" s="88"/>
      <c r="HYG98" s="88"/>
      <c r="HYO98" s="88"/>
      <c r="HYW98" s="88"/>
      <c r="HZE98" s="88"/>
      <c r="HZM98" s="88"/>
      <c r="HZU98" s="88"/>
      <c r="IAC98" s="88"/>
      <c r="IAK98" s="88"/>
      <c r="IAS98" s="88"/>
      <c r="IBA98" s="88"/>
      <c r="IBI98" s="88"/>
      <c r="IBQ98" s="88"/>
      <c r="IBY98" s="88"/>
      <c r="ICG98" s="88"/>
      <c r="ICO98" s="88"/>
      <c r="ICW98" s="88"/>
      <c r="IDE98" s="88"/>
      <c r="IDM98" s="88"/>
      <c r="IDU98" s="88"/>
      <c r="IEC98" s="88"/>
      <c r="IEK98" s="88"/>
      <c r="IES98" s="88"/>
      <c r="IFA98" s="88"/>
      <c r="IFI98" s="88"/>
      <c r="IFQ98" s="88"/>
      <c r="IFY98" s="88"/>
      <c r="IGG98" s="88"/>
      <c r="IGO98" s="88"/>
      <c r="IGW98" s="88"/>
      <c r="IHE98" s="88"/>
      <c r="IHM98" s="88"/>
      <c r="IHU98" s="88"/>
      <c r="IIC98" s="88"/>
      <c r="IIK98" s="88"/>
      <c r="IIS98" s="88"/>
      <c r="IJA98" s="88"/>
      <c r="IJI98" s="88"/>
      <c r="IJQ98" s="88"/>
      <c r="IJY98" s="88"/>
      <c r="IKG98" s="88"/>
      <c r="IKO98" s="88"/>
      <c r="IKW98" s="88"/>
      <c r="ILE98" s="88"/>
      <c r="ILM98" s="88"/>
      <c r="ILU98" s="88"/>
      <c r="IMC98" s="88"/>
      <c r="IMK98" s="88"/>
      <c r="IMS98" s="88"/>
      <c r="INA98" s="88"/>
      <c r="INI98" s="88"/>
      <c r="INQ98" s="88"/>
      <c r="INY98" s="88"/>
      <c r="IOG98" s="88"/>
      <c r="IOO98" s="88"/>
      <c r="IOW98" s="88"/>
      <c r="IPE98" s="88"/>
      <c r="IPM98" s="88"/>
      <c r="IPU98" s="88"/>
      <c r="IQC98" s="88"/>
      <c r="IQK98" s="88"/>
      <c r="IQS98" s="88"/>
      <c r="IRA98" s="88"/>
      <c r="IRI98" s="88"/>
      <c r="IRQ98" s="88"/>
      <c r="IRY98" s="88"/>
      <c r="ISG98" s="88"/>
      <c r="ISO98" s="88"/>
      <c r="ISW98" s="88"/>
      <c r="ITE98" s="88"/>
      <c r="ITM98" s="88"/>
      <c r="ITU98" s="88"/>
      <c r="IUC98" s="88"/>
      <c r="IUK98" s="88"/>
      <c r="IUS98" s="88"/>
      <c r="IVA98" s="88"/>
      <c r="IVI98" s="88"/>
      <c r="IVQ98" s="88"/>
      <c r="IVY98" s="88"/>
      <c r="IWG98" s="88"/>
      <c r="IWO98" s="88"/>
      <c r="IWW98" s="88"/>
      <c r="IXE98" s="88"/>
      <c r="IXM98" s="88"/>
      <c r="IXU98" s="88"/>
      <c r="IYC98" s="88"/>
      <c r="IYK98" s="88"/>
      <c r="IYS98" s="88"/>
      <c r="IZA98" s="88"/>
      <c r="IZI98" s="88"/>
      <c r="IZQ98" s="88"/>
      <c r="IZY98" s="88"/>
      <c r="JAG98" s="88"/>
      <c r="JAO98" s="88"/>
      <c r="JAW98" s="88"/>
      <c r="JBE98" s="88"/>
      <c r="JBM98" s="88"/>
      <c r="JBU98" s="88"/>
      <c r="JCC98" s="88"/>
      <c r="JCK98" s="88"/>
      <c r="JCS98" s="88"/>
      <c r="JDA98" s="88"/>
      <c r="JDI98" s="88"/>
      <c r="JDQ98" s="88"/>
      <c r="JDY98" s="88"/>
      <c r="JEG98" s="88"/>
      <c r="JEO98" s="88"/>
      <c r="JEW98" s="88"/>
      <c r="JFE98" s="88"/>
      <c r="JFM98" s="88"/>
      <c r="JFU98" s="88"/>
      <c r="JGC98" s="88"/>
      <c r="JGK98" s="88"/>
      <c r="JGS98" s="88"/>
      <c r="JHA98" s="88"/>
      <c r="JHI98" s="88"/>
      <c r="JHQ98" s="88"/>
      <c r="JHY98" s="88"/>
      <c r="JIG98" s="88"/>
      <c r="JIO98" s="88"/>
      <c r="JIW98" s="88"/>
      <c r="JJE98" s="88"/>
      <c r="JJM98" s="88"/>
      <c r="JJU98" s="88"/>
      <c r="JKC98" s="88"/>
      <c r="JKK98" s="88"/>
      <c r="JKS98" s="88"/>
      <c r="JLA98" s="88"/>
      <c r="JLI98" s="88"/>
      <c r="JLQ98" s="88"/>
      <c r="JLY98" s="88"/>
      <c r="JMG98" s="88"/>
      <c r="JMO98" s="88"/>
      <c r="JMW98" s="88"/>
      <c r="JNE98" s="88"/>
      <c r="JNM98" s="88"/>
      <c r="JNU98" s="88"/>
      <c r="JOC98" s="88"/>
      <c r="JOK98" s="88"/>
      <c r="JOS98" s="88"/>
      <c r="JPA98" s="88"/>
      <c r="JPI98" s="88"/>
      <c r="JPQ98" s="88"/>
      <c r="JPY98" s="88"/>
      <c r="JQG98" s="88"/>
      <c r="JQO98" s="88"/>
      <c r="JQW98" s="88"/>
      <c r="JRE98" s="88"/>
      <c r="JRM98" s="88"/>
      <c r="JRU98" s="88"/>
      <c r="JSC98" s="88"/>
      <c r="JSK98" s="88"/>
      <c r="JSS98" s="88"/>
      <c r="JTA98" s="88"/>
      <c r="JTI98" s="88"/>
      <c r="JTQ98" s="88"/>
      <c r="JTY98" s="88"/>
      <c r="JUG98" s="88"/>
      <c r="JUO98" s="88"/>
      <c r="JUW98" s="88"/>
      <c r="JVE98" s="88"/>
      <c r="JVM98" s="88"/>
      <c r="JVU98" s="88"/>
      <c r="JWC98" s="88"/>
      <c r="JWK98" s="88"/>
      <c r="JWS98" s="88"/>
      <c r="JXA98" s="88"/>
      <c r="JXI98" s="88"/>
      <c r="JXQ98" s="88"/>
      <c r="JXY98" s="88"/>
      <c r="JYG98" s="88"/>
      <c r="JYO98" s="88"/>
      <c r="JYW98" s="88"/>
      <c r="JZE98" s="88"/>
      <c r="JZM98" s="88"/>
      <c r="JZU98" s="88"/>
      <c r="KAC98" s="88"/>
      <c r="KAK98" s="88"/>
      <c r="KAS98" s="88"/>
      <c r="KBA98" s="88"/>
      <c r="KBI98" s="88"/>
      <c r="KBQ98" s="88"/>
      <c r="KBY98" s="88"/>
      <c r="KCG98" s="88"/>
      <c r="KCO98" s="88"/>
      <c r="KCW98" s="88"/>
      <c r="KDE98" s="88"/>
      <c r="KDM98" s="88"/>
      <c r="KDU98" s="88"/>
      <c r="KEC98" s="88"/>
      <c r="KEK98" s="88"/>
      <c r="KES98" s="88"/>
      <c r="KFA98" s="88"/>
      <c r="KFI98" s="88"/>
      <c r="KFQ98" s="88"/>
      <c r="KFY98" s="88"/>
      <c r="KGG98" s="88"/>
      <c r="KGO98" s="88"/>
      <c r="KGW98" s="88"/>
      <c r="KHE98" s="88"/>
      <c r="KHM98" s="88"/>
      <c r="KHU98" s="88"/>
      <c r="KIC98" s="88"/>
      <c r="KIK98" s="88"/>
      <c r="KIS98" s="88"/>
      <c r="KJA98" s="88"/>
      <c r="KJI98" s="88"/>
      <c r="KJQ98" s="88"/>
      <c r="KJY98" s="88"/>
      <c r="KKG98" s="88"/>
      <c r="KKO98" s="88"/>
      <c r="KKW98" s="88"/>
      <c r="KLE98" s="88"/>
      <c r="KLM98" s="88"/>
      <c r="KLU98" s="88"/>
      <c r="KMC98" s="88"/>
      <c r="KMK98" s="88"/>
      <c r="KMS98" s="88"/>
      <c r="KNA98" s="88"/>
      <c r="KNI98" s="88"/>
      <c r="KNQ98" s="88"/>
      <c r="KNY98" s="88"/>
      <c r="KOG98" s="88"/>
      <c r="KOO98" s="88"/>
      <c r="KOW98" s="88"/>
      <c r="KPE98" s="88"/>
      <c r="KPM98" s="88"/>
      <c r="KPU98" s="88"/>
      <c r="KQC98" s="88"/>
      <c r="KQK98" s="88"/>
      <c r="KQS98" s="88"/>
      <c r="KRA98" s="88"/>
      <c r="KRI98" s="88"/>
      <c r="KRQ98" s="88"/>
      <c r="KRY98" s="88"/>
      <c r="KSG98" s="88"/>
      <c r="KSO98" s="88"/>
      <c r="KSW98" s="88"/>
      <c r="KTE98" s="88"/>
      <c r="KTM98" s="88"/>
      <c r="KTU98" s="88"/>
      <c r="KUC98" s="88"/>
      <c r="KUK98" s="88"/>
      <c r="KUS98" s="88"/>
      <c r="KVA98" s="88"/>
      <c r="KVI98" s="88"/>
      <c r="KVQ98" s="88"/>
      <c r="KVY98" s="88"/>
      <c r="KWG98" s="88"/>
      <c r="KWO98" s="88"/>
      <c r="KWW98" s="88"/>
      <c r="KXE98" s="88"/>
      <c r="KXM98" s="88"/>
      <c r="KXU98" s="88"/>
      <c r="KYC98" s="88"/>
      <c r="KYK98" s="88"/>
      <c r="KYS98" s="88"/>
      <c r="KZA98" s="88"/>
      <c r="KZI98" s="88"/>
      <c r="KZQ98" s="88"/>
      <c r="KZY98" s="88"/>
      <c r="LAG98" s="88"/>
      <c r="LAO98" s="88"/>
      <c r="LAW98" s="88"/>
      <c r="LBE98" s="88"/>
      <c r="LBM98" s="88"/>
      <c r="LBU98" s="88"/>
      <c r="LCC98" s="88"/>
      <c r="LCK98" s="88"/>
      <c r="LCS98" s="88"/>
      <c r="LDA98" s="88"/>
      <c r="LDI98" s="88"/>
      <c r="LDQ98" s="88"/>
      <c r="LDY98" s="88"/>
      <c r="LEG98" s="88"/>
      <c r="LEO98" s="88"/>
      <c r="LEW98" s="88"/>
      <c r="LFE98" s="88"/>
      <c r="LFM98" s="88"/>
      <c r="LFU98" s="88"/>
      <c r="LGC98" s="88"/>
      <c r="LGK98" s="88"/>
      <c r="LGS98" s="88"/>
      <c r="LHA98" s="88"/>
      <c r="LHI98" s="88"/>
      <c r="LHQ98" s="88"/>
      <c r="LHY98" s="88"/>
      <c r="LIG98" s="88"/>
      <c r="LIO98" s="88"/>
      <c r="LIW98" s="88"/>
      <c r="LJE98" s="88"/>
      <c r="LJM98" s="88"/>
      <c r="LJU98" s="88"/>
      <c r="LKC98" s="88"/>
      <c r="LKK98" s="88"/>
      <c r="LKS98" s="88"/>
      <c r="LLA98" s="88"/>
      <c r="LLI98" s="88"/>
      <c r="LLQ98" s="88"/>
      <c r="LLY98" s="88"/>
      <c r="LMG98" s="88"/>
      <c r="LMO98" s="88"/>
      <c r="LMW98" s="88"/>
      <c r="LNE98" s="88"/>
      <c r="LNM98" s="88"/>
      <c r="LNU98" s="88"/>
      <c r="LOC98" s="88"/>
      <c r="LOK98" s="88"/>
      <c r="LOS98" s="88"/>
      <c r="LPA98" s="88"/>
      <c r="LPI98" s="88"/>
      <c r="LPQ98" s="88"/>
      <c r="LPY98" s="88"/>
      <c r="LQG98" s="88"/>
      <c r="LQO98" s="88"/>
      <c r="LQW98" s="88"/>
      <c r="LRE98" s="88"/>
      <c r="LRM98" s="88"/>
      <c r="LRU98" s="88"/>
      <c r="LSC98" s="88"/>
      <c r="LSK98" s="88"/>
      <c r="LSS98" s="88"/>
      <c r="LTA98" s="88"/>
      <c r="LTI98" s="88"/>
      <c r="LTQ98" s="88"/>
      <c r="LTY98" s="88"/>
      <c r="LUG98" s="88"/>
      <c r="LUO98" s="88"/>
      <c r="LUW98" s="88"/>
      <c r="LVE98" s="88"/>
      <c r="LVM98" s="88"/>
      <c r="LVU98" s="88"/>
      <c r="LWC98" s="88"/>
      <c r="LWK98" s="88"/>
      <c r="LWS98" s="88"/>
      <c r="LXA98" s="88"/>
      <c r="LXI98" s="88"/>
      <c r="LXQ98" s="88"/>
      <c r="LXY98" s="88"/>
      <c r="LYG98" s="88"/>
      <c r="LYO98" s="88"/>
      <c r="LYW98" s="88"/>
      <c r="LZE98" s="88"/>
      <c r="LZM98" s="88"/>
      <c r="LZU98" s="88"/>
      <c r="MAC98" s="88"/>
      <c r="MAK98" s="88"/>
      <c r="MAS98" s="88"/>
      <c r="MBA98" s="88"/>
      <c r="MBI98" s="88"/>
      <c r="MBQ98" s="88"/>
      <c r="MBY98" s="88"/>
      <c r="MCG98" s="88"/>
      <c r="MCO98" s="88"/>
      <c r="MCW98" s="88"/>
      <c r="MDE98" s="88"/>
      <c r="MDM98" s="88"/>
      <c r="MDU98" s="88"/>
      <c r="MEC98" s="88"/>
      <c r="MEK98" s="88"/>
      <c r="MES98" s="88"/>
      <c r="MFA98" s="88"/>
      <c r="MFI98" s="88"/>
      <c r="MFQ98" s="88"/>
      <c r="MFY98" s="88"/>
      <c r="MGG98" s="88"/>
      <c r="MGO98" s="88"/>
      <c r="MGW98" s="88"/>
      <c r="MHE98" s="88"/>
      <c r="MHM98" s="88"/>
      <c r="MHU98" s="88"/>
      <c r="MIC98" s="88"/>
      <c r="MIK98" s="88"/>
      <c r="MIS98" s="88"/>
      <c r="MJA98" s="88"/>
      <c r="MJI98" s="88"/>
      <c r="MJQ98" s="88"/>
      <c r="MJY98" s="88"/>
      <c r="MKG98" s="88"/>
      <c r="MKO98" s="88"/>
      <c r="MKW98" s="88"/>
      <c r="MLE98" s="88"/>
      <c r="MLM98" s="88"/>
      <c r="MLU98" s="88"/>
      <c r="MMC98" s="88"/>
      <c r="MMK98" s="88"/>
      <c r="MMS98" s="88"/>
      <c r="MNA98" s="88"/>
      <c r="MNI98" s="88"/>
      <c r="MNQ98" s="88"/>
      <c r="MNY98" s="88"/>
      <c r="MOG98" s="88"/>
      <c r="MOO98" s="88"/>
      <c r="MOW98" s="88"/>
      <c r="MPE98" s="88"/>
      <c r="MPM98" s="88"/>
      <c r="MPU98" s="88"/>
      <c r="MQC98" s="88"/>
      <c r="MQK98" s="88"/>
      <c r="MQS98" s="88"/>
      <c r="MRA98" s="88"/>
      <c r="MRI98" s="88"/>
      <c r="MRQ98" s="88"/>
      <c r="MRY98" s="88"/>
      <c r="MSG98" s="88"/>
      <c r="MSO98" s="88"/>
      <c r="MSW98" s="88"/>
      <c r="MTE98" s="88"/>
      <c r="MTM98" s="88"/>
      <c r="MTU98" s="88"/>
      <c r="MUC98" s="88"/>
      <c r="MUK98" s="88"/>
      <c r="MUS98" s="88"/>
      <c r="MVA98" s="88"/>
      <c r="MVI98" s="88"/>
      <c r="MVQ98" s="88"/>
      <c r="MVY98" s="88"/>
      <c r="MWG98" s="88"/>
      <c r="MWO98" s="88"/>
      <c r="MWW98" s="88"/>
      <c r="MXE98" s="88"/>
      <c r="MXM98" s="88"/>
      <c r="MXU98" s="88"/>
      <c r="MYC98" s="88"/>
      <c r="MYK98" s="88"/>
      <c r="MYS98" s="88"/>
      <c r="MZA98" s="88"/>
      <c r="MZI98" s="88"/>
      <c r="MZQ98" s="88"/>
      <c r="MZY98" s="88"/>
      <c r="NAG98" s="88"/>
      <c r="NAO98" s="88"/>
      <c r="NAW98" s="88"/>
      <c r="NBE98" s="88"/>
      <c r="NBM98" s="88"/>
      <c r="NBU98" s="88"/>
      <c r="NCC98" s="88"/>
      <c r="NCK98" s="88"/>
      <c r="NCS98" s="88"/>
      <c r="NDA98" s="88"/>
      <c r="NDI98" s="88"/>
      <c r="NDQ98" s="88"/>
      <c r="NDY98" s="88"/>
      <c r="NEG98" s="88"/>
      <c r="NEO98" s="88"/>
      <c r="NEW98" s="88"/>
      <c r="NFE98" s="88"/>
      <c r="NFM98" s="88"/>
      <c r="NFU98" s="88"/>
      <c r="NGC98" s="88"/>
      <c r="NGK98" s="88"/>
      <c r="NGS98" s="88"/>
      <c r="NHA98" s="88"/>
      <c r="NHI98" s="88"/>
      <c r="NHQ98" s="88"/>
      <c r="NHY98" s="88"/>
      <c r="NIG98" s="88"/>
      <c r="NIO98" s="88"/>
      <c r="NIW98" s="88"/>
      <c r="NJE98" s="88"/>
      <c r="NJM98" s="88"/>
      <c r="NJU98" s="88"/>
      <c r="NKC98" s="88"/>
      <c r="NKK98" s="88"/>
      <c r="NKS98" s="88"/>
      <c r="NLA98" s="88"/>
      <c r="NLI98" s="88"/>
      <c r="NLQ98" s="88"/>
      <c r="NLY98" s="88"/>
      <c r="NMG98" s="88"/>
      <c r="NMO98" s="88"/>
      <c r="NMW98" s="88"/>
      <c r="NNE98" s="88"/>
      <c r="NNM98" s="88"/>
      <c r="NNU98" s="88"/>
      <c r="NOC98" s="88"/>
      <c r="NOK98" s="88"/>
      <c r="NOS98" s="88"/>
      <c r="NPA98" s="88"/>
      <c r="NPI98" s="88"/>
      <c r="NPQ98" s="88"/>
      <c r="NPY98" s="88"/>
      <c r="NQG98" s="88"/>
      <c r="NQO98" s="88"/>
      <c r="NQW98" s="88"/>
      <c r="NRE98" s="88"/>
      <c r="NRM98" s="88"/>
      <c r="NRU98" s="88"/>
      <c r="NSC98" s="88"/>
      <c r="NSK98" s="88"/>
      <c r="NSS98" s="88"/>
      <c r="NTA98" s="88"/>
      <c r="NTI98" s="88"/>
      <c r="NTQ98" s="88"/>
      <c r="NTY98" s="88"/>
      <c r="NUG98" s="88"/>
      <c r="NUO98" s="88"/>
      <c r="NUW98" s="88"/>
      <c r="NVE98" s="88"/>
      <c r="NVM98" s="88"/>
      <c r="NVU98" s="88"/>
      <c r="NWC98" s="88"/>
      <c r="NWK98" s="88"/>
      <c r="NWS98" s="88"/>
      <c r="NXA98" s="88"/>
      <c r="NXI98" s="88"/>
      <c r="NXQ98" s="88"/>
      <c r="NXY98" s="88"/>
      <c r="NYG98" s="88"/>
      <c r="NYO98" s="88"/>
      <c r="NYW98" s="88"/>
      <c r="NZE98" s="88"/>
      <c r="NZM98" s="88"/>
      <c r="NZU98" s="88"/>
      <c r="OAC98" s="88"/>
      <c r="OAK98" s="88"/>
      <c r="OAS98" s="88"/>
      <c r="OBA98" s="88"/>
      <c r="OBI98" s="88"/>
      <c r="OBQ98" s="88"/>
      <c r="OBY98" s="88"/>
      <c r="OCG98" s="88"/>
      <c r="OCO98" s="88"/>
      <c r="OCW98" s="88"/>
      <c r="ODE98" s="88"/>
      <c r="ODM98" s="88"/>
      <c r="ODU98" s="88"/>
      <c r="OEC98" s="88"/>
      <c r="OEK98" s="88"/>
      <c r="OES98" s="88"/>
      <c r="OFA98" s="88"/>
      <c r="OFI98" s="88"/>
      <c r="OFQ98" s="88"/>
      <c r="OFY98" s="88"/>
      <c r="OGG98" s="88"/>
      <c r="OGO98" s="88"/>
      <c r="OGW98" s="88"/>
      <c r="OHE98" s="88"/>
      <c r="OHM98" s="88"/>
      <c r="OHU98" s="88"/>
      <c r="OIC98" s="88"/>
      <c r="OIK98" s="88"/>
      <c r="OIS98" s="88"/>
      <c r="OJA98" s="88"/>
      <c r="OJI98" s="88"/>
      <c r="OJQ98" s="88"/>
      <c r="OJY98" s="88"/>
      <c r="OKG98" s="88"/>
      <c r="OKO98" s="88"/>
      <c r="OKW98" s="88"/>
      <c r="OLE98" s="88"/>
      <c r="OLM98" s="88"/>
      <c r="OLU98" s="88"/>
      <c r="OMC98" s="88"/>
      <c r="OMK98" s="88"/>
      <c r="OMS98" s="88"/>
      <c r="ONA98" s="88"/>
      <c r="ONI98" s="88"/>
      <c r="ONQ98" s="88"/>
      <c r="ONY98" s="88"/>
      <c r="OOG98" s="88"/>
      <c r="OOO98" s="88"/>
      <c r="OOW98" s="88"/>
      <c r="OPE98" s="88"/>
      <c r="OPM98" s="88"/>
      <c r="OPU98" s="88"/>
      <c r="OQC98" s="88"/>
      <c r="OQK98" s="88"/>
      <c r="OQS98" s="88"/>
      <c r="ORA98" s="88"/>
      <c r="ORI98" s="88"/>
      <c r="ORQ98" s="88"/>
      <c r="ORY98" s="88"/>
      <c r="OSG98" s="88"/>
      <c r="OSO98" s="88"/>
      <c r="OSW98" s="88"/>
      <c r="OTE98" s="88"/>
      <c r="OTM98" s="88"/>
      <c r="OTU98" s="88"/>
      <c r="OUC98" s="88"/>
      <c r="OUK98" s="88"/>
      <c r="OUS98" s="88"/>
      <c r="OVA98" s="88"/>
      <c r="OVI98" s="88"/>
      <c r="OVQ98" s="88"/>
      <c r="OVY98" s="88"/>
      <c r="OWG98" s="88"/>
      <c r="OWO98" s="88"/>
      <c r="OWW98" s="88"/>
      <c r="OXE98" s="88"/>
      <c r="OXM98" s="88"/>
      <c r="OXU98" s="88"/>
      <c r="OYC98" s="88"/>
      <c r="OYK98" s="88"/>
      <c r="OYS98" s="88"/>
      <c r="OZA98" s="88"/>
      <c r="OZI98" s="88"/>
      <c r="OZQ98" s="88"/>
      <c r="OZY98" s="88"/>
      <c r="PAG98" s="88"/>
      <c r="PAO98" s="88"/>
      <c r="PAW98" s="88"/>
      <c r="PBE98" s="88"/>
      <c r="PBM98" s="88"/>
      <c r="PBU98" s="88"/>
      <c r="PCC98" s="88"/>
      <c r="PCK98" s="88"/>
      <c r="PCS98" s="88"/>
      <c r="PDA98" s="88"/>
      <c r="PDI98" s="88"/>
      <c r="PDQ98" s="88"/>
      <c r="PDY98" s="88"/>
      <c r="PEG98" s="88"/>
      <c r="PEO98" s="88"/>
      <c r="PEW98" s="88"/>
      <c r="PFE98" s="88"/>
      <c r="PFM98" s="88"/>
      <c r="PFU98" s="88"/>
      <c r="PGC98" s="88"/>
      <c r="PGK98" s="88"/>
      <c r="PGS98" s="88"/>
      <c r="PHA98" s="88"/>
      <c r="PHI98" s="88"/>
      <c r="PHQ98" s="88"/>
      <c r="PHY98" s="88"/>
      <c r="PIG98" s="88"/>
      <c r="PIO98" s="88"/>
      <c r="PIW98" s="88"/>
      <c r="PJE98" s="88"/>
      <c r="PJM98" s="88"/>
      <c r="PJU98" s="88"/>
      <c r="PKC98" s="88"/>
      <c r="PKK98" s="88"/>
      <c r="PKS98" s="88"/>
      <c r="PLA98" s="88"/>
      <c r="PLI98" s="88"/>
      <c r="PLQ98" s="88"/>
      <c r="PLY98" s="88"/>
      <c r="PMG98" s="88"/>
      <c r="PMO98" s="88"/>
      <c r="PMW98" s="88"/>
      <c r="PNE98" s="88"/>
      <c r="PNM98" s="88"/>
      <c r="PNU98" s="88"/>
      <c r="POC98" s="88"/>
      <c r="POK98" s="88"/>
      <c r="POS98" s="88"/>
      <c r="PPA98" s="88"/>
      <c r="PPI98" s="88"/>
      <c r="PPQ98" s="88"/>
      <c r="PPY98" s="88"/>
      <c r="PQG98" s="88"/>
      <c r="PQO98" s="88"/>
      <c r="PQW98" s="88"/>
      <c r="PRE98" s="88"/>
      <c r="PRM98" s="88"/>
      <c r="PRU98" s="88"/>
      <c r="PSC98" s="88"/>
      <c r="PSK98" s="88"/>
      <c r="PSS98" s="88"/>
      <c r="PTA98" s="88"/>
      <c r="PTI98" s="88"/>
      <c r="PTQ98" s="88"/>
      <c r="PTY98" s="88"/>
      <c r="PUG98" s="88"/>
      <c r="PUO98" s="88"/>
      <c r="PUW98" s="88"/>
      <c r="PVE98" s="88"/>
      <c r="PVM98" s="88"/>
      <c r="PVU98" s="88"/>
      <c r="PWC98" s="88"/>
      <c r="PWK98" s="88"/>
      <c r="PWS98" s="88"/>
      <c r="PXA98" s="88"/>
      <c r="PXI98" s="88"/>
      <c r="PXQ98" s="88"/>
      <c r="PXY98" s="88"/>
      <c r="PYG98" s="88"/>
      <c r="PYO98" s="88"/>
      <c r="PYW98" s="88"/>
      <c r="PZE98" s="88"/>
      <c r="PZM98" s="88"/>
      <c r="PZU98" s="88"/>
      <c r="QAC98" s="88"/>
      <c r="QAK98" s="88"/>
      <c r="QAS98" s="88"/>
      <c r="QBA98" s="88"/>
      <c r="QBI98" s="88"/>
      <c r="QBQ98" s="88"/>
      <c r="QBY98" s="88"/>
      <c r="QCG98" s="88"/>
      <c r="QCO98" s="88"/>
      <c r="QCW98" s="88"/>
      <c r="QDE98" s="88"/>
      <c r="QDM98" s="88"/>
      <c r="QDU98" s="88"/>
      <c r="QEC98" s="88"/>
      <c r="QEK98" s="88"/>
      <c r="QES98" s="88"/>
      <c r="QFA98" s="88"/>
      <c r="QFI98" s="88"/>
      <c r="QFQ98" s="88"/>
      <c r="QFY98" s="88"/>
      <c r="QGG98" s="88"/>
      <c r="QGO98" s="88"/>
      <c r="QGW98" s="88"/>
      <c r="QHE98" s="88"/>
      <c r="QHM98" s="88"/>
      <c r="QHU98" s="88"/>
      <c r="QIC98" s="88"/>
      <c r="QIK98" s="88"/>
      <c r="QIS98" s="88"/>
      <c r="QJA98" s="88"/>
      <c r="QJI98" s="88"/>
      <c r="QJQ98" s="88"/>
      <c r="QJY98" s="88"/>
      <c r="QKG98" s="88"/>
      <c r="QKO98" s="88"/>
      <c r="QKW98" s="88"/>
      <c r="QLE98" s="88"/>
      <c r="QLM98" s="88"/>
      <c r="QLU98" s="88"/>
      <c r="QMC98" s="88"/>
      <c r="QMK98" s="88"/>
      <c r="QMS98" s="88"/>
      <c r="QNA98" s="88"/>
      <c r="QNI98" s="88"/>
      <c r="QNQ98" s="88"/>
      <c r="QNY98" s="88"/>
      <c r="QOG98" s="88"/>
      <c r="QOO98" s="88"/>
      <c r="QOW98" s="88"/>
      <c r="QPE98" s="88"/>
      <c r="QPM98" s="88"/>
      <c r="QPU98" s="88"/>
      <c r="QQC98" s="88"/>
      <c r="QQK98" s="88"/>
      <c r="QQS98" s="88"/>
      <c r="QRA98" s="88"/>
      <c r="QRI98" s="88"/>
      <c r="QRQ98" s="88"/>
      <c r="QRY98" s="88"/>
      <c r="QSG98" s="88"/>
      <c r="QSO98" s="88"/>
      <c r="QSW98" s="88"/>
      <c r="QTE98" s="88"/>
      <c r="QTM98" s="88"/>
      <c r="QTU98" s="88"/>
      <c r="QUC98" s="88"/>
      <c r="QUK98" s="88"/>
      <c r="QUS98" s="88"/>
      <c r="QVA98" s="88"/>
      <c r="QVI98" s="88"/>
      <c r="QVQ98" s="88"/>
      <c r="QVY98" s="88"/>
      <c r="QWG98" s="88"/>
      <c r="QWO98" s="88"/>
      <c r="QWW98" s="88"/>
      <c r="QXE98" s="88"/>
      <c r="QXM98" s="88"/>
      <c r="QXU98" s="88"/>
      <c r="QYC98" s="88"/>
      <c r="QYK98" s="88"/>
      <c r="QYS98" s="88"/>
      <c r="QZA98" s="88"/>
      <c r="QZI98" s="88"/>
      <c r="QZQ98" s="88"/>
      <c r="QZY98" s="88"/>
      <c r="RAG98" s="88"/>
      <c r="RAO98" s="88"/>
      <c r="RAW98" s="88"/>
      <c r="RBE98" s="88"/>
      <c r="RBM98" s="88"/>
      <c r="RBU98" s="88"/>
      <c r="RCC98" s="88"/>
      <c r="RCK98" s="88"/>
      <c r="RCS98" s="88"/>
      <c r="RDA98" s="88"/>
      <c r="RDI98" s="88"/>
      <c r="RDQ98" s="88"/>
      <c r="RDY98" s="88"/>
      <c r="REG98" s="88"/>
      <c r="REO98" s="88"/>
      <c r="REW98" s="88"/>
      <c r="RFE98" s="88"/>
      <c r="RFM98" s="88"/>
      <c r="RFU98" s="88"/>
      <c r="RGC98" s="88"/>
      <c r="RGK98" s="88"/>
      <c r="RGS98" s="88"/>
      <c r="RHA98" s="88"/>
      <c r="RHI98" s="88"/>
      <c r="RHQ98" s="88"/>
      <c r="RHY98" s="88"/>
      <c r="RIG98" s="88"/>
      <c r="RIO98" s="88"/>
      <c r="RIW98" s="88"/>
      <c r="RJE98" s="88"/>
      <c r="RJM98" s="88"/>
      <c r="RJU98" s="88"/>
      <c r="RKC98" s="88"/>
      <c r="RKK98" s="88"/>
      <c r="RKS98" s="88"/>
      <c r="RLA98" s="88"/>
      <c r="RLI98" s="88"/>
      <c r="RLQ98" s="88"/>
      <c r="RLY98" s="88"/>
      <c r="RMG98" s="88"/>
      <c r="RMO98" s="88"/>
      <c r="RMW98" s="88"/>
      <c r="RNE98" s="88"/>
      <c r="RNM98" s="88"/>
      <c r="RNU98" s="88"/>
      <c r="ROC98" s="88"/>
      <c r="ROK98" s="88"/>
      <c r="ROS98" s="88"/>
      <c r="RPA98" s="88"/>
      <c r="RPI98" s="88"/>
      <c r="RPQ98" s="88"/>
      <c r="RPY98" s="88"/>
      <c r="RQG98" s="88"/>
      <c r="RQO98" s="88"/>
      <c r="RQW98" s="88"/>
      <c r="RRE98" s="88"/>
      <c r="RRM98" s="88"/>
      <c r="RRU98" s="88"/>
      <c r="RSC98" s="88"/>
      <c r="RSK98" s="88"/>
      <c r="RSS98" s="88"/>
      <c r="RTA98" s="88"/>
      <c r="RTI98" s="88"/>
      <c r="RTQ98" s="88"/>
      <c r="RTY98" s="88"/>
      <c r="RUG98" s="88"/>
      <c r="RUO98" s="88"/>
      <c r="RUW98" s="88"/>
      <c r="RVE98" s="88"/>
      <c r="RVM98" s="88"/>
      <c r="RVU98" s="88"/>
      <c r="RWC98" s="88"/>
      <c r="RWK98" s="88"/>
      <c r="RWS98" s="88"/>
      <c r="RXA98" s="88"/>
      <c r="RXI98" s="88"/>
      <c r="RXQ98" s="88"/>
      <c r="RXY98" s="88"/>
      <c r="RYG98" s="88"/>
      <c r="RYO98" s="88"/>
      <c r="RYW98" s="88"/>
      <c r="RZE98" s="88"/>
      <c r="RZM98" s="88"/>
      <c r="RZU98" s="88"/>
      <c r="SAC98" s="88"/>
      <c r="SAK98" s="88"/>
      <c r="SAS98" s="88"/>
      <c r="SBA98" s="88"/>
      <c r="SBI98" s="88"/>
      <c r="SBQ98" s="88"/>
      <c r="SBY98" s="88"/>
      <c r="SCG98" s="88"/>
      <c r="SCO98" s="88"/>
      <c r="SCW98" s="88"/>
      <c r="SDE98" s="88"/>
      <c r="SDM98" s="88"/>
      <c r="SDU98" s="88"/>
      <c r="SEC98" s="88"/>
      <c r="SEK98" s="88"/>
      <c r="SES98" s="88"/>
      <c r="SFA98" s="88"/>
      <c r="SFI98" s="88"/>
      <c r="SFQ98" s="88"/>
      <c r="SFY98" s="88"/>
      <c r="SGG98" s="88"/>
      <c r="SGO98" s="88"/>
      <c r="SGW98" s="88"/>
      <c r="SHE98" s="88"/>
      <c r="SHM98" s="88"/>
      <c r="SHU98" s="88"/>
      <c r="SIC98" s="88"/>
      <c r="SIK98" s="88"/>
      <c r="SIS98" s="88"/>
      <c r="SJA98" s="88"/>
      <c r="SJI98" s="88"/>
      <c r="SJQ98" s="88"/>
      <c r="SJY98" s="88"/>
      <c r="SKG98" s="88"/>
      <c r="SKO98" s="88"/>
      <c r="SKW98" s="88"/>
      <c r="SLE98" s="88"/>
      <c r="SLM98" s="88"/>
      <c r="SLU98" s="88"/>
      <c r="SMC98" s="88"/>
      <c r="SMK98" s="88"/>
      <c r="SMS98" s="88"/>
      <c r="SNA98" s="88"/>
      <c r="SNI98" s="88"/>
      <c r="SNQ98" s="88"/>
      <c r="SNY98" s="88"/>
      <c r="SOG98" s="88"/>
      <c r="SOO98" s="88"/>
      <c r="SOW98" s="88"/>
      <c r="SPE98" s="88"/>
      <c r="SPM98" s="88"/>
      <c r="SPU98" s="88"/>
      <c r="SQC98" s="88"/>
      <c r="SQK98" s="88"/>
      <c r="SQS98" s="88"/>
      <c r="SRA98" s="88"/>
      <c r="SRI98" s="88"/>
      <c r="SRQ98" s="88"/>
      <c r="SRY98" s="88"/>
      <c r="SSG98" s="88"/>
      <c r="SSO98" s="88"/>
      <c r="SSW98" s="88"/>
      <c r="STE98" s="88"/>
      <c r="STM98" s="88"/>
      <c r="STU98" s="88"/>
      <c r="SUC98" s="88"/>
      <c r="SUK98" s="88"/>
      <c r="SUS98" s="88"/>
      <c r="SVA98" s="88"/>
      <c r="SVI98" s="88"/>
      <c r="SVQ98" s="88"/>
      <c r="SVY98" s="88"/>
      <c r="SWG98" s="88"/>
      <c r="SWO98" s="88"/>
      <c r="SWW98" s="88"/>
      <c r="SXE98" s="88"/>
      <c r="SXM98" s="88"/>
      <c r="SXU98" s="88"/>
      <c r="SYC98" s="88"/>
      <c r="SYK98" s="88"/>
      <c r="SYS98" s="88"/>
      <c r="SZA98" s="88"/>
      <c r="SZI98" s="88"/>
      <c r="SZQ98" s="88"/>
      <c r="SZY98" s="88"/>
      <c r="TAG98" s="88"/>
      <c r="TAO98" s="88"/>
      <c r="TAW98" s="88"/>
      <c r="TBE98" s="88"/>
      <c r="TBM98" s="88"/>
      <c r="TBU98" s="88"/>
      <c r="TCC98" s="88"/>
      <c r="TCK98" s="88"/>
      <c r="TCS98" s="88"/>
      <c r="TDA98" s="88"/>
      <c r="TDI98" s="88"/>
      <c r="TDQ98" s="88"/>
      <c r="TDY98" s="88"/>
      <c r="TEG98" s="88"/>
      <c r="TEO98" s="88"/>
      <c r="TEW98" s="88"/>
      <c r="TFE98" s="88"/>
      <c r="TFM98" s="88"/>
      <c r="TFU98" s="88"/>
      <c r="TGC98" s="88"/>
      <c r="TGK98" s="88"/>
      <c r="TGS98" s="88"/>
      <c r="THA98" s="88"/>
      <c r="THI98" s="88"/>
      <c r="THQ98" s="88"/>
      <c r="THY98" s="88"/>
      <c r="TIG98" s="88"/>
      <c r="TIO98" s="88"/>
      <c r="TIW98" s="88"/>
      <c r="TJE98" s="88"/>
      <c r="TJM98" s="88"/>
      <c r="TJU98" s="88"/>
      <c r="TKC98" s="88"/>
      <c r="TKK98" s="88"/>
      <c r="TKS98" s="88"/>
      <c r="TLA98" s="88"/>
      <c r="TLI98" s="88"/>
      <c r="TLQ98" s="88"/>
      <c r="TLY98" s="88"/>
      <c r="TMG98" s="88"/>
      <c r="TMO98" s="88"/>
      <c r="TMW98" s="88"/>
      <c r="TNE98" s="88"/>
      <c r="TNM98" s="88"/>
      <c r="TNU98" s="88"/>
      <c r="TOC98" s="88"/>
      <c r="TOK98" s="88"/>
      <c r="TOS98" s="88"/>
      <c r="TPA98" s="88"/>
      <c r="TPI98" s="88"/>
      <c r="TPQ98" s="88"/>
      <c r="TPY98" s="88"/>
      <c r="TQG98" s="88"/>
      <c r="TQO98" s="88"/>
      <c r="TQW98" s="88"/>
      <c r="TRE98" s="88"/>
      <c r="TRM98" s="88"/>
      <c r="TRU98" s="88"/>
      <c r="TSC98" s="88"/>
      <c r="TSK98" s="88"/>
      <c r="TSS98" s="88"/>
      <c r="TTA98" s="88"/>
      <c r="TTI98" s="88"/>
      <c r="TTQ98" s="88"/>
      <c r="TTY98" s="88"/>
      <c r="TUG98" s="88"/>
      <c r="TUO98" s="88"/>
      <c r="TUW98" s="88"/>
      <c r="TVE98" s="88"/>
      <c r="TVM98" s="88"/>
      <c r="TVU98" s="88"/>
      <c r="TWC98" s="88"/>
      <c r="TWK98" s="88"/>
      <c r="TWS98" s="88"/>
      <c r="TXA98" s="88"/>
      <c r="TXI98" s="88"/>
      <c r="TXQ98" s="88"/>
      <c r="TXY98" s="88"/>
      <c r="TYG98" s="88"/>
      <c r="TYO98" s="88"/>
      <c r="TYW98" s="88"/>
      <c r="TZE98" s="88"/>
      <c r="TZM98" s="88"/>
      <c r="TZU98" s="88"/>
      <c r="UAC98" s="88"/>
      <c r="UAK98" s="88"/>
      <c r="UAS98" s="88"/>
      <c r="UBA98" s="88"/>
      <c r="UBI98" s="88"/>
      <c r="UBQ98" s="88"/>
      <c r="UBY98" s="88"/>
      <c r="UCG98" s="88"/>
      <c r="UCO98" s="88"/>
      <c r="UCW98" s="88"/>
      <c r="UDE98" s="88"/>
      <c r="UDM98" s="88"/>
      <c r="UDU98" s="88"/>
      <c r="UEC98" s="88"/>
      <c r="UEK98" s="88"/>
      <c r="UES98" s="88"/>
      <c r="UFA98" s="88"/>
      <c r="UFI98" s="88"/>
      <c r="UFQ98" s="88"/>
      <c r="UFY98" s="88"/>
      <c r="UGG98" s="88"/>
      <c r="UGO98" s="88"/>
      <c r="UGW98" s="88"/>
      <c r="UHE98" s="88"/>
      <c r="UHM98" s="88"/>
      <c r="UHU98" s="88"/>
      <c r="UIC98" s="88"/>
      <c r="UIK98" s="88"/>
      <c r="UIS98" s="88"/>
      <c r="UJA98" s="88"/>
      <c r="UJI98" s="88"/>
      <c r="UJQ98" s="88"/>
      <c r="UJY98" s="88"/>
      <c r="UKG98" s="88"/>
      <c r="UKO98" s="88"/>
      <c r="UKW98" s="88"/>
      <c r="ULE98" s="88"/>
      <c r="ULM98" s="88"/>
      <c r="ULU98" s="88"/>
      <c r="UMC98" s="88"/>
      <c r="UMK98" s="88"/>
      <c r="UMS98" s="88"/>
      <c r="UNA98" s="88"/>
      <c r="UNI98" s="88"/>
      <c r="UNQ98" s="88"/>
      <c r="UNY98" s="88"/>
      <c r="UOG98" s="88"/>
      <c r="UOO98" s="88"/>
      <c r="UOW98" s="88"/>
      <c r="UPE98" s="88"/>
      <c r="UPM98" s="88"/>
      <c r="UPU98" s="88"/>
      <c r="UQC98" s="88"/>
      <c r="UQK98" s="88"/>
      <c r="UQS98" s="88"/>
      <c r="URA98" s="88"/>
      <c r="URI98" s="88"/>
      <c r="URQ98" s="88"/>
      <c r="URY98" s="88"/>
      <c r="USG98" s="88"/>
      <c r="USO98" s="88"/>
      <c r="USW98" s="88"/>
      <c r="UTE98" s="88"/>
      <c r="UTM98" s="88"/>
      <c r="UTU98" s="88"/>
      <c r="UUC98" s="88"/>
      <c r="UUK98" s="88"/>
      <c r="UUS98" s="88"/>
      <c r="UVA98" s="88"/>
      <c r="UVI98" s="88"/>
      <c r="UVQ98" s="88"/>
      <c r="UVY98" s="88"/>
      <c r="UWG98" s="88"/>
      <c r="UWO98" s="88"/>
      <c r="UWW98" s="88"/>
      <c r="UXE98" s="88"/>
      <c r="UXM98" s="88"/>
      <c r="UXU98" s="88"/>
      <c r="UYC98" s="88"/>
      <c r="UYK98" s="88"/>
      <c r="UYS98" s="88"/>
      <c r="UZA98" s="88"/>
      <c r="UZI98" s="88"/>
      <c r="UZQ98" s="88"/>
      <c r="UZY98" s="88"/>
      <c r="VAG98" s="88"/>
      <c r="VAO98" s="88"/>
      <c r="VAW98" s="88"/>
      <c r="VBE98" s="88"/>
      <c r="VBM98" s="88"/>
      <c r="VBU98" s="88"/>
      <c r="VCC98" s="88"/>
      <c r="VCK98" s="88"/>
      <c r="VCS98" s="88"/>
      <c r="VDA98" s="88"/>
      <c r="VDI98" s="88"/>
      <c r="VDQ98" s="88"/>
      <c r="VDY98" s="88"/>
      <c r="VEG98" s="88"/>
      <c r="VEO98" s="88"/>
      <c r="VEW98" s="88"/>
      <c r="VFE98" s="88"/>
      <c r="VFM98" s="88"/>
      <c r="VFU98" s="88"/>
      <c r="VGC98" s="88"/>
      <c r="VGK98" s="88"/>
      <c r="VGS98" s="88"/>
      <c r="VHA98" s="88"/>
      <c r="VHI98" s="88"/>
      <c r="VHQ98" s="88"/>
      <c r="VHY98" s="88"/>
      <c r="VIG98" s="88"/>
      <c r="VIO98" s="88"/>
      <c r="VIW98" s="88"/>
      <c r="VJE98" s="88"/>
      <c r="VJM98" s="88"/>
      <c r="VJU98" s="88"/>
      <c r="VKC98" s="88"/>
      <c r="VKK98" s="88"/>
      <c r="VKS98" s="88"/>
      <c r="VLA98" s="88"/>
      <c r="VLI98" s="88"/>
      <c r="VLQ98" s="88"/>
      <c r="VLY98" s="88"/>
      <c r="VMG98" s="88"/>
      <c r="VMO98" s="88"/>
      <c r="VMW98" s="88"/>
      <c r="VNE98" s="88"/>
      <c r="VNM98" s="88"/>
      <c r="VNU98" s="88"/>
      <c r="VOC98" s="88"/>
      <c r="VOK98" s="88"/>
      <c r="VOS98" s="88"/>
      <c r="VPA98" s="88"/>
      <c r="VPI98" s="88"/>
      <c r="VPQ98" s="88"/>
      <c r="VPY98" s="88"/>
      <c r="VQG98" s="88"/>
      <c r="VQO98" s="88"/>
      <c r="VQW98" s="88"/>
      <c r="VRE98" s="88"/>
      <c r="VRM98" s="88"/>
      <c r="VRU98" s="88"/>
      <c r="VSC98" s="88"/>
      <c r="VSK98" s="88"/>
      <c r="VSS98" s="88"/>
      <c r="VTA98" s="88"/>
      <c r="VTI98" s="88"/>
      <c r="VTQ98" s="88"/>
      <c r="VTY98" s="88"/>
      <c r="VUG98" s="88"/>
      <c r="VUO98" s="88"/>
      <c r="VUW98" s="88"/>
      <c r="VVE98" s="88"/>
      <c r="VVM98" s="88"/>
      <c r="VVU98" s="88"/>
      <c r="VWC98" s="88"/>
      <c r="VWK98" s="88"/>
      <c r="VWS98" s="88"/>
      <c r="VXA98" s="88"/>
      <c r="VXI98" s="88"/>
      <c r="VXQ98" s="88"/>
      <c r="VXY98" s="88"/>
      <c r="VYG98" s="88"/>
      <c r="VYO98" s="88"/>
      <c r="VYW98" s="88"/>
      <c r="VZE98" s="88"/>
      <c r="VZM98" s="88"/>
      <c r="VZU98" s="88"/>
      <c r="WAC98" s="88"/>
      <c r="WAK98" s="88"/>
      <c r="WAS98" s="88"/>
      <c r="WBA98" s="88"/>
      <c r="WBI98" s="88"/>
      <c r="WBQ98" s="88"/>
      <c r="WBY98" s="88"/>
      <c r="WCG98" s="88"/>
      <c r="WCO98" s="88"/>
      <c r="WCW98" s="88"/>
      <c r="WDE98" s="88"/>
      <c r="WDM98" s="88"/>
      <c r="WDU98" s="88"/>
      <c r="WEC98" s="88"/>
      <c r="WEK98" s="88"/>
      <c r="WES98" s="88"/>
      <c r="WFA98" s="88"/>
      <c r="WFI98" s="88"/>
      <c r="WFQ98" s="88"/>
      <c r="WFY98" s="88"/>
      <c r="WGG98" s="88"/>
      <c r="WGO98" s="88"/>
      <c r="WGW98" s="88"/>
      <c r="WHE98" s="88"/>
      <c r="WHM98" s="88"/>
      <c r="WHU98" s="88"/>
      <c r="WIC98" s="88"/>
      <c r="WIK98" s="88"/>
      <c r="WIS98" s="88"/>
      <c r="WJA98" s="88"/>
      <c r="WJI98" s="88"/>
      <c r="WJQ98" s="88"/>
      <c r="WJY98" s="88"/>
      <c r="WKG98" s="88"/>
      <c r="WKO98" s="88"/>
      <c r="WKW98" s="88"/>
      <c r="WLE98" s="88"/>
      <c r="WLM98" s="88"/>
      <c r="WLU98" s="88"/>
      <c r="WMC98" s="88"/>
      <c r="WMK98" s="88"/>
      <c r="WMS98" s="88"/>
      <c r="WNA98" s="88"/>
      <c r="WNI98" s="88"/>
      <c r="WNQ98" s="88"/>
      <c r="WNY98" s="88"/>
      <c r="WOG98" s="88"/>
      <c r="WOO98" s="88"/>
      <c r="WOW98" s="88"/>
      <c r="WPE98" s="88"/>
      <c r="WPM98" s="88"/>
      <c r="WPU98" s="88"/>
      <c r="WQC98" s="88"/>
      <c r="WQK98" s="88"/>
      <c r="WQS98" s="88"/>
      <c r="WRA98" s="88"/>
      <c r="WRI98" s="88"/>
      <c r="WRQ98" s="88"/>
      <c r="WRY98" s="88"/>
      <c r="WSG98" s="88"/>
      <c r="WSO98" s="88"/>
      <c r="WSW98" s="88"/>
      <c r="WTE98" s="88"/>
      <c r="WTM98" s="88"/>
      <c r="WTU98" s="88"/>
      <c r="WUC98" s="88"/>
      <c r="WUK98" s="88"/>
      <c r="WUS98" s="88"/>
      <c r="WVA98" s="88"/>
      <c r="WVI98" s="88"/>
      <c r="WVQ98" s="88"/>
      <c r="WVY98" s="88"/>
      <c r="WWG98" s="88"/>
      <c r="WWO98" s="88"/>
      <c r="WWW98" s="88"/>
      <c r="WXE98" s="88"/>
      <c r="WXM98" s="88"/>
      <c r="WXU98" s="88"/>
      <c r="WYC98" s="88"/>
      <c r="WYK98" s="88"/>
      <c r="WYS98" s="88"/>
      <c r="WZA98" s="88"/>
      <c r="WZI98" s="88"/>
      <c r="WZQ98" s="88"/>
      <c r="WZY98" s="88"/>
      <c r="XAG98" s="88"/>
      <c r="XAO98" s="88"/>
      <c r="XAW98" s="88"/>
      <c r="XBE98" s="88"/>
      <c r="XBM98" s="88"/>
      <c r="XBU98" s="88"/>
      <c r="XCC98" s="88"/>
      <c r="XCK98" s="88"/>
      <c r="XCS98" s="88"/>
      <c r="XDA98" s="88"/>
      <c r="XDI98" s="88"/>
      <c r="XDQ98" s="88"/>
      <c r="XDY98" s="88"/>
      <c r="XEG98" s="88"/>
      <c r="XEO98" s="88"/>
      <c r="XEW98" s="88"/>
    </row>
    <row r="99" spans="1:1017 1025:2041 2049:3065 3073:4089 4097:5113 5121:6137 6145:7161 7169:8185 8193:9209 9217:10233 10241:11257 11265:12281 12289:13305 13313:14329 14337:15353 15361:16377" s="99" customFormat="1" ht="15.75" customHeight="1" x14ac:dyDescent="0.25">
      <c r="A99" s="88" t="s">
        <v>1037</v>
      </c>
      <c r="B99" s="99">
        <v>0</v>
      </c>
      <c r="C99" s="99">
        <v>0</v>
      </c>
      <c r="D99" s="99">
        <v>58072.28</v>
      </c>
      <c r="E99" s="99">
        <v>0</v>
      </c>
      <c r="F99" s="99">
        <v>0</v>
      </c>
      <c r="G99" s="99">
        <v>0</v>
      </c>
      <c r="H99" s="99">
        <v>58072.28</v>
      </c>
      <c r="I99" s="88"/>
      <c r="Q99" s="88"/>
      <c r="Y99" s="88"/>
      <c r="AG99" s="88"/>
      <c r="AO99" s="88"/>
      <c r="AW99" s="88"/>
      <c r="BE99" s="88"/>
      <c r="BM99" s="88"/>
      <c r="BU99" s="88"/>
      <c r="CC99" s="88"/>
      <c r="CK99" s="88"/>
      <c r="CS99" s="88"/>
      <c r="DA99" s="88"/>
      <c r="DI99" s="88"/>
      <c r="DQ99" s="88"/>
      <c r="DY99" s="88"/>
      <c r="EG99" s="88"/>
      <c r="EO99" s="88"/>
      <c r="EW99" s="88"/>
      <c r="FE99" s="88"/>
      <c r="FM99" s="88"/>
      <c r="FU99" s="88"/>
      <c r="GC99" s="88"/>
      <c r="GK99" s="88"/>
      <c r="GS99" s="88"/>
      <c r="HA99" s="88"/>
      <c r="HI99" s="88"/>
      <c r="HQ99" s="88"/>
      <c r="HY99" s="88"/>
      <c r="IG99" s="88"/>
      <c r="IO99" s="88"/>
      <c r="IW99" s="88"/>
      <c r="JE99" s="88"/>
      <c r="JM99" s="88"/>
      <c r="JU99" s="88"/>
      <c r="KC99" s="88"/>
      <c r="KK99" s="88"/>
      <c r="KS99" s="88"/>
      <c r="LA99" s="88"/>
      <c r="LI99" s="88"/>
      <c r="LQ99" s="88"/>
      <c r="LY99" s="88"/>
      <c r="MG99" s="88"/>
      <c r="MO99" s="88"/>
      <c r="MW99" s="88"/>
      <c r="NE99" s="88"/>
      <c r="NM99" s="88"/>
      <c r="NU99" s="88"/>
      <c r="OC99" s="88"/>
      <c r="OK99" s="88"/>
      <c r="OS99" s="88"/>
      <c r="PA99" s="88"/>
      <c r="PI99" s="88"/>
      <c r="PQ99" s="88"/>
      <c r="PY99" s="88"/>
      <c r="QG99" s="88"/>
      <c r="QO99" s="88"/>
      <c r="QW99" s="88"/>
      <c r="RE99" s="88"/>
      <c r="RM99" s="88"/>
      <c r="RU99" s="88"/>
      <c r="SC99" s="88"/>
      <c r="SK99" s="88"/>
      <c r="SS99" s="88"/>
      <c r="TA99" s="88"/>
      <c r="TI99" s="88"/>
      <c r="TQ99" s="88"/>
      <c r="TY99" s="88"/>
      <c r="UG99" s="88"/>
      <c r="UO99" s="88"/>
      <c r="UW99" s="88"/>
      <c r="VE99" s="88"/>
      <c r="VM99" s="88"/>
      <c r="VU99" s="88"/>
      <c r="WC99" s="88"/>
      <c r="WK99" s="88"/>
      <c r="WS99" s="88"/>
      <c r="XA99" s="88"/>
      <c r="XI99" s="88"/>
      <c r="XQ99" s="88"/>
      <c r="XY99" s="88"/>
      <c r="YG99" s="88"/>
      <c r="YO99" s="88"/>
      <c r="YW99" s="88"/>
      <c r="ZE99" s="88"/>
      <c r="ZM99" s="88"/>
      <c r="ZU99" s="88"/>
      <c r="AAC99" s="88"/>
      <c r="AAK99" s="88"/>
      <c r="AAS99" s="88"/>
      <c r="ABA99" s="88"/>
      <c r="ABI99" s="88"/>
      <c r="ABQ99" s="88"/>
      <c r="ABY99" s="88"/>
      <c r="ACG99" s="88"/>
      <c r="ACO99" s="88"/>
      <c r="ACW99" s="88"/>
      <c r="ADE99" s="88"/>
      <c r="ADM99" s="88"/>
      <c r="ADU99" s="88"/>
      <c r="AEC99" s="88"/>
      <c r="AEK99" s="88"/>
      <c r="AES99" s="88"/>
      <c r="AFA99" s="88"/>
      <c r="AFI99" s="88"/>
      <c r="AFQ99" s="88"/>
      <c r="AFY99" s="88"/>
      <c r="AGG99" s="88"/>
      <c r="AGO99" s="88"/>
      <c r="AGW99" s="88"/>
      <c r="AHE99" s="88"/>
      <c r="AHM99" s="88"/>
      <c r="AHU99" s="88"/>
      <c r="AIC99" s="88"/>
      <c r="AIK99" s="88"/>
      <c r="AIS99" s="88"/>
      <c r="AJA99" s="88"/>
      <c r="AJI99" s="88"/>
      <c r="AJQ99" s="88"/>
      <c r="AJY99" s="88"/>
      <c r="AKG99" s="88"/>
      <c r="AKO99" s="88"/>
      <c r="AKW99" s="88"/>
      <c r="ALE99" s="88"/>
      <c r="ALM99" s="88"/>
      <c r="ALU99" s="88"/>
      <c r="AMC99" s="88"/>
      <c r="AMK99" s="88"/>
      <c r="AMS99" s="88"/>
      <c r="ANA99" s="88"/>
      <c r="ANI99" s="88"/>
      <c r="ANQ99" s="88"/>
      <c r="ANY99" s="88"/>
      <c r="AOG99" s="88"/>
      <c r="AOO99" s="88"/>
      <c r="AOW99" s="88"/>
      <c r="APE99" s="88"/>
      <c r="APM99" s="88"/>
      <c r="APU99" s="88"/>
      <c r="AQC99" s="88"/>
      <c r="AQK99" s="88"/>
      <c r="AQS99" s="88"/>
      <c r="ARA99" s="88"/>
      <c r="ARI99" s="88"/>
      <c r="ARQ99" s="88"/>
      <c r="ARY99" s="88"/>
      <c r="ASG99" s="88"/>
      <c r="ASO99" s="88"/>
      <c r="ASW99" s="88"/>
      <c r="ATE99" s="88"/>
      <c r="ATM99" s="88"/>
      <c r="ATU99" s="88"/>
      <c r="AUC99" s="88"/>
      <c r="AUK99" s="88"/>
      <c r="AUS99" s="88"/>
      <c r="AVA99" s="88"/>
      <c r="AVI99" s="88"/>
      <c r="AVQ99" s="88"/>
      <c r="AVY99" s="88"/>
      <c r="AWG99" s="88"/>
      <c r="AWO99" s="88"/>
      <c r="AWW99" s="88"/>
      <c r="AXE99" s="88"/>
      <c r="AXM99" s="88"/>
      <c r="AXU99" s="88"/>
      <c r="AYC99" s="88"/>
      <c r="AYK99" s="88"/>
      <c r="AYS99" s="88"/>
      <c r="AZA99" s="88"/>
      <c r="AZI99" s="88"/>
      <c r="AZQ99" s="88"/>
      <c r="AZY99" s="88"/>
      <c r="BAG99" s="88"/>
      <c r="BAO99" s="88"/>
      <c r="BAW99" s="88"/>
      <c r="BBE99" s="88"/>
      <c r="BBM99" s="88"/>
      <c r="BBU99" s="88"/>
      <c r="BCC99" s="88"/>
      <c r="BCK99" s="88"/>
      <c r="BCS99" s="88"/>
      <c r="BDA99" s="88"/>
      <c r="BDI99" s="88"/>
      <c r="BDQ99" s="88"/>
      <c r="BDY99" s="88"/>
      <c r="BEG99" s="88"/>
      <c r="BEO99" s="88"/>
      <c r="BEW99" s="88"/>
      <c r="BFE99" s="88"/>
      <c r="BFM99" s="88"/>
      <c r="BFU99" s="88"/>
      <c r="BGC99" s="88"/>
      <c r="BGK99" s="88"/>
      <c r="BGS99" s="88"/>
      <c r="BHA99" s="88"/>
      <c r="BHI99" s="88"/>
      <c r="BHQ99" s="88"/>
      <c r="BHY99" s="88"/>
      <c r="BIG99" s="88"/>
      <c r="BIO99" s="88"/>
      <c r="BIW99" s="88"/>
      <c r="BJE99" s="88"/>
      <c r="BJM99" s="88"/>
      <c r="BJU99" s="88"/>
      <c r="BKC99" s="88"/>
      <c r="BKK99" s="88"/>
      <c r="BKS99" s="88"/>
      <c r="BLA99" s="88"/>
      <c r="BLI99" s="88"/>
      <c r="BLQ99" s="88"/>
      <c r="BLY99" s="88"/>
      <c r="BMG99" s="88"/>
      <c r="BMO99" s="88"/>
      <c r="BMW99" s="88"/>
      <c r="BNE99" s="88"/>
      <c r="BNM99" s="88"/>
      <c r="BNU99" s="88"/>
      <c r="BOC99" s="88"/>
      <c r="BOK99" s="88"/>
      <c r="BOS99" s="88"/>
      <c r="BPA99" s="88"/>
      <c r="BPI99" s="88"/>
      <c r="BPQ99" s="88"/>
      <c r="BPY99" s="88"/>
      <c r="BQG99" s="88"/>
      <c r="BQO99" s="88"/>
      <c r="BQW99" s="88"/>
      <c r="BRE99" s="88"/>
      <c r="BRM99" s="88"/>
      <c r="BRU99" s="88"/>
      <c r="BSC99" s="88"/>
      <c r="BSK99" s="88"/>
      <c r="BSS99" s="88"/>
      <c r="BTA99" s="88"/>
      <c r="BTI99" s="88"/>
      <c r="BTQ99" s="88"/>
      <c r="BTY99" s="88"/>
      <c r="BUG99" s="88"/>
      <c r="BUO99" s="88"/>
      <c r="BUW99" s="88"/>
      <c r="BVE99" s="88"/>
      <c r="BVM99" s="88"/>
      <c r="BVU99" s="88"/>
      <c r="BWC99" s="88"/>
      <c r="BWK99" s="88"/>
      <c r="BWS99" s="88"/>
      <c r="BXA99" s="88"/>
      <c r="BXI99" s="88"/>
      <c r="BXQ99" s="88"/>
      <c r="BXY99" s="88"/>
      <c r="BYG99" s="88"/>
      <c r="BYO99" s="88"/>
      <c r="BYW99" s="88"/>
      <c r="BZE99" s="88"/>
      <c r="BZM99" s="88"/>
      <c r="BZU99" s="88"/>
      <c r="CAC99" s="88"/>
      <c r="CAK99" s="88"/>
      <c r="CAS99" s="88"/>
      <c r="CBA99" s="88"/>
      <c r="CBI99" s="88"/>
      <c r="CBQ99" s="88"/>
      <c r="CBY99" s="88"/>
      <c r="CCG99" s="88"/>
      <c r="CCO99" s="88"/>
      <c r="CCW99" s="88"/>
      <c r="CDE99" s="88"/>
      <c r="CDM99" s="88"/>
      <c r="CDU99" s="88"/>
      <c r="CEC99" s="88"/>
      <c r="CEK99" s="88"/>
      <c r="CES99" s="88"/>
      <c r="CFA99" s="88"/>
      <c r="CFI99" s="88"/>
      <c r="CFQ99" s="88"/>
      <c r="CFY99" s="88"/>
      <c r="CGG99" s="88"/>
      <c r="CGO99" s="88"/>
      <c r="CGW99" s="88"/>
      <c r="CHE99" s="88"/>
      <c r="CHM99" s="88"/>
      <c r="CHU99" s="88"/>
      <c r="CIC99" s="88"/>
      <c r="CIK99" s="88"/>
      <c r="CIS99" s="88"/>
      <c r="CJA99" s="88"/>
      <c r="CJI99" s="88"/>
      <c r="CJQ99" s="88"/>
      <c r="CJY99" s="88"/>
      <c r="CKG99" s="88"/>
      <c r="CKO99" s="88"/>
      <c r="CKW99" s="88"/>
      <c r="CLE99" s="88"/>
      <c r="CLM99" s="88"/>
      <c r="CLU99" s="88"/>
      <c r="CMC99" s="88"/>
      <c r="CMK99" s="88"/>
      <c r="CMS99" s="88"/>
      <c r="CNA99" s="88"/>
      <c r="CNI99" s="88"/>
      <c r="CNQ99" s="88"/>
      <c r="CNY99" s="88"/>
      <c r="COG99" s="88"/>
      <c r="COO99" s="88"/>
      <c r="COW99" s="88"/>
      <c r="CPE99" s="88"/>
      <c r="CPM99" s="88"/>
      <c r="CPU99" s="88"/>
      <c r="CQC99" s="88"/>
      <c r="CQK99" s="88"/>
      <c r="CQS99" s="88"/>
      <c r="CRA99" s="88"/>
      <c r="CRI99" s="88"/>
      <c r="CRQ99" s="88"/>
      <c r="CRY99" s="88"/>
      <c r="CSG99" s="88"/>
      <c r="CSO99" s="88"/>
      <c r="CSW99" s="88"/>
      <c r="CTE99" s="88"/>
      <c r="CTM99" s="88"/>
      <c r="CTU99" s="88"/>
      <c r="CUC99" s="88"/>
      <c r="CUK99" s="88"/>
      <c r="CUS99" s="88"/>
      <c r="CVA99" s="88"/>
      <c r="CVI99" s="88"/>
      <c r="CVQ99" s="88"/>
      <c r="CVY99" s="88"/>
      <c r="CWG99" s="88"/>
      <c r="CWO99" s="88"/>
      <c r="CWW99" s="88"/>
      <c r="CXE99" s="88"/>
      <c r="CXM99" s="88"/>
      <c r="CXU99" s="88"/>
      <c r="CYC99" s="88"/>
      <c r="CYK99" s="88"/>
      <c r="CYS99" s="88"/>
      <c r="CZA99" s="88"/>
      <c r="CZI99" s="88"/>
      <c r="CZQ99" s="88"/>
      <c r="CZY99" s="88"/>
      <c r="DAG99" s="88"/>
      <c r="DAO99" s="88"/>
      <c r="DAW99" s="88"/>
      <c r="DBE99" s="88"/>
      <c r="DBM99" s="88"/>
      <c r="DBU99" s="88"/>
      <c r="DCC99" s="88"/>
      <c r="DCK99" s="88"/>
      <c r="DCS99" s="88"/>
      <c r="DDA99" s="88"/>
      <c r="DDI99" s="88"/>
      <c r="DDQ99" s="88"/>
      <c r="DDY99" s="88"/>
      <c r="DEG99" s="88"/>
      <c r="DEO99" s="88"/>
      <c r="DEW99" s="88"/>
      <c r="DFE99" s="88"/>
      <c r="DFM99" s="88"/>
      <c r="DFU99" s="88"/>
      <c r="DGC99" s="88"/>
      <c r="DGK99" s="88"/>
      <c r="DGS99" s="88"/>
      <c r="DHA99" s="88"/>
      <c r="DHI99" s="88"/>
      <c r="DHQ99" s="88"/>
      <c r="DHY99" s="88"/>
      <c r="DIG99" s="88"/>
      <c r="DIO99" s="88"/>
      <c r="DIW99" s="88"/>
      <c r="DJE99" s="88"/>
      <c r="DJM99" s="88"/>
      <c r="DJU99" s="88"/>
      <c r="DKC99" s="88"/>
      <c r="DKK99" s="88"/>
      <c r="DKS99" s="88"/>
      <c r="DLA99" s="88"/>
      <c r="DLI99" s="88"/>
      <c r="DLQ99" s="88"/>
      <c r="DLY99" s="88"/>
      <c r="DMG99" s="88"/>
      <c r="DMO99" s="88"/>
      <c r="DMW99" s="88"/>
      <c r="DNE99" s="88"/>
      <c r="DNM99" s="88"/>
      <c r="DNU99" s="88"/>
      <c r="DOC99" s="88"/>
      <c r="DOK99" s="88"/>
      <c r="DOS99" s="88"/>
      <c r="DPA99" s="88"/>
      <c r="DPI99" s="88"/>
      <c r="DPQ99" s="88"/>
      <c r="DPY99" s="88"/>
      <c r="DQG99" s="88"/>
      <c r="DQO99" s="88"/>
      <c r="DQW99" s="88"/>
      <c r="DRE99" s="88"/>
      <c r="DRM99" s="88"/>
      <c r="DRU99" s="88"/>
      <c r="DSC99" s="88"/>
      <c r="DSK99" s="88"/>
      <c r="DSS99" s="88"/>
      <c r="DTA99" s="88"/>
      <c r="DTI99" s="88"/>
      <c r="DTQ99" s="88"/>
      <c r="DTY99" s="88"/>
      <c r="DUG99" s="88"/>
      <c r="DUO99" s="88"/>
      <c r="DUW99" s="88"/>
      <c r="DVE99" s="88"/>
      <c r="DVM99" s="88"/>
      <c r="DVU99" s="88"/>
      <c r="DWC99" s="88"/>
      <c r="DWK99" s="88"/>
      <c r="DWS99" s="88"/>
      <c r="DXA99" s="88"/>
      <c r="DXI99" s="88"/>
      <c r="DXQ99" s="88"/>
      <c r="DXY99" s="88"/>
      <c r="DYG99" s="88"/>
      <c r="DYO99" s="88"/>
      <c r="DYW99" s="88"/>
      <c r="DZE99" s="88"/>
      <c r="DZM99" s="88"/>
      <c r="DZU99" s="88"/>
      <c r="EAC99" s="88"/>
      <c r="EAK99" s="88"/>
      <c r="EAS99" s="88"/>
      <c r="EBA99" s="88"/>
      <c r="EBI99" s="88"/>
      <c r="EBQ99" s="88"/>
      <c r="EBY99" s="88"/>
      <c r="ECG99" s="88"/>
      <c r="ECO99" s="88"/>
      <c r="ECW99" s="88"/>
      <c r="EDE99" s="88"/>
      <c r="EDM99" s="88"/>
      <c r="EDU99" s="88"/>
      <c r="EEC99" s="88"/>
      <c r="EEK99" s="88"/>
      <c r="EES99" s="88"/>
      <c r="EFA99" s="88"/>
      <c r="EFI99" s="88"/>
      <c r="EFQ99" s="88"/>
      <c r="EFY99" s="88"/>
      <c r="EGG99" s="88"/>
      <c r="EGO99" s="88"/>
      <c r="EGW99" s="88"/>
      <c r="EHE99" s="88"/>
      <c r="EHM99" s="88"/>
      <c r="EHU99" s="88"/>
      <c r="EIC99" s="88"/>
      <c r="EIK99" s="88"/>
      <c r="EIS99" s="88"/>
      <c r="EJA99" s="88"/>
      <c r="EJI99" s="88"/>
      <c r="EJQ99" s="88"/>
      <c r="EJY99" s="88"/>
      <c r="EKG99" s="88"/>
      <c r="EKO99" s="88"/>
      <c r="EKW99" s="88"/>
      <c r="ELE99" s="88"/>
      <c r="ELM99" s="88"/>
      <c r="ELU99" s="88"/>
      <c r="EMC99" s="88"/>
      <c r="EMK99" s="88"/>
      <c r="EMS99" s="88"/>
      <c r="ENA99" s="88"/>
      <c r="ENI99" s="88"/>
      <c r="ENQ99" s="88"/>
      <c r="ENY99" s="88"/>
      <c r="EOG99" s="88"/>
      <c r="EOO99" s="88"/>
      <c r="EOW99" s="88"/>
      <c r="EPE99" s="88"/>
      <c r="EPM99" s="88"/>
      <c r="EPU99" s="88"/>
      <c r="EQC99" s="88"/>
      <c r="EQK99" s="88"/>
      <c r="EQS99" s="88"/>
      <c r="ERA99" s="88"/>
      <c r="ERI99" s="88"/>
      <c r="ERQ99" s="88"/>
      <c r="ERY99" s="88"/>
      <c r="ESG99" s="88"/>
      <c r="ESO99" s="88"/>
      <c r="ESW99" s="88"/>
      <c r="ETE99" s="88"/>
      <c r="ETM99" s="88"/>
      <c r="ETU99" s="88"/>
      <c r="EUC99" s="88"/>
      <c r="EUK99" s="88"/>
      <c r="EUS99" s="88"/>
      <c r="EVA99" s="88"/>
      <c r="EVI99" s="88"/>
      <c r="EVQ99" s="88"/>
      <c r="EVY99" s="88"/>
      <c r="EWG99" s="88"/>
      <c r="EWO99" s="88"/>
      <c r="EWW99" s="88"/>
      <c r="EXE99" s="88"/>
      <c r="EXM99" s="88"/>
      <c r="EXU99" s="88"/>
      <c r="EYC99" s="88"/>
      <c r="EYK99" s="88"/>
      <c r="EYS99" s="88"/>
      <c r="EZA99" s="88"/>
      <c r="EZI99" s="88"/>
      <c r="EZQ99" s="88"/>
      <c r="EZY99" s="88"/>
      <c r="FAG99" s="88"/>
      <c r="FAO99" s="88"/>
      <c r="FAW99" s="88"/>
      <c r="FBE99" s="88"/>
      <c r="FBM99" s="88"/>
      <c r="FBU99" s="88"/>
      <c r="FCC99" s="88"/>
      <c r="FCK99" s="88"/>
      <c r="FCS99" s="88"/>
      <c r="FDA99" s="88"/>
      <c r="FDI99" s="88"/>
      <c r="FDQ99" s="88"/>
      <c r="FDY99" s="88"/>
      <c r="FEG99" s="88"/>
      <c r="FEO99" s="88"/>
      <c r="FEW99" s="88"/>
      <c r="FFE99" s="88"/>
      <c r="FFM99" s="88"/>
      <c r="FFU99" s="88"/>
      <c r="FGC99" s="88"/>
      <c r="FGK99" s="88"/>
      <c r="FGS99" s="88"/>
      <c r="FHA99" s="88"/>
      <c r="FHI99" s="88"/>
      <c r="FHQ99" s="88"/>
      <c r="FHY99" s="88"/>
      <c r="FIG99" s="88"/>
      <c r="FIO99" s="88"/>
      <c r="FIW99" s="88"/>
      <c r="FJE99" s="88"/>
      <c r="FJM99" s="88"/>
      <c r="FJU99" s="88"/>
      <c r="FKC99" s="88"/>
      <c r="FKK99" s="88"/>
      <c r="FKS99" s="88"/>
      <c r="FLA99" s="88"/>
      <c r="FLI99" s="88"/>
      <c r="FLQ99" s="88"/>
      <c r="FLY99" s="88"/>
      <c r="FMG99" s="88"/>
      <c r="FMO99" s="88"/>
      <c r="FMW99" s="88"/>
      <c r="FNE99" s="88"/>
      <c r="FNM99" s="88"/>
      <c r="FNU99" s="88"/>
      <c r="FOC99" s="88"/>
      <c r="FOK99" s="88"/>
      <c r="FOS99" s="88"/>
      <c r="FPA99" s="88"/>
      <c r="FPI99" s="88"/>
      <c r="FPQ99" s="88"/>
      <c r="FPY99" s="88"/>
      <c r="FQG99" s="88"/>
      <c r="FQO99" s="88"/>
      <c r="FQW99" s="88"/>
      <c r="FRE99" s="88"/>
      <c r="FRM99" s="88"/>
      <c r="FRU99" s="88"/>
      <c r="FSC99" s="88"/>
      <c r="FSK99" s="88"/>
      <c r="FSS99" s="88"/>
      <c r="FTA99" s="88"/>
      <c r="FTI99" s="88"/>
      <c r="FTQ99" s="88"/>
      <c r="FTY99" s="88"/>
      <c r="FUG99" s="88"/>
      <c r="FUO99" s="88"/>
      <c r="FUW99" s="88"/>
      <c r="FVE99" s="88"/>
      <c r="FVM99" s="88"/>
      <c r="FVU99" s="88"/>
      <c r="FWC99" s="88"/>
      <c r="FWK99" s="88"/>
      <c r="FWS99" s="88"/>
      <c r="FXA99" s="88"/>
      <c r="FXI99" s="88"/>
      <c r="FXQ99" s="88"/>
      <c r="FXY99" s="88"/>
      <c r="FYG99" s="88"/>
      <c r="FYO99" s="88"/>
      <c r="FYW99" s="88"/>
      <c r="FZE99" s="88"/>
      <c r="FZM99" s="88"/>
      <c r="FZU99" s="88"/>
      <c r="GAC99" s="88"/>
      <c r="GAK99" s="88"/>
      <c r="GAS99" s="88"/>
      <c r="GBA99" s="88"/>
      <c r="GBI99" s="88"/>
      <c r="GBQ99" s="88"/>
      <c r="GBY99" s="88"/>
      <c r="GCG99" s="88"/>
      <c r="GCO99" s="88"/>
      <c r="GCW99" s="88"/>
      <c r="GDE99" s="88"/>
      <c r="GDM99" s="88"/>
      <c r="GDU99" s="88"/>
      <c r="GEC99" s="88"/>
      <c r="GEK99" s="88"/>
      <c r="GES99" s="88"/>
      <c r="GFA99" s="88"/>
      <c r="GFI99" s="88"/>
      <c r="GFQ99" s="88"/>
      <c r="GFY99" s="88"/>
      <c r="GGG99" s="88"/>
      <c r="GGO99" s="88"/>
      <c r="GGW99" s="88"/>
      <c r="GHE99" s="88"/>
      <c r="GHM99" s="88"/>
      <c r="GHU99" s="88"/>
      <c r="GIC99" s="88"/>
      <c r="GIK99" s="88"/>
      <c r="GIS99" s="88"/>
      <c r="GJA99" s="88"/>
      <c r="GJI99" s="88"/>
      <c r="GJQ99" s="88"/>
      <c r="GJY99" s="88"/>
      <c r="GKG99" s="88"/>
      <c r="GKO99" s="88"/>
      <c r="GKW99" s="88"/>
      <c r="GLE99" s="88"/>
      <c r="GLM99" s="88"/>
      <c r="GLU99" s="88"/>
      <c r="GMC99" s="88"/>
      <c r="GMK99" s="88"/>
      <c r="GMS99" s="88"/>
      <c r="GNA99" s="88"/>
      <c r="GNI99" s="88"/>
      <c r="GNQ99" s="88"/>
      <c r="GNY99" s="88"/>
      <c r="GOG99" s="88"/>
      <c r="GOO99" s="88"/>
      <c r="GOW99" s="88"/>
      <c r="GPE99" s="88"/>
      <c r="GPM99" s="88"/>
      <c r="GPU99" s="88"/>
      <c r="GQC99" s="88"/>
      <c r="GQK99" s="88"/>
      <c r="GQS99" s="88"/>
      <c r="GRA99" s="88"/>
      <c r="GRI99" s="88"/>
      <c r="GRQ99" s="88"/>
      <c r="GRY99" s="88"/>
      <c r="GSG99" s="88"/>
      <c r="GSO99" s="88"/>
      <c r="GSW99" s="88"/>
      <c r="GTE99" s="88"/>
      <c r="GTM99" s="88"/>
      <c r="GTU99" s="88"/>
      <c r="GUC99" s="88"/>
      <c r="GUK99" s="88"/>
      <c r="GUS99" s="88"/>
      <c r="GVA99" s="88"/>
      <c r="GVI99" s="88"/>
      <c r="GVQ99" s="88"/>
      <c r="GVY99" s="88"/>
      <c r="GWG99" s="88"/>
      <c r="GWO99" s="88"/>
      <c r="GWW99" s="88"/>
      <c r="GXE99" s="88"/>
      <c r="GXM99" s="88"/>
      <c r="GXU99" s="88"/>
      <c r="GYC99" s="88"/>
      <c r="GYK99" s="88"/>
      <c r="GYS99" s="88"/>
      <c r="GZA99" s="88"/>
      <c r="GZI99" s="88"/>
      <c r="GZQ99" s="88"/>
      <c r="GZY99" s="88"/>
      <c r="HAG99" s="88"/>
      <c r="HAO99" s="88"/>
      <c r="HAW99" s="88"/>
      <c r="HBE99" s="88"/>
      <c r="HBM99" s="88"/>
      <c r="HBU99" s="88"/>
      <c r="HCC99" s="88"/>
      <c r="HCK99" s="88"/>
      <c r="HCS99" s="88"/>
      <c r="HDA99" s="88"/>
      <c r="HDI99" s="88"/>
      <c r="HDQ99" s="88"/>
      <c r="HDY99" s="88"/>
      <c r="HEG99" s="88"/>
      <c r="HEO99" s="88"/>
      <c r="HEW99" s="88"/>
      <c r="HFE99" s="88"/>
      <c r="HFM99" s="88"/>
      <c r="HFU99" s="88"/>
      <c r="HGC99" s="88"/>
      <c r="HGK99" s="88"/>
      <c r="HGS99" s="88"/>
      <c r="HHA99" s="88"/>
      <c r="HHI99" s="88"/>
      <c r="HHQ99" s="88"/>
      <c r="HHY99" s="88"/>
      <c r="HIG99" s="88"/>
      <c r="HIO99" s="88"/>
      <c r="HIW99" s="88"/>
      <c r="HJE99" s="88"/>
      <c r="HJM99" s="88"/>
      <c r="HJU99" s="88"/>
      <c r="HKC99" s="88"/>
      <c r="HKK99" s="88"/>
      <c r="HKS99" s="88"/>
      <c r="HLA99" s="88"/>
      <c r="HLI99" s="88"/>
      <c r="HLQ99" s="88"/>
      <c r="HLY99" s="88"/>
      <c r="HMG99" s="88"/>
      <c r="HMO99" s="88"/>
      <c r="HMW99" s="88"/>
      <c r="HNE99" s="88"/>
      <c r="HNM99" s="88"/>
      <c r="HNU99" s="88"/>
      <c r="HOC99" s="88"/>
      <c r="HOK99" s="88"/>
      <c r="HOS99" s="88"/>
      <c r="HPA99" s="88"/>
      <c r="HPI99" s="88"/>
      <c r="HPQ99" s="88"/>
      <c r="HPY99" s="88"/>
      <c r="HQG99" s="88"/>
      <c r="HQO99" s="88"/>
      <c r="HQW99" s="88"/>
      <c r="HRE99" s="88"/>
      <c r="HRM99" s="88"/>
      <c r="HRU99" s="88"/>
      <c r="HSC99" s="88"/>
      <c r="HSK99" s="88"/>
      <c r="HSS99" s="88"/>
      <c r="HTA99" s="88"/>
      <c r="HTI99" s="88"/>
      <c r="HTQ99" s="88"/>
      <c r="HTY99" s="88"/>
      <c r="HUG99" s="88"/>
      <c r="HUO99" s="88"/>
      <c r="HUW99" s="88"/>
      <c r="HVE99" s="88"/>
      <c r="HVM99" s="88"/>
      <c r="HVU99" s="88"/>
      <c r="HWC99" s="88"/>
      <c r="HWK99" s="88"/>
      <c r="HWS99" s="88"/>
      <c r="HXA99" s="88"/>
      <c r="HXI99" s="88"/>
      <c r="HXQ99" s="88"/>
      <c r="HXY99" s="88"/>
      <c r="HYG99" s="88"/>
      <c r="HYO99" s="88"/>
      <c r="HYW99" s="88"/>
      <c r="HZE99" s="88"/>
      <c r="HZM99" s="88"/>
      <c r="HZU99" s="88"/>
      <c r="IAC99" s="88"/>
      <c r="IAK99" s="88"/>
      <c r="IAS99" s="88"/>
      <c r="IBA99" s="88"/>
      <c r="IBI99" s="88"/>
      <c r="IBQ99" s="88"/>
      <c r="IBY99" s="88"/>
      <c r="ICG99" s="88"/>
      <c r="ICO99" s="88"/>
      <c r="ICW99" s="88"/>
      <c r="IDE99" s="88"/>
      <c r="IDM99" s="88"/>
      <c r="IDU99" s="88"/>
      <c r="IEC99" s="88"/>
      <c r="IEK99" s="88"/>
      <c r="IES99" s="88"/>
      <c r="IFA99" s="88"/>
      <c r="IFI99" s="88"/>
      <c r="IFQ99" s="88"/>
      <c r="IFY99" s="88"/>
      <c r="IGG99" s="88"/>
      <c r="IGO99" s="88"/>
      <c r="IGW99" s="88"/>
      <c r="IHE99" s="88"/>
      <c r="IHM99" s="88"/>
      <c r="IHU99" s="88"/>
      <c r="IIC99" s="88"/>
      <c r="IIK99" s="88"/>
      <c r="IIS99" s="88"/>
      <c r="IJA99" s="88"/>
      <c r="IJI99" s="88"/>
      <c r="IJQ99" s="88"/>
      <c r="IJY99" s="88"/>
      <c r="IKG99" s="88"/>
      <c r="IKO99" s="88"/>
      <c r="IKW99" s="88"/>
      <c r="ILE99" s="88"/>
      <c r="ILM99" s="88"/>
      <c r="ILU99" s="88"/>
      <c r="IMC99" s="88"/>
      <c r="IMK99" s="88"/>
      <c r="IMS99" s="88"/>
      <c r="INA99" s="88"/>
      <c r="INI99" s="88"/>
      <c r="INQ99" s="88"/>
      <c r="INY99" s="88"/>
      <c r="IOG99" s="88"/>
      <c r="IOO99" s="88"/>
      <c r="IOW99" s="88"/>
      <c r="IPE99" s="88"/>
      <c r="IPM99" s="88"/>
      <c r="IPU99" s="88"/>
      <c r="IQC99" s="88"/>
      <c r="IQK99" s="88"/>
      <c r="IQS99" s="88"/>
      <c r="IRA99" s="88"/>
      <c r="IRI99" s="88"/>
      <c r="IRQ99" s="88"/>
      <c r="IRY99" s="88"/>
      <c r="ISG99" s="88"/>
      <c r="ISO99" s="88"/>
      <c r="ISW99" s="88"/>
      <c r="ITE99" s="88"/>
      <c r="ITM99" s="88"/>
      <c r="ITU99" s="88"/>
      <c r="IUC99" s="88"/>
      <c r="IUK99" s="88"/>
      <c r="IUS99" s="88"/>
      <c r="IVA99" s="88"/>
      <c r="IVI99" s="88"/>
      <c r="IVQ99" s="88"/>
      <c r="IVY99" s="88"/>
      <c r="IWG99" s="88"/>
      <c r="IWO99" s="88"/>
      <c r="IWW99" s="88"/>
      <c r="IXE99" s="88"/>
      <c r="IXM99" s="88"/>
      <c r="IXU99" s="88"/>
      <c r="IYC99" s="88"/>
      <c r="IYK99" s="88"/>
      <c r="IYS99" s="88"/>
      <c r="IZA99" s="88"/>
      <c r="IZI99" s="88"/>
      <c r="IZQ99" s="88"/>
      <c r="IZY99" s="88"/>
      <c r="JAG99" s="88"/>
      <c r="JAO99" s="88"/>
      <c r="JAW99" s="88"/>
      <c r="JBE99" s="88"/>
      <c r="JBM99" s="88"/>
      <c r="JBU99" s="88"/>
      <c r="JCC99" s="88"/>
      <c r="JCK99" s="88"/>
      <c r="JCS99" s="88"/>
      <c r="JDA99" s="88"/>
      <c r="JDI99" s="88"/>
      <c r="JDQ99" s="88"/>
      <c r="JDY99" s="88"/>
      <c r="JEG99" s="88"/>
      <c r="JEO99" s="88"/>
      <c r="JEW99" s="88"/>
      <c r="JFE99" s="88"/>
      <c r="JFM99" s="88"/>
      <c r="JFU99" s="88"/>
      <c r="JGC99" s="88"/>
      <c r="JGK99" s="88"/>
      <c r="JGS99" s="88"/>
      <c r="JHA99" s="88"/>
      <c r="JHI99" s="88"/>
      <c r="JHQ99" s="88"/>
      <c r="JHY99" s="88"/>
      <c r="JIG99" s="88"/>
      <c r="JIO99" s="88"/>
      <c r="JIW99" s="88"/>
      <c r="JJE99" s="88"/>
      <c r="JJM99" s="88"/>
      <c r="JJU99" s="88"/>
      <c r="JKC99" s="88"/>
      <c r="JKK99" s="88"/>
      <c r="JKS99" s="88"/>
      <c r="JLA99" s="88"/>
      <c r="JLI99" s="88"/>
      <c r="JLQ99" s="88"/>
      <c r="JLY99" s="88"/>
      <c r="JMG99" s="88"/>
      <c r="JMO99" s="88"/>
      <c r="JMW99" s="88"/>
      <c r="JNE99" s="88"/>
      <c r="JNM99" s="88"/>
      <c r="JNU99" s="88"/>
      <c r="JOC99" s="88"/>
      <c r="JOK99" s="88"/>
      <c r="JOS99" s="88"/>
      <c r="JPA99" s="88"/>
      <c r="JPI99" s="88"/>
      <c r="JPQ99" s="88"/>
      <c r="JPY99" s="88"/>
      <c r="JQG99" s="88"/>
      <c r="JQO99" s="88"/>
      <c r="JQW99" s="88"/>
      <c r="JRE99" s="88"/>
      <c r="JRM99" s="88"/>
      <c r="JRU99" s="88"/>
      <c r="JSC99" s="88"/>
      <c r="JSK99" s="88"/>
      <c r="JSS99" s="88"/>
      <c r="JTA99" s="88"/>
      <c r="JTI99" s="88"/>
      <c r="JTQ99" s="88"/>
      <c r="JTY99" s="88"/>
      <c r="JUG99" s="88"/>
      <c r="JUO99" s="88"/>
      <c r="JUW99" s="88"/>
      <c r="JVE99" s="88"/>
      <c r="JVM99" s="88"/>
      <c r="JVU99" s="88"/>
      <c r="JWC99" s="88"/>
      <c r="JWK99" s="88"/>
      <c r="JWS99" s="88"/>
      <c r="JXA99" s="88"/>
      <c r="JXI99" s="88"/>
      <c r="JXQ99" s="88"/>
      <c r="JXY99" s="88"/>
      <c r="JYG99" s="88"/>
      <c r="JYO99" s="88"/>
      <c r="JYW99" s="88"/>
      <c r="JZE99" s="88"/>
      <c r="JZM99" s="88"/>
      <c r="JZU99" s="88"/>
      <c r="KAC99" s="88"/>
      <c r="KAK99" s="88"/>
      <c r="KAS99" s="88"/>
      <c r="KBA99" s="88"/>
      <c r="KBI99" s="88"/>
      <c r="KBQ99" s="88"/>
      <c r="KBY99" s="88"/>
      <c r="KCG99" s="88"/>
      <c r="KCO99" s="88"/>
      <c r="KCW99" s="88"/>
      <c r="KDE99" s="88"/>
      <c r="KDM99" s="88"/>
      <c r="KDU99" s="88"/>
      <c r="KEC99" s="88"/>
      <c r="KEK99" s="88"/>
      <c r="KES99" s="88"/>
      <c r="KFA99" s="88"/>
      <c r="KFI99" s="88"/>
      <c r="KFQ99" s="88"/>
      <c r="KFY99" s="88"/>
      <c r="KGG99" s="88"/>
      <c r="KGO99" s="88"/>
      <c r="KGW99" s="88"/>
      <c r="KHE99" s="88"/>
      <c r="KHM99" s="88"/>
      <c r="KHU99" s="88"/>
      <c r="KIC99" s="88"/>
      <c r="KIK99" s="88"/>
      <c r="KIS99" s="88"/>
      <c r="KJA99" s="88"/>
      <c r="KJI99" s="88"/>
      <c r="KJQ99" s="88"/>
      <c r="KJY99" s="88"/>
      <c r="KKG99" s="88"/>
      <c r="KKO99" s="88"/>
      <c r="KKW99" s="88"/>
      <c r="KLE99" s="88"/>
      <c r="KLM99" s="88"/>
      <c r="KLU99" s="88"/>
      <c r="KMC99" s="88"/>
      <c r="KMK99" s="88"/>
      <c r="KMS99" s="88"/>
      <c r="KNA99" s="88"/>
      <c r="KNI99" s="88"/>
      <c r="KNQ99" s="88"/>
      <c r="KNY99" s="88"/>
      <c r="KOG99" s="88"/>
      <c r="KOO99" s="88"/>
      <c r="KOW99" s="88"/>
      <c r="KPE99" s="88"/>
      <c r="KPM99" s="88"/>
      <c r="KPU99" s="88"/>
      <c r="KQC99" s="88"/>
      <c r="KQK99" s="88"/>
      <c r="KQS99" s="88"/>
      <c r="KRA99" s="88"/>
      <c r="KRI99" s="88"/>
      <c r="KRQ99" s="88"/>
      <c r="KRY99" s="88"/>
      <c r="KSG99" s="88"/>
      <c r="KSO99" s="88"/>
      <c r="KSW99" s="88"/>
      <c r="KTE99" s="88"/>
      <c r="KTM99" s="88"/>
      <c r="KTU99" s="88"/>
      <c r="KUC99" s="88"/>
      <c r="KUK99" s="88"/>
      <c r="KUS99" s="88"/>
      <c r="KVA99" s="88"/>
      <c r="KVI99" s="88"/>
      <c r="KVQ99" s="88"/>
      <c r="KVY99" s="88"/>
      <c r="KWG99" s="88"/>
      <c r="KWO99" s="88"/>
      <c r="KWW99" s="88"/>
      <c r="KXE99" s="88"/>
      <c r="KXM99" s="88"/>
      <c r="KXU99" s="88"/>
      <c r="KYC99" s="88"/>
      <c r="KYK99" s="88"/>
      <c r="KYS99" s="88"/>
      <c r="KZA99" s="88"/>
      <c r="KZI99" s="88"/>
      <c r="KZQ99" s="88"/>
      <c r="KZY99" s="88"/>
      <c r="LAG99" s="88"/>
      <c r="LAO99" s="88"/>
      <c r="LAW99" s="88"/>
      <c r="LBE99" s="88"/>
      <c r="LBM99" s="88"/>
      <c r="LBU99" s="88"/>
      <c r="LCC99" s="88"/>
      <c r="LCK99" s="88"/>
      <c r="LCS99" s="88"/>
      <c r="LDA99" s="88"/>
      <c r="LDI99" s="88"/>
      <c r="LDQ99" s="88"/>
      <c r="LDY99" s="88"/>
      <c r="LEG99" s="88"/>
      <c r="LEO99" s="88"/>
      <c r="LEW99" s="88"/>
      <c r="LFE99" s="88"/>
      <c r="LFM99" s="88"/>
      <c r="LFU99" s="88"/>
      <c r="LGC99" s="88"/>
      <c r="LGK99" s="88"/>
      <c r="LGS99" s="88"/>
      <c r="LHA99" s="88"/>
      <c r="LHI99" s="88"/>
      <c r="LHQ99" s="88"/>
      <c r="LHY99" s="88"/>
      <c r="LIG99" s="88"/>
      <c r="LIO99" s="88"/>
      <c r="LIW99" s="88"/>
      <c r="LJE99" s="88"/>
      <c r="LJM99" s="88"/>
      <c r="LJU99" s="88"/>
      <c r="LKC99" s="88"/>
      <c r="LKK99" s="88"/>
      <c r="LKS99" s="88"/>
      <c r="LLA99" s="88"/>
      <c r="LLI99" s="88"/>
      <c r="LLQ99" s="88"/>
      <c r="LLY99" s="88"/>
      <c r="LMG99" s="88"/>
      <c r="LMO99" s="88"/>
      <c r="LMW99" s="88"/>
      <c r="LNE99" s="88"/>
      <c r="LNM99" s="88"/>
      <c r="LNU99" s="88"/>
      <c r="LOC99" s="88"/>
      <c r="LOK99" s="88"/>
      <c r="LOS99" s="88"/>
      <c r="LPA99" s="88"/>
      <c r="LPI99" s="88"/>
      <c r="LPQ99" s="88"/>
      <c r="LPY99" s="88"/>
      <c r="LQG99" s="88"/>
      <c r="LQO99" s="88"/>
      <c r="LQW99" s="88"/>
      <c r="LRE99" s="88"/>
      <c r="LRM99" s="88"/>
      <c r="LRU99" s="88"/>
      <c r="LSC99" s="88"/>
      <c r="LSK99" s="88"/>
      <c r="LSS99" s="88"/>
      <c r="LTA99" s="88"/>
      <c r="LTI99" s="88"/>
      <c r="LTQ99" s="88"/>
      <c r="LTY99" s="88"/>
      <c r="LUG99" s="88"/>
      <c r="LUO99" s="88"/>
      <c r="LUW99" s="88"/>
      <c r="LVE99" s="88"/>
      <c r="LVM99" s="88"/>
      <c r="LVU99" s="88"/>
      <c r="LWC99" s="88"/>
      <c r="LWK99" s="88"/>
      <c r="LWS99" s="88"/>
      <c r="LXA99" s="88"/>
      <c r="LXI99" s="88"/>
      <c r="LXQ99" s="88"/>
      <c r="LXY99" s="88"/>
      <c r="LYG99" s="88"/>
      <c r="LYO99" s="88"/>
      <c r="LYW99" s="88"/>
      <c r="LZE99" s="88"/>
      <c r="LZM99" s="88"/>
      <c r="LZU99" s="88"/>
      <c r="MAC99" s="88"/>
      <c r="MAK99" s="88"/>
      <c r="MAS99" s="88"/>
      <c r="MBA99" s="88"/>
      <c r="MBI99" s="88"/>
      <c r="MBQ99" s="88"/>
      <c r="MBY99" s="88"/>
      <c r="MCG99" s="88"/>
      <c r="MCO99" s="88"/>
      <c r="MCW99" s="88"/>
      <c r="MDE99" s="88"/>
      <c r="MDM99" s="88"/>
      <c r="MDU99" s="88"/>
      <c r="MEC99" s="88"/>
      <c r="MEK99" s="88"/>
      <c r="MES99" s="88"/>
      <c r="MFA99" s="88"/>
      <c r="MFI99" s="88"/>
      <c r="MFQ99" s="88"/>
      <c r="MFY99" s="88"/>
      <c r="MGG99" s="88"/>
      <c r="MGO99" s="88"/>
      <c r="MGW99" s="88"/>
      <c r="MHE99" s="88"/>
      <c r="MHM99" s="88"/>
      <c r="MHU99" s="88"/>
      <c r="MIC99" s="88"/>
      <c r="MIK99" s="88"/>
      <c r="MIS99" s="88"/>
      <c r="MJA99" s="88"/>
      <c r="MJI99" s="88"/>
      <c r="MJQ99" s="88"/>
      <c r="MJY99" s="88"/>
      <c r="MKG99" s="88"/>
      <c r="MKO99" s="88"/>
      <c r="MKW99" s="88"/>
      <c r="MLE99" s="88"/>
      <c r="MLM99" s="88"/>
      <c r="MLU99" s="88"/>
      <c r="MMC99" s="88"/>
      <c r="MMK99" s="88"/>
      <c r="MMS99" s="88"/>
      <c r="MNA99" s="88"/>
      <c r="MNI99" s="88"/>
      <c r="MNQ99" s="88"/>
      <c r="MNY99" s="88"/>
      <c r="MOG99" s="88"/>
      <c r="MOO99" s="88"/>
      <c r="MOW99" s="88"/>
      <c r="MPE99" s="88"/>
      <c r="MPM99" s="88"/>
      <c r="MPU99" s="88"/>
      <c r="MQC99" s="88"/>
      <c r="MQK99" s="88"/>
      <c r="MQS99" s="88"/>
      <c r="MRA99" s="88"/>
      <c r="MRI99" s="88"/>
      <c r="MRQ99" s="88"/>
      <c r="MRY99" s="88"/>
      <c r="MSG99" s="88"/>
      <c r="MSO99" s="88"/>
      <c r="MSW99" s="88"/>
      <c r="MTE99" s="88"/>
      <c r="MTM99" s="88"/>
      <c r="MTU99" s="88"/>
      <c r="MUC99" s="88"/>
      <c r="MUK99" s="88"/>
      <c r="MUS99" s="88"/>
      <c r="MVA99" s="88"/>
      <c r="MVI99" s="88"/>
      <c r="MVQ99" s="88"/>
      <c r="MVY99" s="88"/>
      <c r="MWG99" s="88"/>
      <c r="MWO99" s="88"/>
      <c r="MWW99" s="88"/>
      <c r="MXE99" s="88"/>
      <c r="MXM99" s="88"/>
      <c r="MXU99" s="88"/>
      <c r="MYC99" s="88"/>
      <c r="MYK99" s="88"/>
      <c r="MYS99" s="88"/>
      <c r="MZA99" s="88"/>
      <c r="MZI99" s="88"/>
      <c r="MZQ99" s="88"/>
      <c r="MZY99" s="88"/>
      <c r="NAG99" s="88"/>
      <c r="NAO99" s="88"/>
      <c r="NAW99" s="88"/>
      <c r="NBE99" s="88"/>
      <c r="NBM99" s="88"/>
      <c r="NBU99" s="88"/>
      <c r="NCC99" s="88"/>
      <c r="NCK99" s="88"/>
      <c r="NCS99" s="88"/>
      <c r="NDA99" s="88"/>
      <c r="NDI99" s="88"/>
      <c r="NDQ99" s="88"/>
      <c r="NDY99" s="88"/>
      <c r="NEG99" s="88"/>
      <c r="NEO99" s="88"/>
      <c r="NEW99" s="88"/>
      <c r="NFE99" s="88"/>
      <c r="NFM99" s="88"/>
      <c r="NFU99" s="88"/>
      <c r="NGC99" s="88"/>
      <c r="NGK99" s="88"/>
      <c r="NGS99" s="88"/>
      <c r="NHA99" s="88"/>
      <c r="NHI99" s="88"/>
      <c r="NHQ99" s="88"/>
      <c r="NHY99" s="88"/>
      <c r="NIG99" s="88"/>
      <c r="NIO99" s="88"/>
      <c r="NIW99" s="88"/>
      <c r="NJE99" s="88"/>
      <c r="NJM99" s="88"/>
      <c r="NJU99" s="88"/>
      <c r="NKC99" s="88"/>
      <c r="NKK99" s="88"/>
      <c r="NKS99" s="88"/>
      <c r="NLA99" s="88"/>
      <c r="NLI99" s="88"/>
      <c r="NLQ99" s="88"/>
      <c r="NLY99" s="88"/>
      <c r="NMG99" s="88"/>
      <c r="NMO99" s="88"/>
      <c r="NMW99" s="88"/>
      <c r="NNE99" s="88"/>
      <c r="NNM99" s="88"/>
      <c r="NNU99" s="88"/>
      <c r="NOC99" s="88"/>
      <c r="NOK99" s="88"/>
      <c r="NOS99" s="88"/>
      <c r="NPA99" s="88"/>
      <c r="NPI99" s="88"/>
      <c r="NPQ99" s="88"/>
      <c r="NPY99" s="88"/>
      <c r="NQG99" s="88"/>
      <c r="NQO99" s="88"/>
      <c r="NQW99" s="88"/>
      <c r="NRE99" s="88"/>
      <c r="NRM99" s="88"/>
      <c r="NRU99" s="88"/>
      <c r="NSC99" s="88"/>
      <c r="NSK99" s="88"/>
      <c r="NSS99" s="88"/>
      <c r="NTA99" s="88"/>
      <c r="NTI99" s="88"/>
      <c r="NTQ99" s="88"/>
      <c r="NTY99" s="88"/>
      <c r="NUG99" s="88"/>
      <c r="NUO99" s="88"/>
      <c r="NUW99" s="88"/>
      <c r="NVE99" s="88"/>
      <c r="NVM99" s="88"/>
      <c r="NVU99" s="88"/>
      <c r="NWC99" s="88"/>
      <c r="NWK99" s="88"/>
      <c r="NWS99" s="88"/>
      <c r="NXA99" s="88"/>
      <c r="NXI99" s="88"/>
      <c r="NXQ99" s="88"/>
      <c r="NXY99" s="88"/>
      <c r="NYG99" s="88"/>
      <c r="NYO99" s="88"/>
      <c r="NYW99" s="88"/>
      <c r="NZE99" s="88"/>
      <c r="NZM99" s="88"/>
      <c r="NZU99" s="88"/>
      <c r="OAC99" s="88"/>
      <c r="OAK99" s="88"/>
      <c r="OAS99" s="88"/>
      <c r="OBA99" s="88"/>
      <c r="OBI99" s="88"/>
      <c r="OBQ99" s="88"/>
      <c r="OBY99" s="88"/>
      <c r="OCG99" s="88"/>
      <c r="OCO99" s="88"/>
      <c r="OCW99" s="88"/>
      <c r="ODE99" s="88"/>
      <c r="ODM99" s="88"/>
      <c r="ODU99" s="88"/>
      <c r="OEC99" s="88"/>
      <c r="OEK99" s="88"/>
      <c r="OES99" s="88"/>
      <c r="OFA99" s="88"/>
      <c r="OFI99" s="88"/>
      <c r="OFQ99" s="88"/>
      <c r="OFY99" s="88"/>
      <c r="OGG99" s="88"/>
      <c r="OGO99" s="88"/>
      <c r="OGW99" s="88"/>
      <c r="OHE99" s="88"/>
      <c r="OHM99" s="88"/>
      <c r="OHU99" s="88"/>
      <c r="OIC99" s="88"/>
      <c r="OIK99" s="88"/>
      <c r="OIS99" s="88"/>
      <c r="OJA99" s="88"/>
      <c r="OJI99" s="88"/>
      <c r="OJQ99" s="88"/>
      <c r="OJY99" s="88"/>
      <c r="OKG99" s="88"/>
      <c r="OKO99" s="88"/>
      <c r="OKW99" s="88"/>
      <c r="OLE99" s="88"/>
      <c r="OLM99" s="88"/>
      <c r="OLU99" s="88"/>
      <c r="OMC99" s="88"/>
      <c r="OMK99" s="88"/>
      <c r="OMS99" s="88"/>
      <c r="ONA99" s="88"/>
      <c r="ONI99" s="88"/>
      <c r="ONQ99" s="88"/>
      <c r="ONY99" s="88"/>
      <c r="OOG99" s="88"/>
      <c r="OOO99" s="88"/>
      <c r="OOW99" s="88"/>
      <c r="OPE99" s="88"/>
      <c r="OPM99" s="88"/>
      <c r="OPU99" s="88"/>
      <c r="OQC99" s="88"/>
      <c r="OQK99" s="88"/>
      <c r="OQS99" s="88"/>
      <c r="ORA99" s="88"/>
      <c r="ORI99" s="88"/>
      <c r="ORQ99" s="88"/>
      <c r="ORY99" s="88"/>
      <c r="OSG99" s="88"/>
      <c r="OSO99" s="88"/>
      <c r="OSW99" s="88"/>
      <c r="OTE99" s="88"/>
      <c r="OTM99" s="88"/>
      <c r="OTU99" s="88"/>
      <c r="OUC99" s="88"/>
      <c r="OUK99" s="88"/>
      <c r="OUS99" s="88"/>
      <c r="OVA99" s="88"/>
      <c r="OVI99" s="88"/>
      <c r="OVQ99" s="88"/>
      <c r="OVY99" s="88"/>
      <c r="OWG99" s="88"/>
      <c r="OWO99" s="88"/>
      <c r="OWW99" s="88"/>
      <c r="OXE99" s="88"/>
      <c r="OXM99" s="88"/>
      <c r="OXU99" s="88"/>
      <c r="OYC99" s="88"/>
      <c r="OYK99" s="88"/>
      <c r="OYS99" s="88"/>
      <c r="OZA99" s="88"/>
      <c r="OZI99" s="88"/>
      <c r="OZQ99" s="88"/>
      <c r="OZY99" s="88"/>
      <c r="PAG99" s="88"/>
      <c r="PAO99" s="88"/>
      <c r="PAW99" s="88"/>
      <c r="PBE99" s="88"/>
      <c r="PBM99" s="88"/>
      <c r="PBU99" s="88"/>
      <c r="PCC99" s="88"/>
      <c r="PCK99" s="88"/>
      <c r="PCS99" s="88"/>
      <c r="PDA99" s="88"/>
      <c r="PDI99" s="88"/>
      <c r="PDQ99" s="88"/>
      <c r="PDY99" s="88"/>
      <c r="PEG99" s="88"/>
      <c r="PEO99" s="88"/>
      <c r="PEW99" s="88"/>
      <c r="PFE99" s="88"/>
      <c r="PFM99" s="88"/>
      <c r="PFU99" s="88"/>
      <c r="PGC99" s="88"/>
      <c r="PGK99" s="88"/>
      <c r="PGS99" s="88"/>
      <c r="PHA99" s="88"/>
      <c r="PHI99" s="88"/>
      <c r="PHQ99" s="88"/>
      <c r="PHY99" s="88"/>
      <c r="PIG99" s="88"/>
      <c r="PIO99" s="88"/>
      <c r="PIW99" s="88"/>
      <c r="PJE99" s="88"/>
      <c r="PJM99" s="88"/>
      <c r="PJU99" s="88"/>
      <c r="PKC99" s="88"/>
      <c r="PKK99" s="88"/>
      <c r="PKS99" s="88"/>
      <c r="PLA99" s="88"/>
      <c r="PLI99" s="88"/>
      <c r="PLQ99" s="88"/>
      <c r="PLY99" s="88"/>
      <c r="PMG99" s="88"/>
      <c r="PMO99" s="88"/>
      <c r="PMW99" s="88"/>
      <c r="PNE99" s="88"/>
      <c r="PNM99" s="88"/>
      <c r="PNU99" s="88"/>
      <c r="POC99" s="88"/>
      <c r="POK99" s="88"/>
      <c r="POS99" s="88"/>
      <c r="PPA99" s="88"/>
      <c r="PPI99" s="88"/>
      <c r="PPQ99" s="88"/>
      <c r="PPY99" s="88"/>
      <c r="PQG99" s="88"/>
      <c r="PQO99" s="88"/>
      <c r="PQW99" s="88"/>
      <c r="PRE99" s="88"/>
      <c r="PRM99" s="88"/>
      <c r="PRU99" s="88"/>
      <c r="PSC99" s="88"/>
      <c r="PSK99" s="88"/>
      <c r="PSS99" s="88"/>
      <c r="PTA99" s="88"/>
      <c r="PTI99" s="88"/>
      <c r="PTQ99" s="88"/>
      <c r="PTY99" s="88"/>
      <c r="PUG99" s="88"/>
      <c r="PUO99" s="88"/>
      <c r="PUW99" s="88"/>
      <c r="PVE99" s="88"/>
      <c r="PVM99" s="88"/>
      <c r="PVU99" s="88"/>
      <c r="PWC99" s="88"/>
      <c r="PWK99" s="88"/>
      <c r="PWS99" s="88"/>
      <c r="PXA99" s="88"/>
      <c r="PXI99" s="88"/>
      <c r="PXQ99" s="88"/>
      <c r="PXY99" s="88"/>
      <c r="PYG99" s="88"/>
      <c r="PYO99" s="88"/>
      <c r="PYW99" s="88"/>
      <c r="PZE99" s="88"/>
      <c r="PZM99" s="88"/>
      <c r="PZU99" s="88"/>
      <c r="QAC99" s="88"/>
      <c r="QAK99" s="88"/>
      <c r="QAS99" s="88"/>
      <c r="QBA99" s="88"/>
      <c r="QBI99" s="88"/>
      <c r="QBQ99" s="88"/>
      <c r="QBY99" s="88"/>
      <c r="QCG99" s="88"/>
      <c r="QCO99" s="88"/>
      <c r="QCW99" s="88"/>
      <c r="QDE99" s="88"/>
      <c r="QDM99" s="88"/>
      <c r="QDU99" s="88"/>
      <c r="QEC99" s="88"/>
      <c r="QEK99" s="88"/>
      <c r="QES99" s="88"/>
      <c r="QFA99" s="88"/>
      <c r="QFI99" s="88"/>
      <c r="QFQ99" s="88"/>
      <c r="QFY99" s="88"/>
      <c r="QGG99" s="88"/>
      <c r="QGO99" s="88"/>
      <c r="QGW99" s="88"/>
      <c r="QHE99" s="88"/>
      <c r="QHM99" s="88"/>
      <c r="QHU99" s="88"/>
      <c r="QIC99" s="88"/>
      <c r="QIK99" s="88"/>
      <c r="QIS99" s="88"/>
      <c r="QJA99" s="88"/>
      <c r="QJI99" s="88"/>
      <c r="QJQ99" s="88"/>
      <c r="QJY99" s="88"/>
      <c r="QKG99" s="88"/>
      <c r="QKO99" s="88"/>
      <c r="QKW99" s="88"/>
      <c r="QLE99" s="88"/>
      <c r="QLM99" s="88"/>
      <c r="QLU99" s="88"/>
      <c r="QMC99" s="88"/>
      <c r="QMK99" s="88"/>
      <c r="QMS99" s="88"/>
      <c r="QNA99" s="88"/>
      <c r="QNI99" s="88"/>
      <c r="QNQ99" s="88"/>
      <c r="QNY99" s="88"/>
      <c r="QOG99" s="88"/>
      <c r="QOO99" s="88"/>
      <c r="QOW99" s="88"/>
      <c r="QPE99" s="88"/>
      <c r="QPM99" s="88"/>
      <c r="QPU99" s="88"/>
      <c r="QQC99" s="88"/>
      <c r="QQK99" s="88"/>
      <c r="QQS99" s="88"/>
      <c r="QRA99" s="88"/>
      <c r="QRI99" s="88"/>
      <c r="QRQ99" s="88"/>
      <c r="QRY99" s="88"/>
      <c r="QSG99" s="88"/>
      <c r="QSO99" s="88"/>
      <c r="QSW99" s="88"/>
      <c r="QTE99" s="88"/>
      <c r="QTM99" s="88"/>
      <c r="QTU99" s="88"/>
      <c r="QUC99" s="88"/>
      <c r="QUK99" s="88"/>
      <c r="QUS99" s="88"/>
      <c r="QVA99" s="88"/>
      <c r="QVI99" s="88"/>
      <c r="QVQ99" s="88"/>
      <c r="QVY99" s="88"/>
      <c r="QWG99" s="88"/>
      <c r="QWO99" s="88"/>
      <c r="QWW99" s="88"/>
      <c r="QXE99" s="88"/>
      <c r="QXM99" s="88"/>
      <c r="QXU99" s="88"/>
      <c r="QYC99" s="88"/>
      <c r="QYK99" s="88"/>
      <c r="QYS99" s="88"/>
      <c r="QZA99" s="88"/>
      <c r="QZI99" s="88"/>
      <c r="QZQ99" s="88"/>
      <c r="QZY99" s="88"/>
      <c r="RAG99" s="88"/>
      <c r="RAO99" s="88"/>
      <c r="RAW99" s="88"/>
      <c r="RBE99" s="88"/>
      <c r="RBM99" s="88"/>
      <c r="RBU99" s="88"/>
      <c r="RCC99" s="88"/>
      <c r="RCK99" s="88"/>
      <c r="RCS99" s="88"/>
      <c r="RDA99" s="88"/>
      <c r="RDI99" s="88"/>
      <c r="RDQ99" s="88"/>
      <c r="RDY99" s="88"/>
      <c r="REG99" s="88"/>
      <c r="REO99" s="88"/>
      <c r="REW99" s="88"/>
      <c r="RFE99" s="88"/>
      <c r="RFM99" s="88"/>
      <c r="RFU99" s="88"/>
      <c r="RGC99" s="88"/>
      <c r="RGK99" s="88"/>
      <c r="RGS99" s="88"/>
      <c r="RHA99" s="88"/>
      <c r="RHI99" s="88"/>
      <c r="RHQ99" s="88"/>
      <c r="RHY99" s="88"/>
      <c r="RIG99" s="88"/>
      <c r="RIO99" s="88"/>
      <c r="RIW99" s="88"/>
      <c r="RJE99" s="88"/>
      <c r="RJM99" s="88"/>
      <c r="RJU99" s="88"/>
      <c r="RKC99" s="88"/>
      <c r="RKK99" s="88"/>
      <c r="RKS99" s="88"/>
      <c r="RLA99" s="88"/>
      <c r="RLI99" s="88"/>
      <c r="RLQ99" s="88"/>
      <c r="RLY99" s="88"/>
      <c r="RMG99" s="88"/>
      <c r="RMO99" s="88"/>
      <c r="RMW99" s="88"/>
      <c r="RNE99" s="88"/>
      <c r="RNM99" s="88"/>
      <c r="RNU99" s="88"/>
      <c r="ROC99" s="88"/>
      <c r="ROK99" s="88"/>
      <c r="ROS99" s="88"/>
      <c r="RPA99" s="88"/>
      <c r="RPI99" s="88"/>
      <c r="RPQ99" s="88"/>
      <c r="RPY99" s="88"/>
      <c r="RQG99" s="88"/>
      <c r="RQO99" s="88"/>
      <c r="RQW99" s="88"/>
      <c r="RRE99" s="88"/>
      <c r="RRM99" s="88"/>
      <c r="RRU99" s="88"/>
      <c r="RSC99" s="88"/>
      <c r="RSK99" s="88"/>
      <c r="RSS99" s="88"/>
      <c r="RTA99" s="88"/>
      <c r="RTI99" s="88"/>
      <c r="RTQ99" s="88"/>
      <c r="RTY99" s="88"/>
      <c r="RUG99" s="88"/>
      <c r="RUO99" s="88"/>
      <c r="RUW99" s="88"/>
      <c r="RVE99" s="88"/>
      <c r="RVM99" s="88"/>
      <c r="RVU99" s="88"/>
      <c r="RWC99" s="88"/>
      <c r="RWK99" s="88"/>
      <c r="RWS99" s="88"/>
      <c r="RXA99" s="88"/>
      <c r="RXI99" s="88"/>
      <c r="RXQ99" s="88"/>
      <c r="RXY99" s="88"/>
      <c r="RYG99" s="88"/>
      <c r="RYO99" s="88"/>
      <c r="RYW99" s="88"/>
      <c r="RZE99" s="88"/>
      <c r="RZM99" s="88"/>
      <c r="RZU99" s="88"/>
      <c r="SAC99" s="88"/>
      <c r="SAK99" s="88"/>
      <c r="SAS99" s="88"/>
      <c r="SBA99" s="88"/>
      <c r="SBI99" s="88"/>
      <c r="SBQ99" s="88"/>
      <c r="SBY99" s="88"/>
      <c r="SCG99" s="88"/>
      <c r="SCO99" s="88"/>
      <c r="SCW99" s="88"/>
      <c r="SDE99" s="88"/>
      <c r="SDM99" s="88"/>
      <c r="SDU99" s="88"/>
      <c r="SEC99" s="88"/>
      <c r="SEK99" s="88"/>
      <c r="SES99" s="88"/>
      <c r="SFA99" s="88"/>
      <c r="SFI99" s="88"/>
      <c r="SFQ99" s="88"/>
      <c r="SFY99" s="88"/>
      <c r="SGG99" s="88"/>
      <c r="SGO99" s="88"/>
      <c r="SGW99" s="88"/>
      <c r="SHE99" s="88"/>
      <c r="SHM99" s="88"/>
      <c r="SHU99" s="88"/>
      <c r="SIC99" s="88"/>
      <c r="SIK99" s="88"/>
      <c r="SIS99" s="88"/>
      <c r="SJA99" s="88"/>
      <c r="SJI99" s="88"/>
      <c r="SJQ99" s="88"/>
      <c r="SJY99" s="88"/>
      <c r="SKG99" s="88"/>
      <c r="SKO99" s="88"/>
      <c r="SKW99" s="88"/>
      <c r="SLE99" s="88"/>
      <c r="SLM99" s="88"/>
      <c r="SLU99" s="88"/>
      <c r="SMC99" s="88"/>
      <c r="SMK99" s="88"/>
      <c r="SMS99" s="88"/>
      <c r="SNA99" s="88"/>
      <c r="SNI99" s="88"/>
      <c r="SNQ99" s="88"/>
      <c r="SNY99" s="88"/>
      <c r="SOG99" s="88"/>
      <c r="SOO99" s="88"/>
      <c r="SOW99" s="88"/>
      <c r="SPE99" s="88"/>
      <c r="SPM99" s="88"/>
      <c r="SPU99" s="88"/>
      <c r="SQC99" s="88"/>
      <c r="SQK99" s="88"/>
      <c r="SQS99" s="88"/>
      <c r="SRA99" s="88"/>
      <c r="SRI99" s="88"/>
      <c r="SRQ99" s="88"/>
      <c r="SRY99" s="88"/>
      <c r="SSG99" s="88"/>
      <c r="SSO99" s="88"/>
      <c r="SSW99" s="88"/>
      <c r="STE99" s="88"/>
      <c r="STM99" s="88"/>
      <c r="STU99" s="88"/>
      <c r="SUC99" s="88"/>
      <c r="SUK99" s="88"/>
      <c r="SUS99" s="88"/>
      <c r="SVA99" s="88"/>
      <c r="SVI99" s="88"/>
      <c r="SVQ99" s="88"/>
      <c r="SVY99" s="88"/>
      <c r="SWG99" s="88"/>
      <c r="SWO99" s="88"/>
      <c r="SWW99" s="88"/>
      <c r="SXE99" s="88"/>
      <c r="SXM99" s="88"/>
      <c r="SXU99" s="88"/>
      <c r="SYC99" s="88"/>
      <c r="SYK99" s="88"/>
      <c r="SYS99" s="88"/>
      <c r="SZA99" s="88"/>
      <c r="SZI99" s="88"/>
      <c r="SZQ99" s="88"/>
      <c r="SZY99" s="88"/>
      <c r="TAG99" s="88"/>
      <c r="TAO99" s="88"/>
      <c r="TAW99" s="88"/>
      <c r="TBE99" s="88"/>
      <c r="TBM99" s="88"/>
      <c r="TBU99" s="88"/>
      <c r="TCC99" s="88"/>
      <c r="TCK99" s="88"/>
      <c r="TCS99" s="88"/>
      <c r="TDA99" s="88"/>
      <c r="TDI99" s="88"/>
      <c r="TDQ99" s="88"/>
      <c r="TDY99" s="88"/>
      <c r="TEG99" s="88"/>
      <c r="TEO99" s="88"/>
      <c r="TEW99" s="88"/>
      <c r="TFE99" s="88"/>
      <c r="TFM99" s="88"/>
      <c r="TFU99" s="88"/>
      <c r="TGC99" s="88"/>
      <c r="TGK99" s="88"/>
      <c r="TGS99" s="88"/>
      <c r="THA99" s="88"/>
      <c r="THI99" s="88"/>
      <c r="THQ99" s="88"/>
      <c r="THY99" s="88"/>
      <c r="TIG99" s="88"/>
      <c r="TIO99" s="88"/>
      <c r="TIW99" s="88"/>
      <c r="TJE99" s="88"/>
      <c r="TJM99" s="88"/>
      <c r="TJU99" s="88"/>
      <c r="TKC99" s="88"/>
      <c r="TKK99" s="88"/>
      <c r="TKS99" s="88"/>
      <c r="TLA99" s="88"/>
      <c r="TLI99" s="88"/>
      <c r="TLQ99" s="88"/>
      <c r="TLY99" s="88"/>
      <c r="TMG99" s="88"/>
      <c r="TMO99" s="88"/>
      <c r="TMW99" s="88"/>
      <c r="TNE99" s="88"/>
      <c r="TNM99" s="88"/>
      <c r="TNU99" s="88"/>
      <c r="TOC99" s="88"/>
      <c r="TOK99" s="88"/>
      <c r="TOS99" s="88"/>
      <c r="TPA99" s="88"/>
      <c r="TPI99" s="88"/>
      <c r="TPQ99" s="88"/>
      <c r="TPY99" s="88"/>
      <c r="TQG99" s="88"/>
      <c r="TQO99" s="88"/>
      <c r="TQW99" s="88"/>
      <c r="TRE99" s="88"/>
      <c r="TRM99" s="88"/>
      <c r="TRU99" s="88"/>
      <c r="TSC99" s="88"/>
      <c r="TSK99" s="88"/>
      <c r="TSS99" s="88"/>
      <c r="TTA99" s="88"/>
      <c r="TTI99" s="88"/>
      <c r="TTQ99" s="88"/>
      <c r="TTY99" s="88"/>
      <c r="TUG99" s="88"/>
      <c r="TUO99" s="88"/>
      <c r="TUW99" s="88"/>
      <c r="TVE99" s="88"/>
      <c r="TVM99" s="88"/>
      <c r="TVU99" s="88"/>
      <c r="TWC99" s="88"/>
      <c r="TWK99" s="88"/>
      <c r="TWS99" s="88"/>
      <c r="TXA99" s="88"/>
      <c r="TXI99" s="88"/>
      <c r="TXQ99" s="88"/>
      <c r="TXY99" s="88"/>
      <c r="TYG99" s="88"/>
      <c r="TYO99" s="88"/>
      <c r="TYW99" s="88"/>
      <c r="TZE99" s="88"/>
      <c r="TZM99" s="88"/>
      <c r="TZU99" s="88"/>
      <c r="UAC99" s="88"/>
      <c r="UAK99" s="88"/>
      <c r="UAS99" s="88"/>
      <c r="UBA99" s="88"/>
      <c r="UBI99" s="88"/>
      <c r="UBQ99" s="88"/>
      <c r="UBY99" s="88"/>
      <c r="UCG99" s="88"/>
      <c r="UCO99" s="88"/>
      <c r="UCW99" s="88"/>
      <c r="UDE99" s="88"/>
      <c r="UDM99" s="88"/>
      <c r="UDU99" s="88"/>
      <c r="UEC99" s="88"/>
      <c r="UEK99" s="88"/>
      <c r="UES99" s="88"/>
      <c r="UFA99" s="88"/>
      <c r="UFI99" s="88"/>
      <c r="UFQ99" s="88"/>
      <c r="UFY99" s="88"/>
      <c r="UGG99" s="88"/>
      <c r="UGO99" s="88"/>
      <c r="UGW99" s="88"/>
      <c r="UHE99" s="88"/>
      <c r="UHM99" s="88"/>
      <c r="UHU99" s="88"/>
      <c r="UIC99" s="88"/>
      <c r="UIK99" s="88"/>
      <c r="UIS99" s="88"/>
      <c r="UJA99" s="88"/>
      <c r="UJI99" s="88"/>
      <c r="UJQ99" s="88"/>
      <c r="UJY99" s="88"/>
      <c r="UKG99" s="88"/>
      <c r="UKO99" s="88"/>
      <c r="UKW99" s="88"/>
      <c r="ULE99" s="88"/>
      <c r="ULM99" s="88"/>
      <c r="ULU99" s="88"/>
      <c r="UMC99" s="88"/>
      <c r="UMK99" s="88"/>
      <c r="UMS99" s="88"/>
      <c r="UNA99" s="88"/>
      <c r="UNI99" s="88"/>
      <c r="UNQ99" s="88"/>
      <c r="UNY99" s="88"/>
      <c r="UOG99" s="88"/>
      <c r="UOO99" s="88"/>
      <c r="UOW99" s="88"/>
      <c r="UPE99" s="88"/>
      <c r="UPM99" s="88"/>
      <c r="UPU99" s="88"/>
      <c r="UQC99" s="88"/>
      <c r="UQK99" s="88"/>
      <c r="UQS99" s="88"/>
      <c r="URA99" s="88"/>
      <c r="URI99" s="88"/>
      <c r="URQ99" s="88"/>
      <c r="URY99" s="88"/>
      <c r="USG99" s="88"/>
      <c r="USO99" s="88"/>
      <c r="USW99" s="88"/>
      <c r="UTE99" s="88"/>
      <c r="UTM99" s="88"/>
      <c r="UTU99" s="88"/>
      <c r="UUC99" s="88"/>
      <c r="UUK99" s="88"/>
      <c r="UUS99" s="88"/>
      <c r="UVA99" s="88"/>
      <c r="UVI99" s="88"/>
      <c r="UVQ99" s="88"/>
      <c r="UVY99" s="88"/>
      <c r="UWG99" s="88"/>
      <c r="UWO99" s="88"/>
      <c r="UWW99" s="88"/>
      <c r="UXE99" s="88"/>
      <c r="UXM99" s="88"/>
      <c r="UXU99" s="88"/>
      <c r="UYC99" s="88"/>
      <c r="UYK99" s="88"/>
      <c r="UYS99" s="88"/>
      <c r="UZA99" s="88"/>
      <c r="UZI99" s="88"/>
      <c r="UZQ99" s="88"/>
      <c r="UZY99" s="88"/>
      <c r="VAG99" s="88"/>
      <c r="VAO99" s="88"/>
      <c r="VAW99" s="88"/>
      <c r="VBE99" s="88"/>
      <c r="VBM99" s="88"/>
      <c r="VBU99" s="88"/>
      <c r="VCC99" s="88"/>
      <c r="VCK99" s="88"/>
      <c r="VCS99" s="88"/>
      <c r="VDA99" s="88"/>
      <c r="VDI99" s="88"/>
      <c r="VDQ99" s="88"/>
      <c r="VDY99" s="88"/>
      <c r="VEG99" s="88"/>
      <c r="VEO99" s="88"/>
      <c r="VEW99" s="88"/>
      <c r="VFE99" s="88"/>
      <c r="VFM99" s="88"/>
      <c r="VFU99" s="88"/>
      <c r="VGC99" s="88"/>
      <c r="VGK99" s="88"/>
      <c r="VGS99" s="88"/>
      <c r="VHA99" s="88"/>
      <c r="VHI99" s="88"/>
      <c r="VHQ99" s="88"/>
      <c r="VHY99" s="88"/>
      <c r="VIG99" s="88"/>
      <c r="VIO99" s="88"/>
      <c r="VIW99" s="88"/>
      <c r="VJE99" s="88"/>
      <c r="VJM99" s="88"/>
      <c r="VJU99" s="88"/>
      <c r="VKC99" s="88"/>
      <c r="VKK99" s="88"/>
      <c r="VKS99" s="88"/>
      <c r="VLA99" s="88"/>
      <c r="VLI99" s="88"/>
      <c r="VLQ99" s="88"/>
      <c r="VLY99" s="88"/>
      <c r="VMG99" s="88"/>
      <c r="VMO99" s="88"/>
      <c r="VMW99" s="88"/>
      <c r="VNE99" s="88"/>
      <c r="VNM99" s="88"/>
      <c r="VNU99" s="88"/>
      <c r="VOC99" s="88"/>
      <c r="VOK99" s="88"/>
      <c r="VOS99" s="88"/>
      <c r="VPA99" s="88"/>
      <c r="VPI99" s="88"/>
      <c r="VPQ99" s="88"/>
      <c r="VPY99" s="88"/>
      <c r="VQG99" s="88"/>
      <c r="VQO99" s="88"/>
      <c r="VQW99" s="88"/>
      <c r="VRE99" s="88"/>
      <c r="VRM99" s="88"/>
      <c r="VRU99" s="88"/>
      <c r="VSC99" s="88"/>
      <c r="VSK99" s="88"/>
      <c r="VSS99" s="88"/>
      <c r="VTA99" s="88"/>
      <c r="VTI99" s="88"/>
      <c r="VTQ99" s="88"/>
      <c r="VTY99" s="88"/>
      <c r="VUG99" s="88"/>
      <c r="VUO99" s="88"/>
      <c r="VUW99" s="88"/>
      <c r="VVE99" s="88"/>
      <c r="VVM99" s="88"/>
      <c r="VVU99" s="88"/>
      <c r="VWC99" s="88"/>
      <c r="VWK99" s="88"/>
      <c r="VWS99" s="88"/>
      <c r="VXA99" s="88"/>
      <c r="VXI99" s="88"/>
      <c r="VXQ99" s="88"/>
      <c r="VXY99" s="88"/>
      <c r="VYG99" s="88"/>
      <c r="VYO99" s="88"/>
      <c r="VYW99" s="88"/>
      <c r="VZE99" s="88"/>
      <c r="VZM99" s="88"/>
      <c r="VZU99" s="88"/>
      <c r="WAC99" s="88"/>
      <c r="WAK99" s="88"/>
      <c r="WAS99" s="88"/>
      <c r="WBA99" s="88"/>
      <c r="WBI99" s="88"/>
      <c r="WBQ99" s="88"/>
      <c r="WBY99" s="88"/>
      <c r="WCG99" s="88"/>
      <c r="WCO99" s="88"/>
      <c r="WCW99" s="88"/>
      <c r="WDE99" s="88"/>
      <c r="WDM99" s="88"/>
      <c r="WDU99" s="88"/>
      <c r="WEC99" s="88"/>
      <c r="WEK99" s="88"/>
      <c r="WES99" s="88"/>
      <c r="WFA99" s="88"/>
      <c r="WFI99" s="88"/>
      <c r="WFQ99" s="88"/>
      <c r="WFY99" s="88"/>
      <c r="WGG99" s="88"/>
      <c r="WGO99" s="88"/>
      <c r="WGW99" s="88"/>
      <c r="WHE99" s="88"/>
      <c r="WHM99" s="88"/>
      <c r="WHU99" s="88"/>
      <c r="WIC99" s="88"/>
      <c r="WIK99" s="88"/>
      <c r="WIS99" s="88"/>
      <c r="WJA99" s="88"/>
      <c r="WJI99" s="88"/>
      <c r="WJQ99" s="88"/>
      <c r="WJY99" s="88"/>
      <c r="WKG99" s="88"/>
      <c r="WKO99" s="88"/>
      <c r="WKW99" s="88"/>
      <c r="WLE99" s="88"/>
      <c r="WLM99" s="88"/>
      <c r="WLU99" s="88"/>
      <c r="WMC99" s="88"/>
      <c r="WMK99" s="88"/>
      <c r="WMS99" s="88"/>
      <c r="WNA99" s="88"/>
      <c r="WNI99" s="88"/>
      <c r="WNQ99" s="88"/>
      <c r="WNY99" s="88"/>
      <c r="WOG99" s="88"/>
      <c r="WOO99" s="88"/>
      <c r="WOW99" s="88"/>
      <c r="WPE99" s="88"/>
      <c r="WPM99" s="88"/>
      <c r="WPU99" s="88"/>
      <c r="WQC99" s="88"/>
      <c r="WQK99" s="88"/>
      <c r="WQS99" s="88"/>
      <c r="WRA99" s="88"/>
      <c r="WRI99" s="88"/>
      <c r="WRQ99" s="88"/>
      <c r="WRY99" s="88"/>
      <c r="WSG99" s="88"/>
      <c r="WSO99" s="88"/>
      <c r="WSW99" s="88"/>
      <c r="WTE99" s="88"/>
      <c r="WTM99" s="88"/>
      <c r="WTU99" s="88"/>
      <c r="WUC99" s="88"/>
      <c r="WUK99" s="88"/>
      <c r="WUS99" s="88"/>
      <c r="WVA99" s="88"/>
      <c r="WVI99" s="88"/>
      <c r="WVQ99" s="88"/>
      <c r="WVY99" s="88"/>
      <c r="WWG99" s="88"/>
      <c r="WWO99" s="88"/>
      <c r="WWW99" s="88"/>
      <c r="WXE99" s="88"/>
      <c r="WXM99" s="88"/>
      <c r="WXU99" s="88"/>
      <c r="WYC99" s="88"/>
      <c r="WYK99" s="88"/>
      <c r="WYS99" s="88"/>
      <c r="WZA99" s="88"/>
      <c r="WZI99" s="88"/>
      <c r="WZQ99" s="88"/>
      <c r="WZY99" s="88"/>
      <c r="XAG99" s="88"/>
      <c r="XAO99" s="88"/>
      <c r="XAW99" s="88"/>
      <c r="XBE99" s="88"/>
      <c r="XBM99" s="88"/>
      <c r="XBU99" s="88"/>
      <c r="XCC99" s="88"/>
      <c r="XCK99" s="88"/>
      <c r="XCS99" s="88"/>
      <c r="XDA99" s="88"/>
      <c r="XDI99" s="88"/>
      <c r="XDQ99" s="88"/>
      <c r="XDY99" s="88"/>
      <c r="XEG99" s="88"/>
      <c r="XEO99" s="88"/>
      <c r="XEW99" s="88"/>
    </row>
    <row r="100" spans="1:1017 1025:2041 2049:3065 3073:4089 4097:5113 5121:6137 6145:7161 7169:8185 8193:9209 9217:10233 10241:11257 11265:12281 12289:13305 13313:14329 14337:15353 15361:16377" s="99" customFormat="1" ht="15.75" customHeight="1" x14ac:dyDescent="0.25">
      <c r="A100" s="88" t="s">
        <v>1038</v>
      </c>
      <c r="B100" s="99">
        <v>0</v>
      </c>
      <c r="C100" s="99">
        <v>3956.25</v>
      </c>
      <c r="D100" s="99">
        <v>0</v>
      </c>
      <c r="E100" s="99">
        <v>0</v>
      </c>
      <c r="F100" s="99">
        <v>0</v>
      </c>
      <c r="G100" s="99">
        <v>0</v>
      </c>
      <c r="H100" s="99">
        <v>3956.25</v>
      </c>
      <c r="I100" s="88"/>
      <c r="Q100" s="88"/>
      <c r="Y100" s="88"/>
      <c r="AG100" s="88"/>
      <c r="AO100" s="88"/>
      <c r="AW100" s="88"/>
      <c r="BE100" s="88"/>
      <c r="BM100" s="88"/>
      <c r="BU100" s="88"/>
      <c r="CC100" s="88"/>
      <c r="CK100" s="88"/>
      <c r="CS100" s="88"/>
      <c r="DA100" s="88"/>
      <c r="DI100" s="88"/>
      <c r="DQ100" s="88"/>
      <c r="DY100" s="88"/>
      <c r="EG100" s="88"/>
      <c r="EO100" s="88"/>
      <c r="EW100" s="88"/>
      <c r="FE100" s="88"/>
      <c r="FM100" s="88"/>
      <c r="FU100" s="88"/>
      <c r="GC100" s="88"/>
      <c r="GK100" s="88"/>
      <c r="GS100" s="88"/>
      <c r="HA100" s="88"/>
      <c r="HI100" s="88"/>
      <c r="HQ100" s="88"/>
      <c r="HY100" s="88"/>
      <c r="IG100" s="88"/>
      <c r="IO100" s="88"/>
      <c r="IW100" s="88"/>
      <c r="JE100" s="88"/>
      <c r="JM100" s="88"/>
      <c r="JU100" s="88"/>
      <c r="KC100" s="88"/>
      <c r="KK100" s="88"/>
      <c r="KS100" s="88"/>
      <c r="LA100" s="88"/>
      <c r="LI100" s="88"/>
      <c r="LQ100" s="88"/>
      <c r="LY100" s="88"/>
      <c r="MG100" s="88"/>
      <c r="MO100" s="88"/>
      <c r="MW100" s="88"/>
      <c r="NE100" s="88"/>
      <c r="NM100" s="88"/>
      <c r="NU100" s="88"/>
      <c r="OC100" s="88"/>
      <c r="OK100" s="88"/>
      <c r="OS100" s="88"/>
      <c r="PA100" s="88"/>
      <c r="PI100" s="88"/>
      <c r="PQ100" s="88"/>
      <c r="PY100" s="88"/>
      <c r="QG100" s="88"/>
      <c r="QO100" s="88"/>
      <c r="QW100" s="88"/>
      <c r="RE100" s="88"/>
      <c r="RM100" s="88"/>
      <c r="RU100" s="88"/>
      <c r="SC100" s="88"/>
      <c r="SK100" s="88"/>
      <c r="SS100" s="88"/>
      <c r="TA100" s="88"/>
      <c r="TI100" s="88"/>
      <c r="TQ100" s="88"/>
      <c r="TY100" s="88"/>
      <c r="UG100" s="88"/>
      <c r="UO100" s="88"/>
      <c r="UW100" s="88"/>
      <c r="VE100" s="88"/>
      <c r="VM100" s="88"/>
      <c r="VU100" s="88"/>
      <c r="WC100" s="88"/>
      <c r="WK100" s="88"/>
      <c r="WS100" s="88"/>
      <c r="XA100" s="88"/>
      <c r="XI100" s="88"/>
      <c r="XQ100" s="88"/>
      <c r="XY100" s="88"/>
      <c r="YG100" s="88"/>
      <c r="YO100" s="88"/>
      <c r="YW100" s="88"/>
      <c r="ZE100" s="88"/>
      <c r="ZM100" s="88"/>
      <c r="ZU100" s="88"/>
      <c r="AAC100" s="88"/>
      <c r="AAK100" s="88"/>
      <c r="AAS100" s="88"/>
      <c r="ABA100" s="88"/>
      <c r="ABI100" s="88"/>
      <c r="ABQ100" s="88"/>
      <c r="ABY100" s="88"/>
      <c r="ACG100" s="88"/>
      <c r="ACO100" s="88"/>
      <c r="ACW100" s="88"/>
      <c r="ADE100" s="88"/>
      <c r="ADM100" s="88"/>
      <c r="ADU100" s="88"/>
      <c r="AEC100" s="88"/>
      <c r="AEK100" s="88"/>
      <c r="AES100" s="88"/>
      <c r="AFA100" s="88"/>
      <c r="AFI100" s="88"/>
      <c r="AFQ100" s="88"/>
      <c r="AFY100" s="88"/>
      <c r="AGG100" s="88"/>
      <c r="AGO100" s="88"/>
      <c r="AGW100" s="88"/>
      <c r="AHE100" s="88"/>
      <c r="AHM100" s="88"/>
      <c r="AHU100" s="88"/>
      <c r="AIC100" s="88"/>
      <c r="AIK100" s="88"/>
      <c r="AIS100" s="88"/>
      <c r="AJA100" s="88"/>
      <c r="AJI100" s="88"/>
      <c r="AJQ100" s="88"/>
      <c r="AJY100" s="88"/>
      <c r="AKG100" s="88"/>
      <c r="AKO100" s="88"/>
      <c r="AKW100" s="88"/>
      <c r="ALE100" s="88"/>
      <c r="ALM100" s="88"/>
      <c r="ALU100" s="88"/>
      <c r="AMC100" s="88"/>
      <c r="AMK100" s="88"/>
      <c r="AMS100" s="88"/>
      <c r="ANA100" s="88"/>
      <c r="ANI100" s="88"/>
      <c r="ANQ100" s="88"/>
      <c r="ANY100" s="88"/>
      <c r="AOG100" s="88"/>
      <c r="AOO100" s="88"/>
      <c r="AOW100" s="88"/>
      <c r="APE100" s="88"/>
      <c r="APM100" s="88"/>
      <c r="APU100" s="88"/>
      <c r="AQC100" s="88"/>
      <c r="AQK100" s="88"/>
      <c r="AQS100" s="88"/>
      <c r="ARA100" s="88"/>
      <c r="ARI100" s="88"/>
      <c r="ARQ100" s="88"/>
      <c r="ARY100" s="88"/>
      <c r="ASG100" s="88"/>
      <c r="ASO100" s="88"/>
      <c r="ASW100" s="88"/>
      <c r="ATE100" s="88"/>
      <c r="ATM100" s="88"/>
      <c r="ATU100" s="88"/>
      <c r="AUC100" s="88"/>
      <c r="AUK100" s="88"/>
      <c r="AUS100" s="88"/>
      <c r="AVA100" s="88"/>
      <c r="AVI100" s="88"/>
      <c r="AVQ100" s="88"/>
      <c r="AVY100" s="88"/>
      <c r="AWG100" s="88"/>
      <c r="AWO100" s="88"/>
      <c r="AWW100" s="88"/>
      <c r="AXE100" s="88"/>
      <c r="AXM100" s="88"/>
      <c r="AXU100" s="88"/>
      <c r="AYC100" s="88"/>
      <c r="AYK100" s="88"/>
      <c r="AYS100" s="88"/>
      <c r="AZA100" s="88"/>
      <c r="AZI100" s="88"/>
      <c r="AZQ100" s="88"/>
      <c r="AZY100" s="88"/>
      <c r="BAG100" s="88"/>
      <c r="BAO100" s="88"/>
      <c r="BAW100" s="88"/>
      <c r="BBE100" s="88"/>
      <c r="BBM100" s="88"/>
      <c r="BBU100" s="88"/>
      <c r="BCC100" s="88"/>
      <c r="BCK100" s="88"/>
      <c r="BCS100" s="88"/>
      <c r="BDA100" s="88"/>
      <c r="BDI100" s="88"/>
      <c r="BDQ100" s="88"/>
      <c r="BDY100" s="88"/>
      <c r="BEG100" s="88"/>
      <c r="BEO100" s="88"/>
      <c r="BEW100" s="88"/>
      <c r="BFE100" s="88"/>
      <c r="BFM100" s="88"/>
      <c r="BFU100" s="88"/>
      <c r="BGC100" s="88"/>
      <c r="BGK100" s="88"/>
      <c r="BGS100" s="88"/>
      <c r="BHA100" s="88"/>
      <c r="BHI100" s="88"/>
      <c r="BHQ100" s="88"/>
      <c r="BHY100" s="88"/>
      <c r="BIG100" s="88"/>
      <c r="BIO100" s="88"/>
      <c r="BIW100" s="88"/>
      <c r="BJE100" s="88"/>
      <c r="BJM100" s="88"/>
      <c r="BJU100" s="88"/>
      <c r="BKC100" s="88"/>
      <c r="BKK100" s="88"/>
      <c r="BKS100" s="88"/>
      <c r="BLA100" s="88"/>
      <c r="BLI100" s="88"/>
      <c r="BLQ100" s="88"/>
      <c r="BLY100" s="88"/>
      <c r="BMG100" s="88"/>
      <c r="BMO100" s="88"/>
      <c r="BMW100" s="88"/>
      <c r="BNE100" s="88"/>
      <c r="BNM100" s="88"/>
      <c r="BNU100" s="88"/>
      <c r="BOC100" s="88"/>
      <c r="BOK100" s="88"/>
      <c r="BOS100" s="88"/>
      <c r="BPA100" s="88"/>
      <c r="BPI100" s="88"/>
      <c r="BPQ100" s="88"/>
      <c r="BPY100" s="88"/>
      <c r="BQG100" s="88"/>
      <c r="BQO100" s="88"/>
      <c r="BQW100" s="88"/>
      <c r="BRE100" s="88"/>
      <c r="BRM100" s="88"/>
      <c r="BRU100" s="88"/>
      <c r="BSC100" s="88"/>
      <c r="BSK100" s="88"/>
      <c r="BSS100" s="88"/>
      <c r="BTA100" s="88"/>
      <c r="BTI100" s="88"/>
      <c r="BTQ100" s="88"/>
      <c r="BTY100" s="88"/>
      <c r="BUG100" s="88"/>
      <c r="BUO100" s="88"/>
      <c r="BUW100" s="88"/>
      <c r="BVE100" s="88"/>
      <c r="BVM100" s="88"/>
      <c r="BVU100" s="88"/>
      <c r="BWC100" s="88"/>
      <c r="BWK100" s="88"/>
      <c r="BWS100" s="88"/>
      <c r="BXA100" s="88"/>
      <c r="BXI100" s="88"/>
      <c r="BXQ100" s="88"/>
      <c r="BXY100" s="88"/>
      <c r="BYG100" s="88"/>
      <c r="BYO100" s="88"/>
      <c r="BYW100" s="88"/>
      <c r="BZE100" s="88"/>
      <c r="BZM100" s="88"/>
      <c r="BZU100" s="88"/>
      <c r="CAC100" s="88"/>
      <c r="CAK100" s="88"/>
      <c r="CAS100" s="88"/>
      <c r="CBA100" s="88"/>
      <c r="CBI100" s="88"/>
      <c r="CBQ100" s="88"/>
      <c r="CBY100" s="88"/>
      <c r="CCG100" s="88"/>
      <c r="CCO100" s="88"/>
      <c r="CCW100" s="88"/>
      <c r="CDE100" s="88"/>
      <c r="CDM100" s="88"/>
      <c r="CDU100" s="88"/>
      <c r="CEC100" s="88"/>
      <c r="CEK100" s="88"/>
      <c r="CES100" s="88"/>
      <c r="CFA100" s="88"/>
      <c r="CFI100" s="88"/>
      <c r="CFQ100" s="88"/>
      <c r="CFY100" s="88"/>
      <c r="CGG100" s="88"/>
      <c r="CGO100" s="88"/>
      <c r="CGW100" s="88"/>
      <c r="CHE100" s="88"/>
      <c r="CHM100" s="88"/>
      <c r="CHU100" s="88"/>
      <c r="CIC100" s="88"/>
      <c r="CIK100" s="88"/>
      <c r="CIS100" s="88"/>
      <c r="CJA100" s="88"/>
      <c r="CJI100" s="88"/>
      <c r="CJQ100" s="88"/>
      <c r="CJY100" s="88"/>
      <c r="CKG100" s="88"/>
      <c r="CKO100" s="88"/>
      <c r="CKW100" s="88"/>
      <c r="CLE100" s="88"/>
      <c r="CLM100" s="88"/>
      <c r="CLU100" s="88"/>
      <c r="CMC100" s="88"/>
      <c r="CMK100" s="88"/>
      <c r="CMS100" s="88"/>
      <c r="CNA100" s="88"/>
      <c r="CNI100" s="88"/>
      <c r="CNQ100" s="88"/>
      <c r="CNY100" s="88"/>
      <c r="COG100" s="88"/>
      <c r="COO100" s="88"/>
      <c r="COW100" s="88"/>
      <c r="CPE100" s="88"/>
      <c r="CPM100" s="88"/>
      <c r="CPU100" s="88"/>
      <c r="CQC100" s="88"/>
      <c r="CQK100" s="88"/>
      <c r="CQS100" s="88"/>
      <c r="CRA100" s="88"/>
      <c r="CRI100" s="88"/>
      <c r="CRQ100" s="88"/>
      <c r="CRY100" s="88"/>
      <c r="CSG100" s="88"/>
      <c r="CSO100" s="88"/>
      <c r="CSW100" s="88"/>
      <c r="CTE100" s="88"/>
      <c r="CTM100" s="88"/>
      <c r="CTU100" s="88"/>
      <c r="CUC100" s="88"/>
      <c r="CUK100" s="88"/>
      <c r="CUS100" s="88"/>
      <c r="CVA100" s="88"/>
      <c r="CVI100" s="88"/>
      <c r="CVQ100" s="88"/>
      <c r="CVY100" s="88"/>
      <c r="CWG100" s="88"/>
      <c r="CWO100" s="88"/>
      <c r="CWW100" s="88"/>
      <c r="CXE100" s="88"/>
      <c r="CXM100" s="88"/>
      <c r="CXU100" s="88"/>
      <c r="CYC100" s="88"/>
      <c r="CYK100" s="88"/>
      <c r="CYS100" s="88"/>
      <c r="CZA100" s="88"/>
      <c r="CZI100" s="88"/>
      <c r="CZQ100" s="88"/>
      <c r="CZY100" s="88"/>
      <c r="DAG100" s="88"/>
      <c r="DAO100" s="88"/>
      <c r="DAW100" s="88"/>
      <c r="DBE100" s="88"/>
      <c r="DBM100" s="88"/>
      <c r="DBU100" s="88"/>
      <c r="DCC100" s="88"/>
      <c r="DCK100" s="88"/>
      <c r="DCS100" s="88"/>
      <c r="DDA100" s="88"/>
      <c r="DDI100" s="88"/>
      <c r="DDQ100" s="88"/>
      <c r="DDY100" s="88"/>
      <c r="DEG100" s="88"/>
      <c r="DEO100" s="88"/>
      <c r="DEW100" s="88"/>
      <c r="DFE100" s="88"/>
      <c r="DFM100" s="88"/>
      <c r="DFU100" s="88"/>
      <c r="DGC100" s="88"/>
      <c r="DGK100" s="88"/>
      <c r="DGS100" s="88"/>
      <c r="DHA100" s="88"/>
      <c r="DHI100" s="88"/>
      <c r="DHQ100" s="88"/>
      <c r="DHY100" s="88"/>
      <c r="DIG100" s="88"/>
      <c r="DIO100" s="88"/>
      <c r="DIW100" s="88"/>
      <c r="DJE100" s="88"/>
      <c r="DJM100" s="88"/>
      <c r="DJU100" s="88"/>
      <c r="DKC100" s="88"/>
      <c r="DKK100" s="88"/>
      <c r="DKS100" s="88"/>
      <c r="DLA100" s="88"/>
      <c r="DLI100" s="88"/>
      <c r="DLQ100" s="88"/>
      <c r="DLY100" s="88"/>
      <c r="DMG100" s="88"/>
      <c r="DMO100" s="88"/>
      <c r="DMW100" s="88"/>
      <c r="DNE100" s="88"/>
      <c r="DNM100" s="88"/>
      <c r="DNU100" s="88"/>
      <c r="DOC100" s="88"/>
      <c r="DOK100" s="88"/>
      <c r="DOS100" s="88"/>
      <c r="DPA100" s="88"/>
      <c r="DPI100" s="88"/>
      <c r="DPQ100" s="88"/>
      <c r="DPY100" s="88"/>
      <c r="DQG100" s="88"/>
      <c r="DQO100" s="88"/>
      <c r="DQW100" s="88"/>
      <c r="DRE100" s="88"/>
      <c r="DRM100" s="88"/>
      <c r="DRU100" s="88"/>
      <c r="DSC100" s="88"/>
      <c r="DSK100" s="88"/>
      <c r="DSS100" s="88"/>
      <c r="DTA100" s="88"/>
      <c r="DTI100" s="88"/>
      <c r="DTQ100" s="88"/>
      <c r="DTY100" s="88"/>
      <c r="DUG100" s="88"/>
      <c r="DUO100" s="88"/>
      <c r="DUW100" s="88"/>
      <c r="DVE100" s="88"/>
      <c r="DVM100" s="88"/>
      <c r="DVU100" s="88"/>
      <c r="DWC100" s="88"/>
      <c r="DWK100" s="88"/>
      <c r="DWS100" s="88"/>
      <c r="DXA100" s="88"/>
      <c r="DXI100" s="88"/>
      <c r="DXQ100" s="88"/>
      <c r="DXY100" s="88"/>
      <c r="DYG100" s="88"/>
      <c r="DYO100" s="88"/>
      <c r="DYW100" s="88"/>
      <c r="DZE100" s="88"/>
      <c r="DZM100" s="88"/>
      <c r="DZU100" s="88"/>
      <c r="EAC100" s="88"/>
      <c r="EAK100" s="88"/>
      <c r="EAS100" s="88"/>
      <c r="EBA100" s="88"/>
      <c r="EBI100" s="88"/>
      <c r="EBQ100" s="88"/>
      <c r="EBY100" s="88"/>
      <c r="ECG100" s="88"/>
      <c r="ECO100" s="88"/>
      <c r="ECW100" s="88"/>
      <c r="EDE100" s="88"/>
      <c r="EDM100" s="88"/>
      <c r="EDU100" s="88"/>
      <c r="EEC100" s="88"/>
      <c r="EEK100" s="88"/>
      <c r="EES100" s="88"/>
      <c r="EFA100" s="88"/>
      <c r="EFI100" s="88"/>
      <c r="EFQ100" s="88"/>
      <c r="EFY100" s="88"/>
      <c r="EGG100" s="88"/>
      <c r="EGO100" s="88"/>
      <c r="EGW100" s="88"/>
      <c r="EHE100" s="88"/>
      <c r="EHM100" s="88"/>
      <c r="EHU100" s="88"/>
      <c r="EIC100" s="88"/>
      <c r="EIK100" s="88"/>
      <c r="EIS100" s="88"/>
      <c r="EJA100" s="88"/>
      <c r="EJI100" s="88"/>
      <c r="EJQ100" s="88"/>
      <c r="EJY100" s="88"/>
      <c r="EKG100" s="88"/>
      <c r="EKO100" s="88"/>
      <c r="EKW100" s="88"/>
      <c r="ELE100" s="88"/>
      <c r="ELM100" s="88"/>
      <c r="ELU100" s="88"/>
      <c r="EMC100" s="88"/>
      <c r="EMK100" s="88"/>
      <c r="EMS100" s="88"/>
      <c r="ENA100" s="88"/>
      <c r="ENI100" s="88"/>
      <c r="ENQ100" s="88"/>
      <c r="ENY100" s="88"/>
      <c r="EOG100" s="88"/>
      <c r="EOO100" s="88"/>
      <c r="EOW100" s="88"/>
      <c r="EPE100" s="88"/>
      <c r="EPM100" s="88"/>
      <c r="EPU100" s="88"/>
      <c r="EQC100" s="88"/>
      <c r="EQK100" s="88"/>
      <c r="EQS100" s="88"/>
      <c r="ERA100" s="88"/>
      <c r="ERI100" s="88"/>
      <c r="ERQ100" s="88"/>
      <c r="ERY100" s="88"/>
      <c r="ESG100" s="88"/>
      <c r="ESO100" s="88"/>
      <c r="ESW100" s="88"/>
      <c r="ETE100" s="88"/>
      <c r="ETM100" s="88"/>
      <c r="ETU100" s="88"/>
      <c r="EUC100" s="88"/>
      <c r="EUK100" s="88"/>
      <c r="EUS100" s="88"/>
      <c r="EVA100" s="88"/>
      <c r="EVI100" s="88"/>
      <c r="EVQ100" s="88"/>
      <c r="EVY100" s="88"/>
      <c r="EWG100" s="88"/>
      <c r="EWO100" s="88"/>
      <c r="EWW100" s="88"/>
      <c r="EXE100" s="88"/>
      <c r="EXM100" s="88"/>
      <c r="EXU100" s="88"/>
      <c r="EYC100" s="88"/>
      <c r="EYK100" s="88"/>
      <c r="EYS100" s="88"/>
      <c r="EZA100" s="88"/>
      <c r="EZI100" s="88"/>
      <c r="EZQ100" s="88"/>
      <c r="EZY100" s="88"/>
      <c r="FAG100" s="88"/>
      <c r="FAO100" s="88"/>
      <c r="FAW100" s="88"/>
      <c r="FBE100" s="88"/>
      <c r="FBM100" s="88"/>
      <c r="FBU100" s="88"/>
      <c r="FCC100" s="88"/>
      <c r="FCK100" s="88"/>
      <c r="FCS100" s="88"/>
      <c r="FDA100" s="88"/>
      <c r="FDI100" s="88"/>
      <c r="FDQ100" s="88"/>
      <c r="FDY100" s="88"/>
      <c r="FEG100" s="88"/>
      <c r="FEO100" s="88"/>
      <c r="FEW100" s="88"/>
      <c r="FFE100" s="88"/>
      <c r="FFM100" s="88"/>
      <c r="FFU100" s="88"/>
      <c r="FGC100" s="88"/>
      <c r="FGK100" s="88"/>
      <c r="FGS100" s="88"/>
      <c r="FHA100" s="88"/>
      <c r="FHI100" s="88"/>
      <c r="FHQ100" s="88"/>
      <c r="FHY100" s="88"/>
      <c r="FIG100" s="88"/>
      <c r="FIO100" s="88"/>
      <c r="FIW100" s="88"/>
      <c r="FJE100" s="88"/>
      <c r="FJM100" s="88"/>
      <c r="FJU100" s="88"/>
      <c r="FKC100" s="88"/>
      <c r="FKK100" s="88"/>
      <c r="FKS100" s="88"/>
      <c r="FLA100" s="88"/>
      <c r="FLI100" s="88"/>
      <c r="FLQ100" s="88"/>
      <c r="FLY100" s="88"/>
      <c r="FMG100" s="88"/>
      <c r="FMO100" s="88"/>
      <c r="FMW100" s="88"/>
      <c r="FNE100" s="88"/>
      <c r="FNM100" s="88"/>
      <c r="FNU100" s="88"/>
      <c r="FOC100" s="88"/>
      <c r="FOK100" s="88"/>
      <c r="FOS100" s="88"/>
      <c r="FPA100" s="88"/>
      <c r="FPI100" s="88"/>
      <c r="FPQ100" s="88"/>
      <c r="FPY100" s="88"/>
      <c r="FQG100" s="88"/>
      <c r="FQO100" s="88"/>
      <c r="FQW100" s="88"/>
      <c r="FRE100" s="88"/>
      <c r="FRM100" s="88"/>
      <c r="FRU100" s="88"/>
      <c r="FSC100" s="88"/>
      <c r="FSK100" s="88"/>
      <c r="FSS100" s="88"/>
      <c r="FTA100" s="88"/>
      <c r="FTI100" s="88"/>
      <c r="FTQ100" s="88"/>
      <c r="FTY100" s="88"/>
      <c r="FUG100" s="88"/>
      <c r="FUO100" s="88"/>
      <c r="FUW100" s="88"/>
      <c r="FVE100" s="88"/>
      <c r="FVM100" s="88"/>
      <c r="FVU100" s="88"/>
      <c r="FWC100" s="88"/>
      <c r="FWK100" s="88"/>
      <c r="FWS100" s="88"/>
      <c r="FXA100" s="88"/>
      <c r="FXI100" s="88"/>
      <c r="FXQ100" s="88"/>
      <c r="FXY100" s="88"/>
      <c r="FYG100" s="88"/>
      <c r="FYO100" s="88"/>
      <c r="FYW100" s="88"/>
      <c r="FZE100" s="88"/>
      <c r="FZM100" s="88"/>
      <c r="FZU100" s="88"/>
      <c r="GAC100" s="88"/>
      <c r="GAK100" s="88"/>
      <c r="GAS100" s="88"/>
      <c r="GBA100" s="88"/>
      <c r="GBI100" s="88"/>
      <c r="GBQ100" s="88"/>
      <c r="GBY100" s="88"/>
      <c r="GCG100" s="88"/>
      <c r="GCO100" s="88"/>
      <c r="GCW100" s="88"/>
      <c r="GDE100" s="88"/>
      <c r="GDM100" s="88"/>
      <c r="GDU100" s="88"/>
      <c r="GEC100" s="88"/>
      <c r="GEK100" s="88"/>
      <c r="GES100" s="88"/>
      <c r="GFA100" s="88"/>
      <c r="GFI100" s="88"/>
      <c r="GFQ100" s="88"/>
      <c r="GFY100" s="88"/>
      <c r="GGG100" s="88"/>
      <c r="GGO100" s="88"/>
      <c r="GGW100" s="88"/>
      <c r="GHE100" s="88"/>
      <c r="GHM100" s="88"/>
      <c r="GHU100" s="88"/>
      <c r="GIC100" s="88"/>
      <c r="GIK100" s="88"/>
      <c r="GIS100" s="88"/>
      <c r="GJA100" s="88"/>
      <c r="GJI100" s="88"/>
      <c r="GJQ100" s="88"/>
      <c r="GJY100" s="88"/>
      <c r="GKG100" s="88"/>
      <c r="GKO100" s="88"/>
      <c r="GKW100" s="88"/>
      <c r="GLE100" s="88"/>
      <c r="GLM100" s="88"/>
      <c r="GLU100" s="88"/>
      <c r="GMC100" s="88"/>
      <c r="GMK100" s="88"/>
      <c r="GMS100" s="88"/>
      <c r="GNA100" s="88"/>
      <c r="GNI100" s="88"/>
      <c r="GNQ100" s="88"/>
      <c r="GNY100" s="88"/>
      <c r="GOG100" s="88"/>
      <c r="GOO100" s="88"/>
      <c r="GOW100" s="88"/>
      <c r="GPE100" s="88"/>
      <c r="GPM100" s="88"/>
      <c r="GPU100" s="88"/>
      <c r="GQC100" s="88"/>
      <c r="GQK100" s="88"/>
      <c r="GQS100" s="88"/>
      <c r="GRA100" s="88"/>
      <c r="GRI100" s="88"/>
      <c r="GRQ100" s="88"/>
      <c r="GRY100" s="88"/>
      <c r="GSG100" s="88"/>
      <c r="GSO100" s="88"/>
      <c r="GSW100" s="88"/>
      <c r="GTE100" s="88"/>
      <c r="GTM100" s="88"/>
      <c r="GTU100" s="88"/>
      <c r="GUC100" s="88"/>
      <c r="GUK100" s="88"/>
      <c r="GUS100" s="88"/>
      <c r="GVA100" s="88"/>
      <c r="GVI100" s="88"/>
      <c r="GVQ100" s="88"/>
      <c r="GVY100" s="88"/>
      <c r="GWG100" s="88"/>
      <c r="GWO100" s="88"/>
      <c r="GWW100" s="88"/>
      <c r="GXE100" s="88"/>
      <c r="GXM100" s="88"/>
      <c r="GXU100" s="88"/>
      <c r="GYC100" s="88"/>
      <c r="GYK100" s="88"/>
      <c r="GYS100" s="88"/>
      <c r="GZA100" s="88"/>
      <c r="GZI100" s="88"/>
      <c r="GZQ100" s="88"/>
      <c r="GZY100" s="88"/>
      <c r="HAG100" s="88"/>
      <c r="HAO100" s="88"/>
      <c r="HAW100" s="88"/>
      <c r="HBE100" s="88"/>
      <c r="HBM100" s="88"/>
      <c r="HBU100" s="88"/>
      <c r="HCC100" s="88"/>
      <c r="HCK100" s="88"/>
      <c r="HCS100" s="88"/>
      <c r="HDA100" s="88"/>
      <c r="HDI100" s="88"/>
      <c r="HDQ100" s="88"/>
      <c r="HDY100" s="88"/>
      <c r="HEG100" s="88"/>
      <c r="HEO100" s="88"/>
      <c r="HEW100" s="88"/>
      <c r="HFE100" s="88"/>
      <c r="HFM100" s="88"/>
      <c r="HFU100" s="88"/>
      <c r="HGC100" s="88"/>
      <c r="HGK100" s="88"/>
      <c r="HGS100" s="88"/>
      <c r="HHA100" s="88"/>
      <c r="HHI100" s="88"/>
      <c r="HHQ100" s="88"/>
      <c r="HHY100" s="88"/>
      <c r="HIG100" s="88"/>
      <c r="HIO100" s="88"/>
      <c r="HIW100" s="88"/>
      <c r="HJE100" s="88"/>
      <c r="HJM100" s="88"/>
      <c r="HJU100" s="88"/>
      <c r="HKC100" s="88"/>
      <c r="HKK100" s="88"/>
      <c r="HKS100" s="88"/>
      <c r="HLA100" s="88"/>
      <c r="HLI100" s="88"/>
      <c r="HLQ100" s="88"/>
      <c r="HLY100" s="88"/>
      <c r="HMG100" s="88"/>
      <c r="HMO100" s="88"/>
      <c r="HMW100" s="88"/>
      <c r="HNE100" s="88"/>
      <c r="HNM100" s="88"/>
      <c r="HNU100" s="88"/>
      <c r="HOC100" s="88"/>
      <c r="HOK100" s="88"/>
      <c r="HOS100" s="88"/>
      <c r="HPA100" s="88"/>
      <c r="HPI100" s="88"/>
      <c r="HPQ100" s="88"/>
      <c r="HPY100" s="88"/>
      <c r="HQG100" s="88"/>
      <c r="HQO100" s="88"/>
      <c r="HQW100" s="88"/>
      <c r="HRE100" s="88"/>
      <c r="HRM100" s="88"/>
      <c r="HRU100" s="88"/>
      <c r="HSC100" s="88"/>
      <c r="HSK100" s="88"/>
      <c r="HSS100" s="88"/>
      <c r="HTA100" s="88"/>
      <c r="HTI100" s="88"/>
      <c r="HTQ100" s="88"/>
      <c r="HTY100" s="88"/>
      <c r="HUG100" s="88"/>
      <c r="HUO100" s="88"/>
      <c r="HUW100" s="88"/>
      <c r="HVE100" s="88"/>
      <c r="HVM100" s="88"/>
      <c r="HVU100" s="88"/>
      <c r="HWC100" s="88"/>
      <c r="HWK100" s="88"/>
      <c r="HWS100" s="88"/>
      <c r="HXA100" s="88"/>
      <c r="HXI100" s="88"/>
      <c r="HXQ100" s="88"/>
      <c r="HXY100" s="88"/>
      <c r="HYG100" s="88"/>
      <c r="HYO100" s="88"/>
      <c r="HYW100" s="88"/>
      <c r="HZE100" s="88"/>
      <c r="HZM100" s="88"/>
      <c r="HZU100" s="88"/>
      <c r="IAC100" s="88"/>
      <c r="IAK100" s="88"/>
      <c r="IAS100" s="88"/>
      <c r="IBA100" s="88"/>
      <c r="IBI100" s="88"/>
      <c r="IBQ100" s="88"/>
      <c r="IBY100" s="88"/>
      <c r="ICG100" s="88"/>
      <c r="ICO100" s="88"/>
      <c r="ICW100" s="88"/>
      <c r="IDE100" s="88"/>
      <c r="IDM100" s="88"/>
      <c r="IDU100" s="88"/>
      <c r="IEC100" s="88"/>
      <c r="IEK100" s="88"/>
      <c r="IES100" s="88"/>
      <c r="IFA100" s="88"/>
      <c r="IFI100" s="88"/>
      <c r="IFQ100" s="88"/>
      <c r="IFY100" s="88"/>
      <c r="IGG100" s="88"/>
      <c r="IGO100" s="88"/>
      <c r="IGW100" s="88"/>
      <c r="IHE100" s="88"/>
      <c r="IHM100" s="88"/>
      <c r="IHU100" s="88"/>
      <c r="IIC100" s="88"/>
      <c r="IIK100" s="88"/>
      <c r="IIS100" s="88"/>
      <c r="IJA100" s="88"/>
      <c r="IJI100" s="88"/>
      <c r="IJQ100" s="88"/>
      <c r="IJY100" s="88"/>
      <c r="IKG100" s="88"/>
      <c r="IKO100" s="88"/>
      <c r="IKW100" s="88"/>
      <c r="ILE100" s="88"/>
      <c r="ILM100" s="88"/>
      <c r="ILU100" s="88"/>
      <c r="IMC100" s="88"/>
      <c r="IMK100" s="88"/>
      <c r="IMS100" s="88"/>
      <c r="INA100" s="88"/>
      <c r="INI100" s="88"/>
      <c r="INQ100" s="88"/>
      <c r="INY100" s="88"/>
      <c r="IOG100" s="88"/>
      <c r="IOO100" s="88"/>
      <c r="IOW100" s="88"/>
      <c r="IPE100" s="88"/>
      <c r="IPM100" s="88"/>
      <c r="IPU100" s="88"/>
      <c r="IQC100" s="88"/>
      <c r="IQK100" s="88"/>
      <c r="IQS100" s="88"/>
      <c r="IRA100" s="88"/>
      <c r="IRI100" s="88"/>
      <c r="IRQ100" s="88"/>
      <c r="IRY100" s="88"/>
      <c r="ISG100" s="88"/>
      <c r="ISO100" s="88"/>
      <c r="ISW100" s="88"/>
      <c r="ITE100" s="88"/>
      <c r="ITM100" s="88"/>
      <c r="ITU100" s="88"/>
      <c r="IUC100" s="88"/>
      <c r="IUK100" s="88"/>
      <c r="IUS100" s="88"/>
      <c r="IVA100" s="88"/>
      <c r="IVI100" s="88"/>
      <c r="IVQ100" s="88"/>
      <c r="IVY100" s="88"/>
      <c r="IWG100" s="88"/>
      <c r="IWO100" s="88"/>
      <c r="IWW100" s="88"/>
      <c r="IXE100" s="88"/>
      <c r="IXM100" s="88"/>
      <c r="IXU100" s="88"/>
      <c r="IYC100" s="88"/>
      <c r="IYK100" s="88"/>
      <c r="IYS100" s="88"/>
      <c r="IZA100" s="88"/>
      <c r="IZI100" s="88"/>
      <c r="IZQ100" s="88"/>
      <c r="IZY100" s="88"/>
      <c r="JAG100" s="88"/>
      <c r="JAO100" s="88"/>
      <c r="JAW100" s="88"/>
      <c r="JBE100" s="88"/>
      <c r="JBM100" s="88"/>
      <c r="JBU100" s="88"/>
      <c r="JCC100" s="88"/>
      <c r="JCK100" s="88"/>
      <c r="JCS100" s="88"/>
      <c r="JDA100" s="88"/>
      <c r="JDI100" s="88"/>
      <c r="JDQ100" s="88"/>
      <c r="JDY100" s="88"/>
      <c r="JEG100" s="88"/>
      <c r="JEO100" s="88"/>
      <c r="JEW100" s="88"/>
      <c r="JFE100" s="88"/>
      <c r="JFM100" s="88"/>
      <c r="JFU100" s="88"/>
      <c r="JGC100" s="88"/>
      <c r="JGK100" s="88"/>
      <c r="JGS100" s="88"/>
      <c r="JHA100" s="88"/>
      <c r="JHI100" s="88"/>
      <c r="JHQ100" s="88"/>
      <c r="JHY100" s="88"/>
      <c r="JIG100" s="88"/>
      <c r="JIO100" s="88"/>
      <c r="JIW100" s="88"/>
      <c r="JJE100" s="88"/>
      <c r="JJM100" s="88"/>
      <c r="JJU100" s="88"/>
      <c r="JKC100" s="88"/>
      <c r="JKK100" s="88"/>
      <c r="JKS100" s="88"/>
      <c r="JLA100" s="88"/>
      <c r="JLI100" s="88"/>
      <c r="JLQ100" s="88"/>
      <c r="JLY100" s="88"/>
      <c r="JMG100" s="88"/>
      <c r="JMO100" s="88"/>
      <c r="JMW100" s="88"/>
      <c r="JNE100" s="88"/>
      <c r="JNM100" s="88"/>
      <c r="JNU100" s="88"/>
      <c r="JOC100" s="88"/>
      <c r="JOK100" s="88"/>
      <c r="JOS100" s="88"/>
      <c r="JPA100" s="88"/>
      <c r="JPI100" s="88"/>
      <c r="JPQ100" s="88"/>
      <c r="JPY100" s="88"/>
      <c r="JQG100" s="88"/>
      <c r="JQO100" s="88"/>
      <c r="JQW100" s="88"/>
      <c r="JRE100" s="88"/>
      <c r="JRM100" s="88"/>
      <c r="JRU100" s="88"/>
      <c r="JSC100" s="88"/>
      <c r="JSK100" s="88"/>
      <c r="JSS100" s="88"/>
      <c r="JTA100" s="88"/>
      <c r="JTI100" s="88"/>
      <c r="JTQ100" s="88"/>
      <c r="JTY100" s="88"/>
      <c r="JUG100" s="88"/>
      <c r="JUO100" s="88"/>
      <c r="JUW100" s="88"/>
      <c r="JVE100" s="88"/>
      <c r="JVM100" s="88"/>
      <c r="JVU100" s="88"/>
      <c r="JWC100" s="88"/>
      <c r="JWK100" s="88"/>
      <c r="JWS100" s="88"/>
      <c r="JXA100" s="88"/>
      <c r="JXI100" s="88"/>
      <c r="JXQ100" s="88"/>
      <c r="JXY100" s="88"/>
      <c r="JYG100" s="88"/>
      <c r="JYO100" s="88"/>
      <c r="JYW100" s="88"/>
      <c r="JZE100" s="88"/>
      <c r="JZM100" s="88"/>
      <c r="JZU100" s="88"/>
      <c r="KAC100" s="88"/>
      <c r="KAK100" s="88"/>
      <c r="KAS100" s="88"/>
      <c r="KBA100" s="88"/>
      <c r="KBI100" s="88"/>
      <c r="KBQ100" s="88"/>
      <c r="KBY100" s="88"/>
      <c r="KCG100" s="88"/>
      <c r="KCO100" s="88"/>
      <c r="KCW100" s="88"/>
      <c r="KDE100" s="88"/>
      <c r="KDM100" s="88"/>
      <c r="KDU100" s="88"/>
      <c r="KEC100" s="88"/>
      <c r="KEK100" s="88"/>
      <c r="KES100" s="88"/>
      <c r="KFA100" s="88"/>
      <c r="KFI100" s="88"/>
      <c r="KFQ100" s="88"/>
      <c r="KFY100" s="88"/>
      <c r="KGG100" s="88"/>
      <c r="KGO100" s="88"/>
      <c r="KGW100" s="88"/>
      <c r="KHE100" s="88"/>
      <c r="KHM100" s="88"/>
      <c r="KHU100" s="88"/>
      <c r="KIC100" s="88"/>
      <c r="KIK100" s="88"/>
      <c r="KIS100" s="88"/>
      <c r="KJA100" s="88"/>
      <c r="KJI100" s="88"/>
      <c r="KJQ100" s="88"/>
      <c r="KJY100" s="88"/>
      <c r="KKG100" s="88"/>
      <c r="KKO100" s="88"/>
      <c r="KKW100" s="88"/>
      <c r="KLE100" s="88"/>
      <c r="KLM100" s="88"/>
      <c r="KLU100" s="88"/>
      <c r="KMC100" s="88"/>
      <c r="KMK100" s="88"/>
      <c r="KMS100" s="88"/>
      <c r="KNA100" s="88"/>
      <c r="KNI100" s="88"/>
      <c r="KNQ100" s="88"/>
      <c r="KNY100" s="88"/>
      <c r="KOG100" s="88"/>
      <c r="KOO100" s="88"/>
      <c r="KOW100" s="88"/>
      <c r="KPE100" s="88"/>
      <c r="KPM100" s="88"/>
      <c r="KPU100" s="88"/>
      <c r="KQC100" s="88"/>
      <c r="KQK100" s="88"/>
      <c r="KQS100" s="88"/>
      <c r="KRA100" s="88"/>
      <c r="KRI100" s="88"/>
      <c r="KRQ100" s="88"/>
      <c r="KRY100" s="88"/>
      <c r="KSG100" s="88"/>
      <c r="KSO100" s="88"/>
      <c r="KSW100" s="88"/>
      <c r="KTE100" s="88"/>
      <c r="KTM100" s="88"/>
      <c r="KTU100" s="88"/>
      <c r="KUC100" s="88"/>
      <c r="KUK100" s="88"/>
      <c r="KUS100" s="88"/>
      <c r="KVA100" s="88"/>
      <c r="KVI100" s="88"/>
      <c r="KVQ100" s="88"/>
      <c r="KVY100" s="88"/>
      <c r="KWG100" s="88"/>
      <c r="KWO100" s="88"/>
      <c r="KWW100" s="88"/>
      <c r="KXE100" s="88"/>
      <c r="KXM100" s="88"/>
      <c r="KXU100" s="88"/>
      <c r="KYC100" s="88"/>
      <c r="KYK100" s="88"/>
      <c r="KYS100" s="88"/>
      <c r="KZA100" s="88"/>
      <c r="KZI100" s="88"/>
      <c r="KZQ100" s="88"/>
      <c r="KZY100" s="88"/>
      <c r="LAG100" s="88"/>
      <c r="LAO100" s="88"/>
      <c r="LAW100" s="88"/>
      <c r="LBE100" s="88"/>
      <c r="LBM100" s="88"/>
      <c r="LBU100" s="88"/>
      <c r="LCC100" s="88"/>
      <c r="LCK100" s="88"/>
      <c r="LCS100" s="88"/>
      <c r="LDA100" s="88"/>
      <c r="LDI100" s="88"/>
      <c r="LDQ100" s="88"/>
      <c r="LDY100" s="88"/>
      <c r="LEG100" s="88"/>
      <c r="LEO100" s="88"/>
      <c r="LEW100" s="88"/>
      <c r="LFE100" s="88"/>
      <c r="LFM100" s="88"/>
      <c r="LFU100" s="88"/>
      <c r="LGC100" s="88"/>
      <c r="LGK100" s="88"/>
      <c r="LGS100" s="88"/>
      <c r="LHA100" s="88"/>
      <c r="LHI100" s="88"/>
      <c r="LHQ100" s="88"/>
      <c r="LHY100" s="88"/>
      <c r="LIG100" s="88"/>
      <c r="LIO100" s="88"/>
      <c r="LIW100" s="88"/>
      <c r="LJE100" s="88"/>
      <c r="LJM100" s="88"/>
      <c r="LJU100" s="88"/>
      <c r="LKC100" s="88"/>
      <c r="LKK100" s="88"/>
      <c r="LKS100" s="88"/>
      <c r="LLA100" s="88"/>
      <c r="LLI100" s="88"/>
      <c r="LLQ100" s="88"/>
      <c r="LLY100" s="88"/>
      <c r="LMG100" s="88"/>
      <c r="LMO100" s="88"/>
      <c r="LMW100" s="88"/>
      <c r="LNE100" s="88"/>
      <c r="LNM100" s="88"/>
      <c r="LNU100" s="88"/>
      <c r="LOC100" s="88"/>
      <c r="LOK100" s="88"/>
      <c r="LOS100" s="88"/>
      <c r="LPA100" s="88"/>
      <c r="LPI100" s="88"/>
      <c r="LPQ100" s="88"/>
      <c r="LPY100" s="88"/>
      <c r="LQG100" s="88"/>
      <c r="LQO100" s="88"/>
      <c r="LQW100" s="88"/>
      <c r="LRE100" s="88"/>
      <c r="LRM100" s="88"/>
      <c r="LRU100" s="88"/>
      <c r="LSC100" s="88"/>
      <c r="LSK100" s="88"/>
      <c r="LSS100" s="88"/>
      <c r="LTA100" s="88"/>
      <c r="LTI100" s="88"/>
      <c r="LTQ100" s="88"/>
      <c r="LTY100" s="88"/>
      <c r="LUG100" s="88"/>
      <c r="LUO100" s="88"/>
      <c r="LUW100" s="88"/>
      <c r="LVE100" s="88"/>
      <c r="LVM100" s="88"/>
      <c r="LVU100" s="88"/>
      <c r="LWC100" s="88"/>
      <c r="LWK100" s="88"/>
      <c r="LWS100" s="88"/>
      <c r="LXA100" s="88"/>
      <c r="LXI100" s="88"/>
      <c r="LXQ100" s="88"/>
      <c r="LXY100" s="88"/>
      <c r="LYG100" s="88"/>
      <c r="LYO100" s="88"/>
      <c r="LYW100" s="88"/>
      <c r="LZE100" s="88"/>
      <c r="LZM100" s="88"/>
      <c r="LZU100" s="88"/>
      <c r="MAC100" s="88"/>
      <c r="MAK100" s="88"/>
      <c r="MAS100" s="88"/>
      <c r="MBA100" s="88"/>
      <c r="MBI100" s="88"/>
      <c r="MBQ100" s="88"/>
      <c r="MBY100" s="88"/>
      <c r="MCG100" s="88"/>
      <c r="MCO100" s="88"/>
      <c r="MCW100" s="88"/>
      <c r="MDE100" s="88"/>
      <c r="MDM100" s="88"/>
      <c r="MDU100" s="88"/>
      <c r="MEC100" s="88"/>
      <c r="MEK100" s="88"/>
      <c r="MES100" s="88"/>
      <c r="MFA100" s="88"/>
      <c r="MFI100" s="88"/>
      <c r="MFQ100" s="88"/>
      <c r="MFY100" s="88"/>
      <c r="MGG100" s="88"/>
      <c r="MGO100" s="88"/>
      <c r="MGW100" s="88"/>
      <c r="MHE100" s="88"/>
      <c r="MHM100" s="88"/>
      <c r="MHU100" s="88"/>
      <c r="MIC100" s="88"/>
      <c r="MIK100" s="88"/>
      <c r="MIS100" s="88"/>
      <c r="MJA100" s="88"/>
      <c r="MJI100" s="88"/>
      <c r="MJQ100" s="88"/>
      <c r="MJY100" s="88"/>
      <c r="MKG100" s="88"/>
      <c r="MKO100" s="88"/>
      <c r="MKW100" s="88"/>
      <c r="MLE100" s="88"/>
      <c r="MLM100" s="88"/>
      <c r="MLU100" s="88"/>
      <c r="MMC100" s="88"/>
      <c r="MMK100" s="88"/>
      <c r="MMS100" s="88"/>
      <c r="MNA100" s="88"/>
      <c r="MNI100" s="88"/>
      <c r="MNQ100" s="88"/>
      <c r="MNY100" s="88"/>
      <c r="MOG100" s="88"/>
      <c r="MOO100" s="88"/>
      <c r="MOW100" s="88"/>
      <c r="MPE100" s="88"/>
      <c r="MPM100" s="88"/>
      <c r="MPU100" s="88"/>
      <c r="MQC100" s="88"/>
      <c r="MQK100" s="88"/>
      <c r="MQS100" s="88"/>
      <c r="MRA100" s="88"/>
      <c r="MRI100" s="88"/>
      <c r="MRQ100" s="88"/>
      <c r="MRY100" s="88"/>
      <c r="MSG100" s="88"/>
      <c r="MSO100" s="88"/>
      <c r="MSW100" s="88"/>
      <c r="MTE100" s="88"/>
      <c r="MTM100" s="88"/>
      <c r="MTU100" s="88"/>
      <c r="MUC100" s="88"/>
      <c r="MUK100" s="88"/>
      <c r="MUS100" s="88"/>
      <c r="MVA100" s="88"/>
      <c r="MVI100" s="88"/>
      <c r="MVQ100" s="88"/>
      <c r="MVY100" s="88"/>
      <c r="MWG100" s="88"/>
      <c r="MWO100" s="88"/>
      <c r="MWW100" s="88"/>
      <c r="MXE100" s="88"/>
      <c r="MXM100" s="88"/>
      <c r="MXU100" s="88"/>
      <c r="MYC100" s="88"/>
      <c r="MYK100" s="88"/>
      <c r="MYS100" s="88"/>
      <c r="MZA100" s="88"/>
      <c r="MZI100" s="88"/>
      <c r="MZQ100" s="88"/>
      <c r="MZY100" s="88"/>
      <c r="NAG100" s="88"/>
      <c r="NAO100" s="88"/>
      <c r="NAW100" s="88"/>
      <c r="NBE100" s="88"/>
      <c r="NBM100" s="88"/>
      <c r="NBU100" s="88"/>
      <c r="NCC100" s="88"/>
      <c r="NCK100" s="88"/>
      <c r="NCS100" s="88"/>
      <c r="NDA100" s="88"/>
      <c r="NDI100" s="88"/>
      <c r="NDQ100" s="88"/>
      <c r="NDY100" s="88"/>
      <c r="NEG100" s="88"/>
      <c r="NEO100" s="88"/>
      <c r="NEW100" s="88"/>
      <c r="NFE100" s="88"/>
      <c r="NFM100" s="88"/>
      <c r="NFU100" s="88"/>
      <c r="NGC100" s="88"/>
      <c r="NGK100" s="88"/>
      <c r="NGS100" s="88"/>
      <c r="NHA100" s="88"/>
      <c r="NHI100" s="88"/>
      <c r="NHQ100" s="88"/>
      <c r="NHY100" s="88"/>
      <c r="NIG100" s="88"/>
      <c r="NIO100" s="88"/>
      <c r="NIW100" s="88"/>
      <c r="NJE100" s="88"/>
      <c r="NJM100" s="88"/>
      <c r="NJU100" s="88"/>
      <c r="NKC100" s="88"/>
      <c r="NKK100" s="88"/>
      <c r="NKS100" s="88"/>
      <c r="NLA100" s="88"/>
      <c r="NLI100" s="88"/>
      <c r="NLQ100" s="88"/>
      <c r="NLY100" s="88"/>
      <c r="NMG100" s="88"/>
      <c r="NMO100" s="88"/>
      <c r="NMW100" s="88"/>
      <c r="NNE100" s="88"/>
      <c r="NNM100" s="88"/>
      <c r="NNU100" s="88"/>
      <c r="NOC100" s="88"/>
      <c r="NOK100" s="88"/>
      <c r="NOS100" s="88"/>
      <c r="NPA100" s="88"/>
      <c r="NPI100" s="88"/>
      <c r="NPQ100" s="88"/>
      <c r="NPY100" s="88"/>
      <c r="NQG100" s="88"/>
      <c r="NQO100" s="88"/>
      <c r="NQW100" s="88"/>
      <c r="NRE100" s="88"/>
      <c r="NRM100" s="88"/>
      <c r="NRU100" s="88"/>
      <c r="NSC100" s="88"/>
      <c r="NSK100" s="88"/>
      <c r="NSS100" s="88"/>
      <c r="NTA100" s="88"/>
      <c r="NTI100" s="88"/>
      <c r="NTQ100" s="88"/>
      <c r="NTY100" s="88"/>
      <c r="NUG100" s="88"/>
      <c r="NUO100" s="88"/>
      <c r="NUW100" s="88"/>
      <c r="NVE100" s="88"/>
      <c r="NVM100" s="88"/>
      <c r="NVU100" s="88"/>
      <c r="NWC100" s="88"/>
      <c r="NWK100" s="88"/>
      <c r="NWS100" s="88"/>
      <c r="NXA100" s="88"/>
      <c r="NXI100" s="88"/>
      <c r="NXQ100" s="88"/>
      <c r="NXY100" s="88"/>
      <c r="NYG100" s="88"/>
      <c r="NYO100" s="88"/>
      <c r="NYW100" s="88"/>
      <c r="NZE100" s="88"/>
      <c r="NZM100" s="88"/>
      <c r="NZU100" s="88"/>
      <c r="OAC100" s="88"/>
      <c r="OAK100" s="88"/>
      <c r="OAS100" s="88"/>
      <c r="OBA100" s="88"/>
      <c r="OBI100" s="88"/>
      <c r="OBQ100" s="88"/>
      <c r="OBY100" s="88"/>
      <c r="OCG100" s="88"/>
      <c r="OCO100" s="88"/>
      <c r="OCW100" s="88"/>
      <c r="ODE100" s="88"/>
      <c r="ODM100" s="88"/>
      <c r="ODU100" s="88"/>
      <c r="OEC100" s="88"/>
      <c r="OEK100" s="88"/>
      <c r="OES100" s="88"/>
      <c r="OFA100" s="88"/>
      <c r="OFI100" s="88"/>
      <c r="OFQ100" s="88"/>
      <c r="OFY100" s="88"/>
      <c r="OGG100" s="88"/>
      <c r="OGO100" s="88"/>
      <c r="OGW100" s="88"/>
      <c r="OHE100" s="88"/>
      <c r="OHM100" s="88"/>
      <c r="OHU100" s="88"/>
      <c r="OIC100" s="88"/>
      <c r="OIK100" s="88"/>
      <c r="OIS100" s="88"/>
      <c r="OJA100" s="88"/>
      <c r="OJI100" s="88"/>
      <c r="OJQ100" s="88"/>
      <c r="OJY100" s="88"/>
      <c r="OKG100" s="88"/>
      <c r="OKO100" s="88"/>
      <c r="OKW100" s="88"/>
      <c r="OLE100" s="88"/>
      <c r="OLM100" s="88"/>
      <c r="OLU100" s="88"/>
      <c r="OMC100" s="88"/>
      <c r="OMK100" s="88"/>
      <c r="OMS100" s="88"/>
      <c r="ONA100" s="88"/>
      <c r="ONI100" s="88"/>
      <c r="ONQ100" s="88"/>
      <c r="ONY100" s="88"/>
      <c r="OOG100" s="88"/>
      <c r="OOO100" s="88"/>
      <c r="OOW100" s="88"/>
      <c r="OPE100" s="88"/>
      <c r="OPM100" s="88"/>
      <c r="OPU100" s="88"/>
      <c r="OQC100" s="88"/>
      <c r="OQK100" s="88"/>
      <c r="OQS100" s="88"/>
      <c r="ORA100" s="88"/>
      <c r="ORI100" s="88"/>
      <c r="ORQ100" s="88"/>
      <c r="ORY100" s="88"/>
      <c r="OSG100" s="88"/>
      <c r="OSO100" s="88"/>
      <c r="OSW100" s="88"/>
      <c r="OTE100" s="88"/>
      <c r="OTM100" s="88"/>
      <c r="OTU100" s="88"/>
      <c r="OUC100" s="88"/>
      <c r="OUK100" s="88"/>
      <c r="OUS100" s="88"/>
      <c r="OVA100" s="88"/>
      <c r="OVI100" s="88"/>
      <c r="OVQ100" s="88"/>
      <c r="OVY100" s="88"/>
      <c r="OWG100" s="88"/>
      <c r="OWO100" s="88"/>
      <c r="OWW100" s="88"/>
      <c r="OXE100" s="88"/>
      <c r="OXM100" s="88"/>
      <c r="OXU100" s="88"/>
      <c r="OYC100" s="88"/>
      <c r="OYK100" s="88"/>
      <c r="OYS100" s="88"/>
      <c r="OZA100" s="88"/>
      <c r="OZI100" s="88"/>
      <c r="OZQ100" s="88"/>
      <c r="OZY100" s="88"/>
      <c r="PAG100" s="88"/>
      <c r="PAO100" s="88"/>
      <c r="PAW100" s="88"/>
      <c r="PBE100" s="88"/>
      <c r="PBM100" s="88"/>
      <c r="PBU100" s="88"/>
      <c r="PCC100" s="88"/>
      <c r="PCK100" s="88"/>
      <c r="PCS100" s="88"/>
      <c r="PDA100" s="88"/>
      <c r="PDI100" s="88"/>
      <c r="PDQ100" s="88"/>
      <c r="PDY100" s="88"/>
      <c r="PEG100" s="88"/>
      <c r="PEO100" s="88"/>
      <c r="PEW100" s="88"/>
      <c r="PFE100" s="88"/>
      <c r="PFM100" s="88"/>
      <c r="PFU100" s="88"/>
      <c r="PGC100" s="88"/>
      <c r="PGK100" s="88"/>
      <c r="PGS100" s="88"/>
      <c r="PHA100" s="88"/>
      <c r="PHI100" s="88"/>
      <c r="PHQ100" s="88"/>
      <c r="PHY100" s="88"/>
      <c r="PIG100" s="88"/>
      <c r="PIO100" s="88"/>
      <c r="PIW100" s="88"/>
      <c r="PJE100" s="88"/>
      <c r="PJM100" s="88"/>
      <c r="PJU100" s="88"/>
      <c r="PKC100" s="88"/>
      <c r="PKK100" s="88"/>
      <c r="PKS100" s="88"/>
      <c r="PLA100" s="88"/>
      <c r="PLI100" s="88"/>
      <c r="PLQ100" s="88"/>
      <c r="PLY100" s="88"/>
      <c r="PMG100" s="88"/>
      <c r="PMO100" s="88"/>
      <c r="PMW100" s="88"/>
      <c r="PNE100" s="88"/>
      <c r="PNM100" s="88"/>
      <c r="PNU100" s="88"/>
      <c r="POC100" s="88"/>
      <c r="POK100" s="88"/>
      <c r="POS100" s="88"/>
      <c r="PPA100" s="88"/>
      <c r="PPI100" s="88"/>
      <c r="PPQ100" s="88"/>
      <c r="PPY100" s="88"/>
      <c r="PQG100" s="88"/>
      <c r="PQO100" s="88"/>
      <c r="PQW100" s="88"/>
      <c r="PRE100" s="88"/>
      <c r="PRM100" s="88"/>
      <c r="PRU100" s="88"/>
      <c r="PSC100" s="88"/>
      <c r="PSK100" s="88"/>
      <c r="PSS100" s="88"/>
      <c r="PTA100" s="88"/>
      <c r="PTI100" s="88"/>
      <c r="PTQ100" s="88"/>
      <c r="PTY100" s="88"/>
      <c r="PUG100" s="88"/>
      <c r="PUO100" s="88"/>
      <c r="PUW100" s="88"/>
      <c r="PVE100" s="88"/>
      <c r="PVM100" s="88"/>
      <c r="PVU100" s="88"/>
      <c r="PWC100" s="88"/>
      <c r="PWK100" s="88"/>
      <c r="PWS100" s="88"/>
      <c r="PXA100" s="88"/>
      <c r="PXI100" s="88"/>
      <c r="PXQ100" s="88"/>
      <c r="PXY100" s="88"/>
      <c r="PYG100" s="88"/>
      <c r="PYO100" s="88"/>
      <c r="PYW100" s="88"/>
      <c r="PZE100" s="88"/>
      <c r="PZM100" s="88"/>
      <c r="PZU100" s="88"/>
      <c r="QAC100" s="88"/>
      <c r="QAK100" s="88"/>
      <c r="QAS100" s="88"/>
      <c r="QBA100" s="88"/>
      <c r="QBI100" s="88"/>
      <c r="QBQ100" s="88"/>
      <c r="QBY100" s="88"/>
      <c r="QCG100" s="88"/>
      <c r="QCO100" s="88"/>
      <c r="QCW100" s="88"/>
      <c r="QDE100" s="88"/>
      <c r="QDM100" s="88"/>
      <c r="QDU100" s="88"/>
      <c r="QEC100" s="88"/>
      <c r="QEK100" s="88"/>
      <c r="QES100" s="88"/>
      <c r="QFA100" s="88"/>
      <c r="QFI100" s="88"/>
      <c r="QFQ100" s="88"/>
      <c r="QFY100" s="88"/>
      <c r="QGG100" s="88"/>
      <c r="QGO100" s="88"/>
      <c r="QGW100" s="88"/>
      <c r="QHE100" s="88"/>
      <c r="QHM100" s="88"/>
      <c r="QHU100" s="88"/>
      <c r="QIC100" s="88"/>
      <c r="QIK100" s="88"/>
      <c r="QIS100" s="88"/>
      <c r="QJA100" s="88"/>
      <c r="QJI100" s="88"/>
      <c r="QJQ100" s="88"/>
      <c r="QJY100" s="88"/>
      <c r="QKG100" s="88"/>
      <c r="QKO100" s="88"/>
      <c r="QKW100" s="88"/>
      <c r="QLE100" s="88"/>
      <c r="QLM100" s="88"/>
      <c r="QLU100" s="88"/>
      <c r="QMC100" s="88"/>
      <c r="QMK100" s="88"/>
      <c r="QMS100" s="88"/>
      <c r="QNA100" s="88"/>
      <c r="QNI100" s="88"/>
      <c r="QNQ100" s="88"/>
      <c r="QNY100" s="88"/>
      <c r="QOG100" s="88"/>
      <c r="QOO100" s="88"/>
      <c r="QOW100" s="88"/>
      <c r="QPE100" s="88"/>
      <c r="QPM100" s="88"/>
      <c r="QPU100" s="88"/>
      <c r="QQC100" s="88"/>
      <c r="QQK100" s="88"/>
      <c r="QQS100" s="88"/>
      <c r="QRA100" s="88"/>
      <c r="QRI100" s="88"/>
      <c r="QRQ100" s="88"/>
      <c r="QRY100" s="88"/>
      <c r="QSG100" s="88"/>
      <c r="QSO100" s="88"/>
      <c r="QSW100" s="88"/>
      <c r="QTE100" s="88"/>
      <c r="QTM100" s="88"/>
      <c r="QTU100" s="88"/>
      <c r="QUC100" s="88"/>
      <c r="QUK100" s="88"/>
      <c r="QUS100" s="88"/>
      <c r="QVA100" s="88"/>
      <c r="QVI100" s="88"/>
      <c r="QVQ100" s="88"/>
      <c r="QVY100" s="88"/>
      <c r="QWG100" s="88"/>
      <c r="QWO100" s="88"/>
      <c r="QWW100" s="88"/>
      <c r="QXE100" s="88"/>
      <c r="QXM100" s="88"/>
      <c r="QXU100" s="88"/>
      <c r="QYC100" s="88"/>
      <c r="QYK100" s="88"/>
      <c r="QYS100" s="88"/>
      <c r="QZA100" s="88"/>
      <c r="QZI100" s="88"/>
      <c r="QZQ100" s="88"/>
      <c r="QZY100" s="88"/>
      <c r="RAG100" s="88"/>
      <c r="RAO100" s="88"/>
      <c r="RAW100" s="88"/>
      <c r="RBE100" s="88"/>
      <c r="RBM100" s="88"/>
      <c r="RBU100" s="88"/>
      <c r="RCC100" s="88"/>
      <c r="RCK100" s="88"/>
      <c r="RCS100" s="88"/>
      <c r="RDA100" s="88"/>
      <c r="RDI100" s="88"/>
      <c r="RDQ100" s="88"/>
      <c r="RDY100" s="88"/>
      <c r="REG100" s="88"/>
      <c r="REO100" s="88"/>
      <c r="REW100" s="88"/>
      <c r="RFE100" s="88"/>
      <c r="RFM100" s="88"/>
      <c r="RFU100" s="88"/>
      <c r="RGC100" s="88"/>
      <c r="RGK100" s="88"/>
      <c r="RGS100" s="88"/>
      <c r="RHA100" s="88"/>
      <c r="RHI100" s="88"/>
      <c r="RHQ100" s="88"/>
      <c r="RHY100" s="88"/>
      <c r="RIG100" s="88"/>
      <c r="RIO100" s="88"/>
      <c r="RIW100" s="88"/>
      <c r="RJE100" s="88"/>
      <c r="RJM100" s="88"/>
      <c r="RJU100" s="88"/>
      <c r="RKC100" s="88"/>
      <c r="RKK100" s="88"/>
      <c r="RKS100" s="88"/>
      <c r="RLA100" s="88"/>
      <c r="RLI100" s="88"/>
      <c r="RLQ100" s="88"/>
      <c r="RLY100" s="88"/>
      <c r="RMG100" s="88"/>
      <c r="RMO100" s="88"/>
      <c r="RMW100" s="88"/>
      <c r="RNE100" s="88"/>
      <c r="RNM100" s="88"/>
      <c r="RNU100" s="88"/>
      <c r="ROC100" s="88"/>
      <c r="ROK100" s="88"/>
      <c r="ROS100" s="88"/>
      <c r="RPA100" s="88"/>
      <c r="RPI100" s="88"/>
      <c r="RPQ100" s="88"/>
      <c r="RPY100" s="88"/>
      <c r="RQG100" s="88"/>
      <c r="RQO100" s="88"/>
      <c r="RQW100" s="88"/>
      <c r="RRE100" s="88"/>
      <c r="RRM100" s="88"/>
      <c r="RRU100" s="88"/>
      <c r="RSC100" s="88"/>
      <c r="RSK100" s="88"/>
      <c r="RSS100" s="88"/>
      <c r="RTA100" s="88"/>
      <c r="RTI100" s="88"/>
      <c r="RTQ100" s="88"/>
      <c r="RTY100" s="88"/>
      <c r="RUG100" s="88"/>
      <c r="RUO100" s="88"/>
      <c r="RUW100" s="88"/>
      <c r="RVE100" s="88"/>
      <c r="RVM100" s="88"/>
      <c r="RVU100" s="88"/>
      <c r="RWC100" s="88"/>
      <c r="RWK100" s="88"/>
      <c r="RWS100" s="88"/>
      <c r="RXA100" s="88"/>
      <c r="RXI100" s="88"/>
      <c r="RXQ100" s="88"/>
      <c r="RXY100" s="88"/>
      <c r="RYG100" s="88"/>
      <c r="RYO100" s="88"/>
      <c r="RYW100" s="88"/>
      <c r="RZE100" s="88"/>
      <c r="RZM100" s="88"/>
      <c r="RZU100" s="88"/>
      <c r="SAC100" s="88"/>
      <c r="SAK100" s="88"/>
      <c r="SAS100" s="88"/>
      <c r="SBA100" s="88"/>
      <c r="SBI100" s="88"/>
      <c r="SBQ100" s="88"/>
      <c r="SBY100" s="88"/>
      <c r="SCG100" s="88"/>
      <c r="SCO100" s="88"/>
      <c r="SCW100" s="88"/>
      <c r="SDE100" s="88"/>
      <c r="SDM100" s="88"/>
      <c r="SDU100" s="88"/>
      <c r="SEC100" s="88"/>
      <c r="SEK100" s="88"/>
      <c r="SES100" s="88"/>
      <c r="SFA100" s="88"/>
      <c r="SFI100" s="88"/>
      <c r="SFQ100" s="88"/>
      <c r="SFY100" s="88"/>
      <c r="SGG100" s="88"/>
      <c r="SGO100" s="88"/>
      <c r="SGW100" s="88"/>
      <c r="SHE100" s="88"/>
      <c r="SHM100" s="88"/>
      <c r="SHU100" s="88"/>
      <c r="SIC100" s="88"/>
      <c r="SIK100" s="88"/>
      <c r="SIS100" s="88"/>
      <c r="SJA100" s="88"/>
      <c r="SJI100" s="88"/>
      <c r="SJQ100" s="88"/>
      <c r="SJY100" s="88"/>
      <c r="SKG100" s="88"/>
      <c r="SKO100" s="88"/>
      <c r="SKW100" s="88"/>
      <c r="SLE100" s="88"/>
      <c r="SLM100" s="88"/>
      <c r="SLU100" s="88"/>
      <c r="SMC100" s="88"/>
      <c r="SMK100" s="88"/>
      <c r="SMS100" s="88"/>
      <c r="SNA100" s="88"/>
      <c r="SNI100" s="88"/>
      <c r="SNQ100" s="88"/>
      <c r="SNY100" s="88"/>
      <c r="SOG100" s="88"/>
      <c r="SOO100" s="88"/>
      <c r="SOW100" s="88"/>
      <c r="SPE100" s="88"/>
      <c r="SPM100" s="88"/>
      <c r="SPU100" s="88"/>
      <c r="SQC100" s="88"/>
      <c r="SQK100" s="88"/>
      <c r="SQS100" s="88"/>
      <c r="SRA100" s="88"/>
      <c r="SRI100" s="88"/>
      <c r="SRQ100" s="88"/>
      <c r="SRY100" s="88"/>
      <c r="SSG100" s="88"/>
      <c r="SSO100" s="88"/>
      <c r="SSW100" s="88"/>
      <c r="STE100" s="88"/>
      <c r="STM100" s="88"/>
      <c r="STU100" s="88"/>
      <c r="SUC100" s="88"/>
      <c r="SUK100" s="88"/>
      <c r="SUS100" s="88"/>
      <c r="SVA100" s="88"/>
      <c r="SVI100" s="88"/>
      <c r="SVQ100" s="88"/>
      <c r="SVY100" s="88"/>
      <c r="SWG100" s="88"/>
      <c r="SWO100" s="88"/>
      <c r="SWW100" s="88"/>
      <c r="SXE100" s="88"/>
      <c r="SXM100" s="88"/>
      <c r="SXU100" s="88"/>
      <c r="SYC100" s="88"/>
      <c r="SYK100" s="88"/>
      <c r="SYS100" s="88"/>
      <c r="SZA100" s="88"/>
      <c r="SZI100" s="88"/>
      <c r="SZQ100" s="88"/>
      <c r="SZY100" s="88"/>
      <c r="TAG100" s="88"/>
      <c r="TAO100" s="88"/>
      <c r="TAW100" s="88"/>
      <c r="TBE100" s="88"/>
      <c r="TBM100" s="88"/>
      <c r="TBU100" s="88"/>
      <c r="TCC100" s="88"/>
      <c r="TCK100" s="88"/>
      <c r="TCS100" s="88"/>
      <c r="TDA100" s="88"/>
      <c r="TDI100" s="88"/>
      <c r="TDQ100" s="88"/>
      <c r="TDY100" s="88"/>
      <c r="TEG100" s="88"/>
      <c r="TEO100" s="88"/>
      <c r="TEW100" s="88"/>
      <c r="TFE100" s="88"/>
      <c r="TFM100" s="88"/>
      <c r="TFU100" s="88"/>
      <c r="TGC100" s="88"/>
      <c r="TGK100" s="88"/>
      <c r="TGS100" s="88"/>
      <c r="THA100" s="88"/>
      <c r="THI100" s="88"/>
      <c r="THQ100" s="88"/>
      <c r="THY100" s="88"/>
      <c r="TIG100" s="88"/>
      <c r="TIO100" s="88"/>
      <c r="TIW100" s="88"/>
      <c r="TJE100" s="88"/>
      <c r="TJM100" s="88"/>
      <c r="TJU100" s="88"/>
      <c r="TKC100" s="88"/>
      <c r="TKK100" s="88"/>
      <c r="TKS100" s="88"/>
      <c r="TLA100" s="88"/>
      <c r="TLI100" s="88"/>
      <c r="TLQ100" s="88"/>
      <c r="TLY100" s="88"/>
      <c r="TMG100" s="88"/>
      <c r="TMO100" s="88"/>
      <c r="TMW100" s="88"/>
      <c r="TNE100" s="88"/>
      <c r="TNM100" s="88"/>
      <c r="TNU100" s="88"/>
      <c r="TOC100" s="88"/>
      <c r="TOK100" s="88"/>
      <c r="TOS100" s="88"/>
      <c r="TPA100" s="88"/>
      <c r="TPI100" s="88"/>
      <c r="TPQ100" s="88"/>
      <c r="TPY100" s="88"/>
      <c r="TQG100" s="88"/>
      <c r="TQO100" s="88"/>
      <c r="TQW100" s="88"/>
      <c r="TRE100" s="88"/>
      <c r="TRM100" s="88"/>
      <c r="TRU100" s="88"/>
      <c r="TSC100" s="88"/>
      <c r="TSK100" s="88"/>
      <c r="TSS100" s="88"/>
      <c r="TTA100" s="88"/>
      <c r="TTI100" s="88"/>
      <c r="TTQ100" s="88"/>
      <c r="TTY100" s="88"/>
      <c r="TUG100" s="88"/>
      <c r="TUO100" s="88"/>
      <c r="TUW100" s="88"/>
      <c r="TVE100" s="88"/>
      <c r="TVM100" s="88"/>
      <c r="TVU100" s="88"/>
      <c r="TWC100" s="88"/>
      <c r="TWK100" s="88"/>
      <c r="TWS100" s="88"/>
      <c r="TXA100" s="88"/>
      <c r="TXI100" s="88"/>
      <c r="TXQ100" s="88"/>
      <c r="TXY100" s="88"/>
      <c r="TYG100" s="88"/>
      <c r="TYO100" s="88"/>
      <c r="TYW100" s="88"/>
      <c r="TZE100" s="88"/>
      <c r="TZM100" s="88"/>
      <c r="TZU100" s="88"/>
      <c r="UAC100" s="88"/>
      <c r="UAK100" s="88"/>
      <c r="UAS100" s="88"/>
      <c r="UBA100" s="88"/>
      <c r="UBI100" s="88"/>
      <c r="UBQ100" s="88"/>
      <c r="UBY100" s="88"/>
      <c r="UCG100" s="88"/>
      <c r="UCO100" s="88"/>
      <c r="UCW100" s="88"/>
      <c r="UDE100" s="88"/>
      <c r="UDM100" s="88"/>
      <c r="UDU100" s="88"/>
      <c r="UEC100" s="88"/>
      <c r="UEK100" s="88"/>
      <c r="UES100" s="88"/>
      <c r="UFA100" s="88"/>
      <c r="UFI100" s="88"/>
      <c r="UFQ100" s="88"/>
      <c r="UFY100" s="88"/>
      <c r="UGG100" s="88"/>
      <c r="UGO100" s="88"/>
      <c r="UGW100" s="88"/>
      <c r="UHE100" s="88"/>
      <c r="UHM100" s="88"/>
      <c r="UHU100" s="88"/>
      <c r="UIC100" s="88"/>
      <c r="UIK100" s="88"/>
      <c r="UIS100" s="88"/>
      <c r="UJA100" s="88"/>
      <c r="UJI100" s="88"/>
      <c r="UJQ100" s="88"/>
      <c r="UJY100" s="88"/>
      <c r="UKG100" s="88"/>
      <c r="UKO100" s="88"/>
      <c r="UKW100" s="88"/>
      <c r="ULE100" s="88"/>
      <c r="ULM100" s="88"/>
      <c r="ULU100" s="88"/>
      <c r="UMC100" s="88"/>
      <c r="UMK100" s="88"/>
      <c r="UMS100" s="88"/>
      <c r="UNA100" s="88"/>
      <c r="UNI100" s="88"/>
      <c r="UNQ100" s="88"/>
      <c r="UNY100" s="88"/>
      <c r="UOG100" s="88"/>
      <c r="UOO100" s="88"/>
      <c r="UOW100" s="88"/>
      <c r="UPE100" s="88"/>
      <c r="UPM100" s="88"/>
      <c r="UPU100" s="88"/>
      <c r="UQC100" s="88"/>
      <c r="UQK100" s="88"/>
      <c r="UQS100" s="88"/>
      <c r="URA100" s="88"/>
      <c r="URI100" s="88"/>
      <c r="URQ100" s="88"/>
      <c r="URY100" s="88"/>
      <c r="USG100" s="88"/>
      <c r="USO100" s="88"/>
      <c r="USW100" s="88"/>
      <c r="UTE100" s="88"/>
      <c r="UTM100" s="88"/>
      <c r="UTU100" s="88"/>
      <c r="UUC100" s="88"/>
      <c r="UUK100" s="88"/>
      <c r="UUS100" s="88"/>
      <c r="UVA100" s="88"/>
      <c r="UVI100" s="88"/>
      <c r="UVQ100" s="88"/>
      <c r="UVY100" s="88"/>
      <c r="UWG100" s="88"/>
      <c r="UWO100" s="88"/>
      <c r="UWW100" s="88"/>
      <c r="UXE100" s="88"/>
      <c r="UXM100" s="88"/>
      <c r="UXU100" s="88"/>
      <c r="UYC100" s="88"/>
      <c r="UYK100" s="88"/>
      <c r="UYS100" s="88"/>
      <c r="UZA100" s="88"/>
      <c r="UZI100" s="88"/>
      <c r="UZQ100" s="88"/>
      <c r="UZY100" s="88"/>
      <c r="VAG100" s="88"/>
      <c r="VAO100" s="88"/>
      <c r="VAW100" s="88"/>
      <c r="VBE100" s="88"/>
      <c r="VBM100" s="88"/>
      <c r="VBU100" s="88"/>
      <c r="VCC100" s="88"/>
      <c r="VCK100" s="88"/>
      <c r="VCS100" s="88"/>
      <c r="VDA100" s="88"/>
      <c r="VDI100" s="88"/>
      <c r="VDQ100" s="88"/>
      <c r="VDY100" s="88"/>
      <c r="VEG100" s="88"/>
      <c r="VEO100" s="88"/>
      <c r="VEW100" s="88"/>
      <c r="VFE100" s="88"/>
      <c r="VFM100" s="88"/>
      <c r="VFU100" s="88"/>
      <c r="VGC100" s="88"/>
      <c r="VGK100" s="88"/>
      <c r="VGS100" s="88"/>
      <c r="VHA100" s="88"/>
      <c r="VHI100" s="88"/>
      <c r="VHQ100" s="88"/>
      <c r="VHY100" s="88"/>
      <c r="VIG100" s="88"/>
      <c r="VIO100" s="88"/>
      <c r="VIW100" s="88"/>
      <c r="VJE100" s="88"/>
      <c r="VJM100" s="88"/>
      <c r="VJU100" s="88"/>
      <c r="VKC100" s="88"/>
      <c r="VKK100" s="88"/>
      <c r="VKS100" s="88"/>
      <c r="VLA100" s="88"/>
      <c r="VLI100" s="88"/>
      <c r="VLQ100" s="88"/>
      <c r="VLY100" s="88"/>
      <c r="VMG100" s="88"/>
      <c r="VMO100" s="88"/>
      <c r="VMW100" s="88"/>
      <c r="VNE100" s="88"/>
      <c r="VNM100" s="88"/>
      <c r="VNU100" s="88"/>
      <c r="VOC100" s="88"/>
      <c r="VOK100" s="88"/>
      <c r="VOS100" s="88"/>
      <c r="VPA100" s="88"/>
      <c r="VPI100" s="88"/>
      <c r="VPQ100" s="88"/>
      <c r="VPY100" s="88"/>
      <c r="VQG100" s="88"/>
      <c r="VQO100" s="88"/>
      <c r="VQW100" s="88"/>
      <c r="VRE100" s="88"/>
      <c r="VRM100" s="88"/>
      <c r="VRU100" s="88"/>
      <c r="VSC100" s="88"/>
      <c r="VSK100" s="88"/>
      <c r="VSS100" s="88"/>
      <c r="VTA100" s="88"/>
      <c r="VTI100" s="88"/>
      <c r="VTQ100" s="88"/>
      <c r="VTY100" s="88"/>
      <c r="VUG100" s="88"/>
      <c r="VUO100" s="88"/>
      <c r="VUW100" s="88"/>
      <c r="VVE100" s="88"/>
      <c r="VVM100" s="88"/>
      <c r="VVU100" s="88"/>
      <c r="VWC100" s="88"/>
      <c r="VWK100" s="88"/>
      <c r="VWS100" s="88"/>
      <c r="VXA100" s="88"/>
      <c r="VXI100" s="88"/>
      <c r="VXQ100" s="88"/>
      <c r="VXY100" s="88"/>
      <c r="VYG100" s="88"/>
      <c r="VYO100" s="88"/>
      <c r="VYW100" s="88"/>
      <c r="VZE100" s="88"/>
      <c r="VZM100" s="88"/>
      <c r="VZU100" s="88"/>
      <c r="WAC100" s="88"/>
      <c r="WAK100" s="88"/>
      <c r="WAS100" s="88"/>
      <c r="WBA100" s="88"/>
      <c r="WBI100" s="88"/>
      <c r="WBQ100" s="88"/>
      <c r="WBY100" s="88"/>
      <c r="WCG100" s="88"/>
      <c r="WCO100" s="88"/>
      <c r="WCW100" s="88"/>
      <c r="WDE100" s="88"/>
      <c r="WDM100" s="88"/>
      <c r="WDU100" s="88"/>
      <c r="WEC100" s="88"/>
      <c r="WEK100" s="88"/>
      <c r="WES100" s="88"/>
      <c r="WFA100" s="88"/>
      <c r="WFI100" s="88"/>
      <c r="WFQ100" s="88"/>
      <c r="WFY100" s="88"/>
      <c r="WGG100" s="88"/>
      <c r="WGO100" s="88"/>
      <c r="WGW100" s="88"/>
      <c r="WHE100" s="88"/>
      <c r="WHM100" s="88"/>
      <c r="WHU100" s="88"/>
      <c r="WIC100" s="88"/>
      <c r="WIK100" s="88"/>
      <c r="WIS100" s="88"/>
      <c r="WJA100" s="88"/>
      <c r="WJI100" s="88"/>
      <c r="WJQ100" s="88"/>
      <c r="WJY100" s="88"/>
      <c r="WKG100" s="88"/>
      <c r="WKO100" s="88"/>
      <c r="WKW100" s="88"/>
      <c r="WLE100" s="88"/>
      <c r="WLM100" s="88"/>
      <c r="WLU100" s="88"/>
      <c r="WMC100" s="88"/>
      <c r="WMK100" s="88"/>
      <c r="WMS100" s="88"/>
      <c r="WNA100" s="88"/>
      <c r="WNI100" s="88"/>
      <c r="WNQ100" s="88"/>
      <c r="WNY100" s="88"/>
      <c r="WOG100" s="88"/>
      <c r="WOO100" s="88"/>
      <c r="WOW100" s="88"/>
      <c r="WPE100" s="88"/>
      <c r="WPM100" s="88"/>
      <c r="WPU100" s="88"/>
      <c r="WQC100" s="88"/>
      <c r="WQK100" s="88"/>
      <c r="WQS100" s="88"/>
      <c r="WRA100" s="88"/>
      <c r="WRI100" s="88"/>
      <c r="WRQ100" s="88"/>
      <c r="WRY100" s="88"/>
      <c r="WSG100" s="88"/>
      <c r="WSO100" s="88"/>
      <c r="WSW100" s="88"/>
      <c r="WTE100" s="88"/>
      <c r="WTM100" s="88"/>
      <c r="WTU100" s="88"/>
      <c r="WUC100" s="88"/>
      <c r="WUK100" s="88"/>
      <c r="WUS100" s="88"/>
      <c r="WVA100" s="88"/>
      <c r="WVI100" s="88"/>
      <c r="WVQ100" s="88"/>
      <c r="WVY100" s="88"/>
      <c r="WWG100" s="88"/>
      <c r="WWO100" s="88"/>
      <c r="WWW100" s="88"/>
      <c r="WXE100" s="88"/>
      <c r="WXM100" s="88"/>
      <c r="WXU100" s="88"/>
      <c r="WYC100" s="88"/>
      <c r="WYK100" s="88"/>
      <c r="WYS100" s="88"/>
      <c r="WZA100" s="88"/>
      <c r="WZI100" s="88"/>
      <c r="WZQ100" s="88"/>
      <c r="WZY100" s="88"/>
      <c r="XAG100" s="88"/>
      <c r="XAO100" s="88"/>
      <c r="XAW100" s="88"/>
      <c r="XBE100" s="88"/>
      <c r="XBM100" s="88"/>
      <c r="XBU100" s="88"/>
      <c r="XCC100" s="88"/>
      <c r="XCK100" s="88"/>
      <c r="XCS100" s="88"/>
      <c r="XDA100" s="88"/>
      <c r="XDI100" s="88"/>
      <c r="XDQ100" s="88"/>
      <c r="XDY100" s="88"/>
      <c r="XEG100" s="88"/>
      <c r="XEO100" s="88"/>
      <c r="XEW100" s="88"/>
    </row>
    <row r="101" spans="1:1017 1025:2041 2049:3065 3073:4089 4097:5113 5121:6137 6145:7161 7169:8185 8193:9209 9217:10233 10241:11257 11265:12281 12289:13305 13313:14329 14337:15353 15361:16377" s="99" customFormat="1" ht="15.75" customHeight="1" x14ac:dyDescent="0.25">
      <c r="A101" s="88" t="s">
        <v>1039</v>
      </c>
      <c r="B101" s="99">
        <v>0</v>
      </c>
      <c r="C101" s="99">
        <v>0</v>
      </c>
      <c r="D101" s="99">
        <v>62385</v>
      </c>
      <c r="E101" s="99">
        <v>0</v>
      </c>
      <c r="F101" s="99">
        <v>0</v>
      </c>
      <c r="G101" s="99">
        <v>0</v>
      </c>
      <c r="H101" s="99">
        <v>62385</v>
      </c>
      <c r="I101" s="88"/>
      <c r="Q101" s="88"/>
      <c r="Y101" s="88"/>
      <c r="AG101" s="88"/>
      <c r="AO101" s="88"/>
      <c r="AW101" s="88"/>
      <c r="BE101" s="88"/>
      <c r="BM101" s="88"/>
      <c r="BU101" s="88"/>
      <c r="CC101" s="88"/>
      <c r="CK101" s="88"/>
      <c r="CS101" s="88"/>
      <c r="DA101" s="88"/>
      <c r="DI101" s="88"/>
      <c r="DQ101" s="88"/>
      <c r="DY101" s="88"/>
      <c r="EG101" s="88"/>
      <c r="EO101" s="88"/>
      <c r="EW101" s="88"/>
      <c r="FE101" s="88"/>
      <c r="FM101" s="88"/>
      <c r="FU101" s="88"/>
      <c r="GC101" s="88"/>
      <c r="GK101" s="88"/>
      <c r="GS101" s="88"/>
      <c r="HA101" s="88"/>
      <c r="HI101" s="88"/>
      <c r="HQ101" s="88"/>
      <c r="HY101" s="88"/>
      <c r="IG101" s="88"/>
      <c r="IO101" s="88"/>
      <c r="IW101" s="88"/>
      <c r="JE101" s="88"/>
      <c r="JM101" s="88"/>
      <c r="JU101" s="88"/>
      <c r="KC101" s="88"/>
      <c r="KK101" s="88"/>
      <c r="KS101" s="88"/>
      <c r="LA101" s="88"/>
      <c r="LI101" s="88"/>
      <c r="LQ101" s="88"/>
      <c r="LY101" s="88"/>
      <c r="MG101" s="88"/>
      <c r="MO101" s="88"/>
      <c r="MW101" s="88"/>
      <c r="NE101" s="88"/>
      <c r="NM101" s="88"/>
      <c r="NU101" s="88"/>
      <c r="OC101" s="88"/>
      <c r="OK101" s="88"/>
      <c r="OS101" s="88"/>
      <c r="PA101" s="88"/>
      <c r="PI101" s="88"/>
      <c r="PQ101" s="88"/>
      <c r="PY101" s="88"/>
      <c r="QG101" s="88"/>
      <c r="QO101" s="88"/>
      <c r="QW101" s="88"/>
      <c r="RE101" s="88"/>
      <c r="RM101" s="88"/>
      <c r="RU101" s="88"/>
      <c r="SC101" s="88"/>
      <c r="SK101" s="88"/>
      <c r="SS101" s="88"/>
      <c r="TA101" s="88"/>
      <c r="TI101" s="88"/>
      <c r="TQ101" s="88"/>
      <c r="TY101" s="88"/>
      <c r="UG101" s="88"/>
      <c r="UO101" s="88"/>
      <c r="UW101" s="88"/>
      <c r="VE101" s="88"/>
      <c r="VM101" s="88"/>
      <c r="VU101" s="88"/>
      <c r="WC101" s="88"/>
      <c r="WK101" s="88"/>
      <c r="WS101" s="88"/>
      <c r="XA101" s="88"/>
      <c r="XI101" s="88"/>
      <c r="XQ101" s="88"/>
      <c r="XY101" s="88"/>
      <c r="YG101" s="88"/>
      <c r="YO101" s="88"/>
      <c r="YW101" s="88"/>
      <c r="ZE101" s="88"/>
      <c r="ZM101" s="88"/>
      <c r="ZU101" s="88"/>
      <c r="AAC101" s="88"/>
      <c r="AAK101" s="88"/>
      <c r="AAS101" s="88"/>
      <c r="ABA101" s="88"/>
      <c r="ABI101" s="88"/>
      <c r="ABQ101" s="88"/>
      <c r="ABY101" s="88"/>
      <c r="ACG101" s="88"/>
      <c r="ACO101" s="88"/>
      <c r="ACW101" s="88"/>
      <c r="ADE101" s="88"/>
      <c r="ADM101" s="88"/>
      <c r="ADU101" s="88"/>
      <c r="AEC101" s="88"/>
      <c r="AEK101" s="88"/>
      <c r="AES101" s="88"/>
      <c r="AFA101" s="88"/>
      <c r="AFI101" s="88"/>
      <c r="AFQ101" s="88"/>
      <c r="AFY101" s="88"/>
      <c r="AGG101" s="88"/>
      <c r="AGO101" s="88"/>
      <c r="AGW101" s="88"/>
      <c r="AHE101" s="88"/>
      <c r="AHM101" s="88"/>
      <c r="AHU101" s="88"/>
      <c r="AIC101" s="88"/>
      <c r="AIK101" s="88"/>
      <c r="AIS101" s="88"/>
      <c r="AJA101" s="88"/>
      <c r="AJI101" s="88"/>
      <c r="AJQ101" s="88"/>
      <c r="AJY101" s="88"/>
      <c r="AKG101" s="88"/>
      <c r="AKO101" s="88"/>
      <c r="AKW101" s="88"/>
      <c r="ALE101" s="88"/>
      <c r="ALM101" s="88"/>
      <c r="ALU101" s="88"/>
      <c r="AMC101" s="88"/>
      <c r="AMK101" s="88"/>
      <c r="AMS101" s="88"/>
      <c r="ANA101" s="88"/>
      <c r="ANI101" s="88"/>
      <c r="ANQ101" s="88"/>
      <c r="ANY101" s="88"/>
      <c r="AOG101" s="88"/>
      <c r="AOO101" s="88"/>
      <c r="AOW101" s="88"/>
      <c r="APE101" s="88"/>
      <c r="APM101" s="88"/>
      <c r="APU101" s="88"/>
      <c r="AQC101" s="88"/>
      <c r="AQK101" s="88"/>
      <c r="AQS101" s="88"/>
      <c r="ARA101" s="88"/>
      <c r="ARI101" s="88"/>
      <c r="ARQ101" s="88"/>
      <c r="ARY101" s="88"/>
      <c r="ASG101" s="88"/>
      <c r="ASO101" s="88"/>
      <c r="ASW101" s="88"/>
      <c r="ATE101" s="88"/>
      <c r="ATM101" s="88"/>
      <c r="ATU101" s="88"/>
      <c r="AUC101" s="88"/>
      <c r="AUK101" s="88"/>
      <c r="AUS101" s="88"/>
      <c r="AVA101" s="88"/>
      <c r="AVI101" s="88"/>
      <c r="AVQ101" s="88"/>
      <c r="AVY101" s="88"/>
      <c r="AWG101" s="88"/>
      <c r="AWO101" s="88"/>
      <c r="AWW101" s="88"/>
      <c r="AXE101" s="88"/>
      <c r="AXM101" s="88"/>
      <c r="AXU101" s="88"/>
      <c r="AYC101" s="88"/>
      <c r="AYK101" s="88"/>
      <c r="AYS101" s="88"/>
      <c r="AZA101" s="88"/>
      <c r="AZI101" s="88"/>
      <c r="AZQ101" s="88"/>
      <c r="AZY101" s="88"/>
      <c r="BAG101" s="88"/>
      <c r="BAO101" s="88"/>
      <c r="BAW101" s="88"/>
      <c r="BBE101" s="88"/>
      <c r="BBM101" s="88"/>
      <c r="BBU101" s="88"/>
      <c r="BCC101" s="88"/>
      <c r="BCK101" s="88"/>
      <c r="BCS101" s="88"/>
      <c r="BDA101" s="88"/>
      <c r="BDI101" s="88"/>
      <c r="BDQ101" s="88"/>
      <c r="BDY101" s="88"/>
      <c r="BEG101" s="88"/>
      <c r="BEO101" s="88"/>
      <c r="BEW101" s="88"/>
      <c r="BFE101" s="88"/>
      <c r="BFM101" s="88"/>
      <c r="BFU101" s="88"/>
      <c r="BGC101" s="88"/>
      <c r="BGK101" s="88"/>
      <c r="BGS101" s="88"/>
      <c r="BHA101" s="88"/>
      <c r="BHI101" s="88"/>
      <c r="BHQ101" s="88"/>
      <c r="BHY101" s="88"/>
      <c r="BIG101" s="88"/>
      <c r="BIO101" s="88"/>
      <c r="BIW101" s="88"/>
      <c r="BJE101" s="88"/>
      <c r="BJM101" s="88"/>
      <c r="BJU101" s="88"/>
      <c r="BKC101" s="88"/>
      <c r="BKK101" s="88"/>
      <c r="BKS101" s="88"/>
      <c r="BLA101" s="88"/>
      <c r="BLI101" s="88"/>
      <c r="BLQ101" s="88"/>
      <c r="BLY101" s="88"/>
      <c r="BMG101" s="88"/>
      <c r="BMO101" s="88"/>
      <c r="BMW101" s="88"/>
      <c r="BNE101" s="88"/>
      <c r="BNM101" s="88"/>
      <c r="BNU101" s="88"/>
      <c r="BOC101" s="88"/>
      <c r="BOK101" s="88"/>
      <c r="BOS101" s="88"/>
      <c r="BPA101" s="88"/>
      <c r="BPI101" s="88"/>
      <c r="BPQ101" s="88"/>
      <c r="BPY101" s="88"/>
      <c r="BQG101" s="88"/>
      <c r="BQO101" s="88"/>
      <c r="BQW101" s="88"/>
      <c r="BRE101" s="88"/>
      <c r="BRM101" s="88"/>
      <c r="BRU101" s="88"/>
      <c r="BSC101" s="88"/>
      <c r="BSK101" s="88"/>
      <c r="BSS101" s="88"/>
      <c r="BTA101" s="88"/>
      <c r="BTI101" s="88"/>
      <c r="BTQ101" s="88"/>
      <c r="BTY101" s="88"/>
      <c r="BUG101" s="88"/>
      <c r="BUO101" s="88"/>
      <c r="BUW101" s="88"/>
      <c r="BVE101" s="88"/>
      <c r="BVM101" s="88"/>
      <c r="BVU101" s="88"/>
      <c r="BWC101" s="88"/>
      <c r="BWK101" s="88"/>
      <c r="BWS101" s="88"/>
      <c r="BXA101" s="88"/>
      <c r="BXI101" s="88"/>
      <c r="BXQ101" s="88"/>
      <c r="BXY101" s="88"/>
      <c r="BYG101" s="88"/>
      <c r="BYO101" s="88"/>
      <c r="BYW101" s="88"/>
      <c r="BZE101" s="88"/>
      <c r="BZM101" s="88"/>
      <c r="BZU101" s="88"/>
      <c r="CAC101" s="88"/>
      <c r="CAK101" s="88"/>
      <c r="CAS101" s="88"/>
      <c r="CBA101" s="88"/>
      <c r="CBI101" s="88"/>
      <c r="CBQ101" s="88"/>
      <c r="CBY101" s="88"/>
      <c r="CCG101" s="88"/>
      <c r="CCO101" s="88"/>
      <c r="CCW101" s="88"/>
      <c r="CDE101" s="88"/>
      <c r="CDM101" s="88"/>
      <c r="CDU101" s="88"/>
      <c r="CEC101" s="88"/>
      <c r="CEK101" s="88"/>
      <c r="CES101" s="88"/>
      <c r="CFA101" s="88"/>
      <c r="CFI101" s="88"/>
      <c r="CFQ101" s="88"/>
      <c r="CFY101" s="88"/>
      <c r="CGG101" s="88"/>
      <c r="CGO101" s="88"/>
      <c r="CGW101" s="88"/>
      <c r="CHE101" s="88"/>
      <c r="CHM101" s="88"/>
      <c r="CHU101" s="88"/>
      <c r="CIC101" s="88"/>
      <c r="CIK101" s="88"/>
      <c r="CIS101" s="88"/>
      <c r="CJA101" s="88"/>
      <c r="CJI101" s="88"/>
      <c r="CJQ101" s="88"/>
      <c r="CJY101" s="88"/>
      <c r="CKG101" s="88"/>
      <c r="CKO101" s="88"/>
      <c r="CKW101" s="88"/>
      <c r="CLE101" s="88"/>
      <c r="CLM101" s="88"/>
      <c r="CLU101" s="88"/>
      <c r="CMC101" s="88"/>
      <c r="CMK101" s="88"/>
      <c r="CMS101" s="88"/>
      <c r="CNA101" s="88"/>
      <c r="CNI101" s="88"/>
      <c r="CNQ101" s="88"/>
      <c r="CNY101" s="88"/>
      <c r="COG101" s="88"/>
      <c r="COO101" s="88"/>
      <c r="COW101" s="88"/>
      <c r="CPE101" s="88"/>
      <c r="CPM101" s="88"/>
      <c r="CPU101" s="88"/>
      <c r="CQC101" s="88"/>
      <c r="CQK101" s="88"/>
      <c r="CQS101" s="88"/>
      <c r="CRA101" s="88"/>
      <c r="CRI101" s="88"/>
      <c r="CRQ101" s="88"/>
      <c r="CRY101" s="88"/>
      <c r="CSG101" s="88"/>
      <c r="CSO101" s="88"/>
      <c r="CSW101" s="88"/>
      <c r="CTE101" s="88"/>
      <c r="CTM101" s="88"/>
      <c r="CTU101" s="88"/>
      <c r="CUC101" s="88"/>
      <c r="CUK101" s="88"/>
      <c r="CUS101" s="88"/>
      <c r="CVA101" s="88"/>
      <c r="CVI101" s="88"/>
      <c r="CVQ101" s="88"/>
      <c r="CVY101" s="88"/>
      <c r="CWG101" s="88"/>
      <c r="CWO101" s="88"/>
      <c r="CWW101" s="88"/>
      <c r="CXE101" s="88"/>
      <c r="CXM101" s="88"/>
      <c r="CXU101" s="88"/>
      <c r="CYC101" s="88"/>
      <c r="CYK101" s="88"/>
      <c r="CYS101" s="88"/>
      <c r="CZA101" s="88"/>
      <c r="CZI101" s="88"/>
      <c r="CZQ101" s="88"/>
      <c r="CZY101" s="88"/>
      <c r="DAG101" s="88"/>
      <c r="DAO101" s="88"/>
      <c r="DAW101" s="88"/>
      <c r="DBE101" s="88"/>
      <c r="DBM101" s="88"/>
      <c r="DBU101" s="88"/>
      <c r="DCC101" s="88"/>
      <c r="DCK101" s="88"/>
      <c r="DCS101" s="88"/>
      <c r="DDA101" s="88"/>
      <c r="DDI101" s="88"/>
      <c r="DDQ101" s="88"/>
      <c r="DDY101" s="88"/>
      <c r="DEG101" s="88"/>
      <c r="DEO101" s="88"/>
      <c r="DEW101" s="88"/>
      <c r="DFE101" s="88"/>
      <c r="DFM101" s="88"/>
      <c r="DFU101" s="88"/>
      <c r="DGC101" s="88"/>
      <c r="DGK101" s="88"/>
      <c r="DGS101" s="88"/>
      <c r="DHA101" s="88"/>
      <c r="DHI101" s="88"/>
      <c r="DHQ101" s="88"/>
      <c r="DHY101" s="88"/>
      <c r="DIG101" s="88"/>
      <c r="DIO101" s="88"/>
      <c r="DIW101" s="88"/>
      <c r="DJE101" s="88"/>
      <c r="DJM101" s="88"/>
      <c r="DJU101" s="88"/>
      <c r="DKC101" s="88"/>
      <c r="DKK101" s="88"/>
      <c r="DKS101" s="88"/>
      <c r="DLA101" s="88"/>
      <c r="DLI101" s="88"/>
      <c r="DLQ101" s="88"/>
      <c r="DLY101" s="88"/>
      <c r="DMG101" s="88"/>
      <c r="DMO101" s="88"/>
      <c r="DMW101" s="88"/>
      <c r="DNE101" s="88"/>
      <c r="DNM101" s="88"/>
      <c r="DNU101" s="88"/>
      <c r="DOC101" s="88"/>
      <c r="DOK101" s="88"/>
      <c r="DOS101" s="88"/>
      <c r="DPA101" s="88"/>
      <c r="DPI101" s="88"/>
      <c r="DPQ101" s="88"/>
      <c r="DPY101" s="88"/>
      <c r="DQG101" s="88"/>
      <c r="DQO101" s="88"/>
      <c r="DQW101" s="88"/>
      <c r="DRE101" s="88"/>
      <c r="DRM101" s="88"/>
      <c r="DRU101" s="88"/>
      <c r="DSC101" s="88"/>
      <c r="DSK101" s="88"/>
      <c r="DSS101" s="88"/>
      <c r="DTA101" s="88"/>
      <c r="DTI101" s="88"/>
      <c r="DTQ101" s="88"/>
      <c r="DTY101" s="88"/>
      <c r="DUG101" s="88"/>
      <c r="DUO101" s="88"/>
      <c r="DUW101" s="88"/>
      <c r="DVE101" s="88"/>
      <c r="DVM101" s="88"/>
      <c r="DVU101" s="88"/>
      <c r="DWC101" s="88"/>
      <c r="DWK101" s="88"/>
      <c r="DWS101" s="88"/>
      <c r="DXA101" s="88"/>
      <c r="DXI101" s="88"/>
      <c r="DXQ101" s="88"/>
      <c r="DXY101" s="88"/>
      <c r="DYG101" s="88"/>
      <c r="DYO101" s="88"/>
      <c r="DYW101" s="88"/>
      <c r="DZE101" s="88"/>
      <c r="DZM101" s="88"/>
      <c r="DZU101" s="88"/>
      <c r="EAC101" s="88"/>
      <c r="EAK101" s="88"/>
      <c r="EAS101" s="88"/>
      <c r="EBA101" s="88"/>
      <c r="EBI101" s="88"/>
      <c r="EBQ101" s="88"/>
      <c r="EBY101" s="88"/>
      <c r="ECG101" s="88"/>
      <c r="ECO101" s="88"/>
      <c r="ECW101" s="88"/>
      <c r="EDE101" s="88"/>
      <c r="EDM101" s="88"/>
      <c r="EDU101" s="88"/>
      <c r="EEC101" s="88"/>
      <c r="EEK101" s="88"/>
      <c r="EES101" s="88"/>
      <c r="EFA101" s="88"/>
      <c r="EFI101" s="88"/>
      <c r="EFQ101" s="88"/>
      <c r="EFY101" s="88"/>
      <c r="EGG101" s="88"/>
      <c r="EGO101" s="88"/>
      <c r="EGW101" s="88"/>
      <c r="EHE101" s="88"/>
      <c r="EHM101" s="88"/>
      <c r="EHU101" s="88"/>
      <c r="EIC101" s="88"/>
      <c r="EIK101" s="88"/>
      <c r="EIS101" s="88"/>
      <c r="EJA101" s="88"/>
      <c r="EJI101" s="88"/>
      <c r="EJQ101" s="88"/>
      <c r="EJY101" s="88"/>
      <c r="EKG101" s="88"/>
      <c r="EKO101" s="88"/>
      <c r="EKW101" s="88"/>
      <c r="ELE101" s="88"/>
      <c r="ELM101" s="88"/>
      <c r="ELU101" s="88"/>
      <c r="EMC101" s="88"/>
      <c r="EMK101" s="88"/>
      <c r="EMS101" s="88"/>
      <c r="ENA101" s="88"/>
      <c r="ENI101" s="88"/>
      <c r="ENQ101" s="88"/>
      <c r="ENY101" s="88"/>
      <c r="EOG101" s="88"/>
      <c r="EOO101" s="88"/>
      <c r="EOW101" s="88"/>
      <c r="EPE101" s="88"/>
      <c r="EPM101" s="88"/>
      <c r="EPU101" s="88"/>
      <c r="EQC101" s="88"/>
      <c r="EQK101" s="88"/>
      <c r="EQS101" s="88"/>
      <c r="ERA101" s="88"/>
      <c r="ERI101" s="88"/>
      <c r="ERQ101" s="88"/>
      <c r="ERY101" s="88"/>
      <c r="ESG101" s="88"/>
      <c r="ESO101" s="88"/>
      <c r="ESW101" s="88"/>
      <c r="ETE101" s="88"/>
      <c r="ETM101" s="88"/>
      <c r="ETU101" s="88"/>
      <c r="EUC101" s="88"/>
      <c r="EUK101" s="88"/>
      <c r="EUS101" s="88"/>
      <c r="EVA101" s="88"/>
      <c r="EVI101" s="88"/>
      <c r="EVQ101" s="88"/>
      <c r="EVY101" s="88"/>
      <c r="EWG101" s="88"/>
      <c r="EWO101" s="88"/>
      <c r="EWW101" s="88"/>
      <c r="EXE101" s="88"/>
      <c r="EXM101" s="88"/>
      <c r="EXU101" s="88"/>
      <c r="EYC101" s="88"/>
      <c r="EYK101" s="88"/>
      <c r="EYS101" s="88"/>
      <c r="EZA101" s="88"/>
      <c r="EZI101" s="88"/>
      <c r="EZQ101" s="88"/>
      <c r="EZY101" s="88"/>
      <c r="FAG101" s="88"/>
      <c r="FAO101" s="88"/>
      <c r="FAW101" s="88"/>
      <c r="FBE101" s="88"/>
      <c r="FBM101" s="88"/>
      <c r="FBU101" s="88"/>
      <c r="FCC101" s="88"/>
      <c r="FCK101" s="88"/>
      <c r="FCS101" s="88"/>
      <c r="FDA101" s="88"/>
      <c r="FDI101" s="88"/>
      <c r="FDQ101" s="88"/>
      <c r="FDY101" s="88"/>
      <c r="FEG101" s="88"/>
      <c r="FEO101" s="88"/>
      <c r="FEW101" s="88"/>
      <c r="FFE101" s="88"/>
      <c r="FFM101" s="88"/>
      <c r="FFU101" s="88"/>
      <c r="FGC101" s="88"/>
      <c r="FGK101" s="88"/>
      <c r="FGS101" s="88"/>
      <c r="FHA101" s="88"/>
      <c r="FHI101" s="88"/>
      <c r="FHQ101" s="88"/>
      <c r="FHY101" s="88"/>
      <c r="FIG101" s="88"/>
      <c r="FIO101" s="88"/>
      <c r="FIW101" s="88"/>
      <c r="FJE101" s="88"/>
      <c r="FJM101" s="88"/>
      <c r="FJU101" s="88"/>
      <c r="FKC101" s="88"/>
      <c r="FKK101" s="88"/>
      <c r="FKS101" s="88"/>
      <c r="FLA101" s="88"/>
      <c r="FLI101" s="88"/>
      <c r="FLQ101" s="88"/>
      <c r="FLY101" s="88"/>
      <c r="FMG101" s="88"/>
      <c r="FMO101" s="88"/>
      <c r="FMW101" s="88"/>
      <c r="FNE101" s="88"/>
      <c r="FNM101" s="88"/>
      <c r="FNU101" s="88"/>
      <c r="FOC101" s="88"/>
      <c r="FOK101" s="88"/>
      <c r="FOS101" s="88"/>
      <c r="FPA101" s="88"/>
      <c r="FPI101" s="88"/>
      <c r="FPQ101" s="88"/>
      <c r="FPY101" s="88"/>
      <c r="FQG101" s="88"/>
      <c r="FQO101" s="88"/>
      <c r="FQW101" s="88"/>
      <c r="FRE101" s="88"/>
      <c r="FRM101" s="88"/>
      <c r="FRU101" s="88"/>
      <c r="FSC101" s="88"/>
      <c r="FSK101" s="88"/>
      <c r="FSS101" s="88"/>
      <c r="FTA101" s="88"/>
      <c r="FTI101" s="88"/>
      <c r="FTQ101" s="88"/>
      <c r="FTY101" s="88"/>
      <c r="FUG101" s="88"/>
      <c r="FUO101" s="88"/>
      <c r="FUW101" s="88"/>
      <c r="FVE101" s="88"/>
      <c r="FVM101" s="88"/>
      <c r="FVU101" s="88"/>
      <c r="FWC101" s="88"/>
      <c r="FWK101" s="88"/>
      <c r="FWS101" s="88"/>
      <c r="FXA101" s="88"/>
      <c r="FXI101" s="88"/>
      <c r="FXQ101" s="88"/>
      <c r="FXY101" s="88"/>
      <c r="FYG101" s="88"/>
      <c r="FYO101" s="88"/>
      <c r="FYW101" s="88"/>
      <c r="FZE101" s="88"/>
      <c r="FZM101" s="88"/>
      <c r="FZU101" s="88"/>
      <c r="GAC101" s="88"/>
      <c r="GAK101" s="88"/>
      <c r="GAS101" s="88"/>
      <c r="GBA101" s="88"/>
      <c r="GBI101" s="88"/>
      <c r="GBQ101" s="88"/>
      <c r="GBY101" s="88"/>
      <c r="GCG101" s="88"/>
      <c r="GCO101" s="88"/>
      <c r="GCW101" s="88"/>
      <c r="GDE101" s="88"/>
      <c r="GDM101" s="88"/>
      <c r="GDU101" s="88"/>
      <c r="GEC101" s="88"/>
      <c r="GEK101" s="88"/>
      <c r="GES101" s="88"/>
      <c r="GFA101" s="88"/>
      <c r="GFI101" s="88"/>
      <c r="GFQ101" s="88"/>
      <c r="GFY101" s="88"/>
      <c r="GGG101" s="88"/>
      <c r="GGO101" s="88"/>
      <c r="GGW101" s="88"/>
      <c r="GHE101" s="88"/>
      <c r="GHM101" s="88"/>
      <c r="GHU101" s="88"/>
      <c r="GIC101" s="88"/>
      <c r="GIK101" s="88"/>
      <c r="GIS101" s="88"/>
      <c r="GJA101" s="88"/>
      <c r="GJI101" s="88"/>
      <c r="GJQ101" s="88"/>
      <c r="GJY101" s="88"/>
      <c r="GKG101" s="88"/>
      <c r="GKO101" s="88"/>
      <c r="GKW101" s="88"/>
      <c r="GLE101" s="88"/>
      <c r="GLM101" s="88"/>
      <c r="GLU101" s="88"/>
      <c r="GMC101" s="88"/>
      <c r="GMK101" s="88"/>
      <c r="GMS101" s="88"/>
      <c r="GNA101" s="88"/>
      <c r="GNI101" s="88"/>
      <c r="GNQ101" s="88"/>
      <c r="GNY101" s="88"/>
      <c r="GOG101" s="88"/>
      <c r="GOO101" s="88"/>
      <c r="GOW101" s="88"/>
      <c r="GPE101" s="88"/>
      <c r="GPM101" s="88"/>
      <c r="GPU101" s="88"/>
      <c r="GQC101" s="88"/>
      <c r="GQK101" s="88"/>
      <c r="GQS101" s="88"/>
      <c r="GRA101" s="88"/>
      <c r="GRI101" s="88"/>
      <c r="GRQ101" s="88"/>
      <c r="GRY101" s="88"/>
      <c r="GSG101" s="88"/>
      <c r="GSO101" s="88"/>
      <c r="GSW101" s="88"/>
      <c r="GTE101" s="88"/>
      <c r="GTM101" s="88"/>
      <c r="GTU101" s="88"/>
      <c r="GUC101" s="88"/>
      <c r="GUK101" s="88"/>
      <c r="GUS101" s="88"/>
      <c r="GVA101" s="88"/>
      <c r="GVI101" s="88"/>
      <c r="GVQ101" s="88"/>
      <c r="GVY101" s="88"/>
      <c r="GWG101" s="88"/>
      <c r="GWO101" s="88"/>
      <c r="GWW101" s="88"/>
      <c r="GXE101" s="88"/>
      <c r="GXM101" s="88"/>
      <c r="GXU101" s="88"/>
      <c r="GYC101" s="88"/>
      <c r="GYK101" s="88"/>
      <c r="GYS101" s="88"/>
      <c r="GZA101" s="88"/>
      <c r="GZI101" s="88"/>
      <c r="GZQ101" s="88"/>
      <c r="GZY101" s="88"/>
      <c r="HAG101" s="88"/>
      <c r="HAO101" s="88"/>
      <c r="HAW101" s="88"/>
      <c r="HBE101" s="88"/>
      <c r="HBM101" s="88"/>
      <c r="HBU101" s="88"/>
      <c r="HCC101" s="88"/>
      <c r="HCK101" s="88"/>
      <c r="HCS101" s="88"/>
      <c r="HDA101" s="88"/>
      <c r="HDI101" s="88"/>
      <c r="HDQ101" s="88"/>
      <c r="HDY101" s="88"/>
      <c r="HEG101" s="88"/>
      <c r="HEO101" s="88"/>
      <c r="HEW101" s="88"/>
      <c r="HFE101" s="88"/>
      <c r="HFM101" s="88"/>
      <c r="HFU101" s="88"/>
      <c r="HGC101" s="88"/>
      <c r="HGK101" s="88"/>
      <c r="HGS101" s="88"/>
      <c r="HHA101" s="88"/>
      <c r="HHI101" s="88"/>
      <c r="HHQ101" s="88"/>
      <c r="HHY101" s="88"/>
      <c r="HIG101" s="88"/>
      <c r="HIO101" s="88"/>
      <c r="HIW101" s="88"/>
      <c r="HJE101" s="88"/>
      <c r="HJM101" s="88"/>
      <c r="HJU101" s="88"/>
      <c r="HKC101" s="88"/>
      <c r="HKK101" s="88"/>
      <c r="HKS101" s="88"/>
      <c r="HLA101" s="88"/>
      <c r="HLI101" s="88"/>
      <c r="HLQ101" s="88"/>
      <c r="HLY101" s="88"/>
      <c r="HMG101" s="88"/>
      <c r="HMO101" s="88"/>
      <c r="HMW101" s="88"/>
      <c r="HNE101" s="88"/>
      <c r="HNM101" s="88"/>
      <c r="HNU101" s="88"/>
      <c r="HOC101" s="88"/>
      <c r="HOK101" s="88"/>
      <c r="HOS101" s="88"/>
      <c r="HPA101" s="88"/>
      <c r="HPI101" s="88"/>
      <c r="HPQ101" s="88"/>
      <c r="HPY101" s="88"/>
      <c r="HQG101" s="88"/>
      <c r="HQO101" s="88"/>
      <c r="HQW101" s="88"/>
      <c r="HRE101" s="88"/>
      <c r="HRM101" s="88"/>
      <c r="HRU101" s="88"/>
      <c r="HSC101" s="88"/>
      <c r="HSK101" s="88"/>
      <c r="HSS101" s="88"/>
      <c r="HTA101" s="88"/>
      <c r="HTI101" s="88"/>
      <c r="HTQ101" s="88"/>
      <c r="HTY101" s="88"/>
      <c r="HUG101" s="88"/>
      <c r="HUO101" s="88"/>
      <c r="HUW101" s="88"/>
      <c r="HVE101" s="88"/>
      <c r="HVM101" s="88"/>
      <c r="HVU101" s="88"/>
      <c r="HWC101" s="88"/>
      <c r="HWK101" s="88"/>
      <c r="HWS101" s="88"/>
      <c r="HXA101" s="88"/>
      <c r="HXI101" s="88"/>
      <c r="HXQ101" s="88"/>
      <c r="HXY101" s="88"/>
      <c r="HYG101" s="88"/>
      <c r="HYO101" s="88"/>
      <c r="HYW101" s="88"/>
      <c r="HZE101" s="88"/>
      <c r="HZM101" s="88"/>
      <c r="HZU101" s="88"/>
      <c r="IAC101" s="88"/>
      <c r="IAK101" s="88"/>
      <c r="IAS101" s="88"/>
      <c r="IBA101" s="88"/>
      <c r="IBI101" s="88"/>
      <c r="IBQ101" s="88"/>
      <c r="IBY101" s="88"/>
      <c r="ICG101" s="88"/>
      <c r="ICO101" s="88"/>
      <c r="ICW101" s="88"/>
      <c r="IDE101" s="88"/>
      <c r="IDM101" s="88"/>
      <c r="IDU101" s="88"/>
      <c r="IEC101" s="88"/>
      <c r="IEK101" s="88"/>
      <c r="IES101" s="88"/>
      <c r="IFA101" s="88"/>
      <c r="IFI101" s="88"/>
      <c r="IFQ101" s="88"/>
      <c r="IFY101" s="88"/>
      <c r="IGG101" s="88"/>
      <c r="IGO101" s="88"/>
      <c r="IGW101" s="88"/>
      <c r="IHE101" s="88"/>
      <c r="IHM101" s="88"/>
      <c r="IHU101" s="88"/>
      <c r="IIC101" s="88"/>
      <c r="IIK101" s="88"/>
      <c r="IIS101" s="88"/>
      <c r="IJA101" s="88"/>
      <c r="IJI101" s="88"/>
      <c r="IJQ101" s="88"/>
      <c r="IJY101" s="88"/>
      <c r="IKG101" s="88"/>
      <c r="IKO101" s="88"/>
      <c r="IKW101" s="88"/>
      <c r="ILE101" s="88"/>
      <c r="ILM101" s="88"/>
      <c r="ILU101" s="88"/>
      <c r="IMC101" s="88"/>
      <c r="IMK101" s="88"/>
      <c r="IMS101" s="88"/>
      <c r="INA101" s="88"/>
      <c r="INI101" s="88"/>
      <c r="INQ101" s="88"/>
      <c r="INY101" s="88"/>
      <c r="IOG101" s="88"/>
      <c r="IOO101" s="88"/>
      <c r="IOW101" s="88"/>
      <c r="IPE101" s="88"/>
      <c r="IPM101" s="88"/>
      <c r="IPU101" s="88"/>
      <c r="IQC101" s="88"/>
      <c r="IQK101" s="88"/>
      <c r="IQS101" s="88"/>
      <c r="IRA101" s="88"/>
      <c r="IRI101" s="88"/>
      <c r="IRQ101" s="88"/>
      <c r="IRY101" s="88"/>
      <c r="ISG101" s="88"/>
      <c r="ISO101" s="88"/>
      <c r="ISW101" s="88"/>
      <c r="ITE101" s="88"/>
      <c r="ITM101" s="88"/>
      <c r="ITU101" s="88"/>
      <c r="IUC101" s="88"/>
      <c r="IUK101" s="88"/>
      <c r="IUS101" s="88"/>
      <c r="IVA101" s="88"/>
      <c r="IVI101" s="88"/>
      <c r="IVQ101" s="88"/>
      <c r="IVY101" s="88"/>
      <c r="IWG101" s="88"/>
      <c r="IWO101" s="88"/>
      <c r="IWW101" s="88"/>
      <c r="IXE101" s="88"/>
      <c r="IXM101" s="88"/>
      <c r="IXU101" s="88"/>
      <c r="IYC101" s="88"/>
      <c r="IYK101" s="88"/>
      <c r="IYS101" s="88"/>
      <c r="IZA101" s="88"/>
      <c r="IZI101" s="88"/>
      <c r="IZQ101" s="88"/>
      <c r="IZY101" s="88"/>
      <c r="JAG101" s="88"/>
      <c r="JAO101" s="88"/>
      <c r="JAW101" s="88"/>
      <c r="JBE101" s="88"/>
      <c r="JBM101" s="88"/>
      <c r="JBU101" s="88"/>
      <c r="JCC101" s="88"/>
      <c r="JCK101" s="88"/>
      <c r="JCS101" s="88"/>
      <c r="JDA101" s="88"/>
      <c r="JDI101" s="88"/>
      <c r="JDQ101" s="88"/>
      <c r="JDY101" s="88"/>
      <c r="JEG101" s="88"/>
      <c r="JEO101" s="88"/>
      <c r="JEW101" s="88"/>
      <c r="JFE101" s="88"/>
      <c r="JFM101" s="88"/>
      <c r="JFU101" s="88"/>
      <c r="JGC101" s="88"/>
      <c r="JGK101" s="88"/>
      <c r="JGS101" s="88"/>
      <c r="JHA101" s="88"/>
      <c r="JHI101" s="88"/>
      <c r="JHQ101" s="88"/>
      <c r="JHY101" s="88"/>
      <c r="JIG101" s="88"/>
      <c r="JIO101" s="88"/>
      <c r="JIW101" s="88"/>
      <c r="JJE101" s="88"/>
      <c r="JJM101" s="88"/>
      <c r="JJU101" s="88"/>
      <c r="JKC101" s="88"/>
      <c r="JKK101" s="88"/>
      <c r="JKS101" s="88"/>
      <c r="JLA101" s="88"/>
      <c r="JLI101" s="88"/>
      <c r="JLQ101" s="88"/>
      <c r="JLY101" s="88"/>
      <c r="JMG101" s="88"/>
      <c r="JMO101" s="88"/>
      <c r="JMW101" s="88"/>
      <c r="JNE101" s="88"/>
      <c r="JNM101" s="88"/>
      <c r="JNU101" s="88"/>
      <c r="JOC101" s="88"/>
      <c r="JOK101" s="88"/>
      <c r="JOS101" s="88"/>
      <c r="JPA101" s="88"/>
      <c r="JPI101" s="88"/>
      <c r="JPQ101" s="88"/>
      <c r="JPY101" s="88"/>
      <c r="JQG101" s="88"/>
      <c r="JQO101" s="88"/>
      <c r="JQW101" s="88"/>
      <c r="JRE101" s="88"/>
      <c r="JRM101" s="88"/>
      <c r="JRU101" s="88"/>
      <c r="JSC101" s="88"/>
      <c r="JSK101" s="88"/>
      <c r="JSS101" s="88"/>
      <c r="JTA101" s="88"/>
      <c r="JTI101" s="88"/>
      <c r="JTQ101" s="88"/>
      <c r="JTY101" s="88"/>
      <c r="JUG101" s="88"/>
      <c r="JUO101" s="88"/>
      <c r="JUW101" s="88"/>
      <c r="JVE101" s="88"/>
      <c r="JVM101" s="88"/>
      <c r="JVU101" s="88"/>
      <c r="JWC101" s="88"/>
      <c r="JWK101" s="88"/>
      <c r="JWS101" s="88"/>
      <c r="JXA101" s="88"/>
      <c r="JXI101" s="88"/>
      <c r="JXQ101" s="88"/>
      <c r="JXY101" s="88"/>
      <c r="JYG101" s="88"/>
      <c r="JYO101" s="88"/>
      <c r="JYW101" s="88"/>
      <c r="JZE101" s="88"/>
      <c r="JZM101" s="88"/>
      <c r="JZU101" s="88"/>
      <c r="KAC101" s="88"/>
      <c r="KAK101" s="88"/>
      <c r="KAS101" s="88"/>
      <c r="KBA101" s="88"/>
      <c r="KBI101" s="88"/>
      <c r="KBQ101" s="88"/>
      <c r="KBY101" s="88"/>
      <c r="KCG101" s="88"/>
      <c r="KCO101" s="88"/>
      <c r="KCW101" s="88"/>
      <c r="KDE101" s="88"/>
      <c r="KDM101" s="88"/>
      <c r="KDU101" s="88"/>
      <c r="KEC101" s="88"/>
      <c r="KEK101" s="88"/>
      <c r="KES101" s="88"/>
      <c r="KFA101" s="88"/>
      <c r="KFI101" s="88"/>
      <c r="KFQ101" s="88"/>
      <c r="KFY101" s="88"/>
      <c r="KGG101" s="88"/>
      <c r="KGO101" s="88"/>
      <c r="KGW101" s="88"/>
      <c r="KHE101" s="88"/>
      <c r="KHM101" s="88"/>
      <c r="KHU101" s="88"/>
      <c r="KIC101" s="88"/>
      <c r="KIK101" s="88"/>
      <c r="KIS101" s="88"/>
      <c r="KJA101" s="88"/>
      <c r="KJI101" s="88"/>
      <c r="KJQ101" s="88"/>
      <c r="KJY101" s="88"/>
      <c r="KKG101" s="88"/>
      <c r="KKO101" s="88"/>
      <c r="KKW101" s="88"/>
      <c r="KLE101" s="88"/>
      <c r="KLM101" s="88"/>
      <c r="KLU101" s="88"/>
      <c r="KMC101" s="88"/>
      <c r="KMK101" s="88"/>
      <c r="KMS101" s="88"/>
      <c r="KNA101" s="88"/>
      <c r="KNI101" s="88"/>
      <c r="KNQ101" s="88"/>
      <c r="KNY101" s="88"/>
      <c r="KOG101" s="88"/>
      <c r="KOO101" s="88"/>
      <c r="KOW101" s="88"/>
      <c r="KPE101" s="88"/>
      <c r="KPM101" s="88"/>
      <c r="KPU101" s="88"/>
      <c r="KQC101" s="88"/>
      <c r="KQK101" s="88"/>
      <c r="KQS101" s="88"/>
      <c r="KRA101" s="88"/>
      <c r="KRI101" s="88"/>
      <c r="KRQ101" s="88"/>
      <c r="KRY101" s="88"/>
      <c r="KSG101" s="88"/>
      <c r="KSO101" s="88"/>
      <c r="KSW101" s="88"/>
      <c r="KTE101" s="88"/>
      <c r="KTM101" s="88"/>
      <c r="KTU101" s="88"/>
      <c r="KUC101" s="88"/>
      <c r="KUK101" s="88"/>
      <c r="KUS101" s="88"/>
      <c r="KVA101" s="88"/>
      <c r="KVI101" s="88"/>
      <c r="KVQ101" s="88"/>
      <c r="KVY101" s="88"/>
      <c r="KWG101" s="88"/>
      <c r="KWO101" s="88"/>
      <c r="KWW101" s="88"/>
      <c r="KXE101" s="88"/>
      <c r="KXM101" s="88"/>
      <c r="KXU101" s="88"/>
      <c r="KYC101" s="88"/>
      <c r="KYK101" s="88"/>
      <c r="KYS101" s="88"/>
      <c r="KZA101" s="88"/>
      <c r="KZI101" s="88"/>
      <c r="KZQ101" s="88"/>
      <c r="KZY101" s="88"/>
      <c r="LAG101" s="88"/>
      <c r="LAO101" s="88"/>
      <c r="LAW101" s="88"/>
      <c r="LBE101" s="88"/>
      <c r="LBM101" s="88"/>
      <c r="LBU101" s="88"/>
      <c r="LCC101" s="88"/>
      <c r="LCK101" s="88"/>
      <c r="LCS101" s="88"/>
      <c r="LDA101" s="88"/>
      <c r="LDI101" s="88"/>
      <c r="LDQ101" s="88"/>
      <c r="LDY101" s="88"/>
      <c r="LEG101" s="88"/>
      <c r="LEO101" s="88"/>
      <c r="LEW101" s="88"/>
      <c r="LFE101" s="88"/>
      <c r="LFM101" s="88"/>
      <c r="LFU101" s="88"/>
      <c r="LGC101" s="88"/>
      <c r="LGK101" s="88"/>
      <c r="LGS101" s="88"/>
      <c r="LHA101" s="88"/>
      <c r="LHI101" s="88"/>
      <c r="LHQ101" s="88"/>
      <c r="LHY101" s="88"/>
      <c r="LIG101" s="88"/>
      <c r="LIO101" s="88"/>
      <c r="LIW101" s="88"/>
      <c r="LJE101" s="88"/>
      <c r="LJM101" s="88"/>
      <c r="LJU101" s="88"/>
      <c r="LKC101" s="88"/>
      <c r="LKK101" s="88"/>
      <c r="LKS101" s="88"/>
      <c r="LLA101" s="88"/>
      <c r="LLI101" s="88"/>
      <c r="LLQ101" s="88"/>
      <c r="LLY101" s="88"/>
      <c r="LMG101" s="88"/>
      <c r="LMO101" s="88"/>
      <c r="LMW101" s="88"/>
      <c r="LNE101" s="88"/>
      <c r="LNM101" s="88"/>
      <c r="LNU101" s="88"/>
      <c r="LOC101" s="88"/>
      <c r="LOK101" s="88"/>
      <c r="LOS101" s="88"/>
      <c r="LPA101" s="88"/>
      <c r="LPI101" s="88"/>
      <c r="LPQ101" s="88"/>
      <c r="LPY101" s="88"/>
      <c r="LQG101" s="88"/>
      <c r="LQO101" s="88"/>
      <c r="LQW101" s="88"/>
      <c r="LRE101" s="88"/>
      <c r="LRM101" s="88"/>
      <c r="LRU101" s="88"/>
      <c r="LSC101" s="88"/>
      <c r="LSK101" s="88"/>
      <c r="LSS101" s="88"/>
      <c r="LTA101" s="88"/>
      <c r="LTI101" s="88"/>
      <c r="LTQ101" s="88"/>
      <c r="LTY101" s="88"/>
      <c r="LUG101" s="88"/>
      <c r="LUO101" s="88"/>
      <c r="LUW101" s="88"/>
      <c r="LVE101" s="88"/>
      <c r="LVM101" s="88"/>
      <c r="LVU101" s="88"/>
      <c r="LWC101" s="88"/>
      <c r="LWK101" s="88"/>
      <c r="LWS101" s="88"/>
      <c r="LXA101" s="88"/>
      <c r="LXI101" s="88"/>
      <c r="LXQ101" s="88"/>
      <c r="LXY101" s="88"/>
      <c r="LYG101" s="88"/>
      <c r="LYO101" s="88"/>
      <c r="LYW101" s="88"/>
      <c r="LZE101" s="88"/>
      <c r="LZM101" s="88"/>
      <c r="LZU101" s="88"/>
      <c r="MAC101" s="88"/>
      <c r="MAK101" s="88"/>
      <c r="MAS101" s="88"/>
      <c r="MBA101" s="88"/>
      <c r="MBI101" s="88"/>
      <c r="MBQ101" s="88"/>
      <c r="MBY101" s="88"/>
      <c r="MCG101" s="88"/>
      <c r="MCO101" s="88"/>
      <c r="MCW101" s="88"/>
      <c r="MDE101" s="88"/>
      <c r="MDM101" s="88"/>
      <c r="MDU101" s="88"/>
      <c r="MEC101" s="88"/>
      <c r="MEK101" s="88"/>
      <c r="MES101" s="88"/>
      <c r="MFA101" s="88"/>
      <c r="MFI101" s="88"/>
      <c r="MFQ101" s="88"/>
      <c r="MFY101" s="88"/>
      <c r="MGG101" s="88"/>
      <c r="MGO101" s="88"/>
      <c r="MGW101" s="88"/>
      <c r="MHE101" s="88"/>
      <c r="MHM101" s="88"/>
      <c r="MHU101" s="88"/>
      <c r="MIC101" s="88"/>
      <c r="MIK101" s="88"/>
      <c r="MIS101" s="88"/>
      <c r="MJA101" s="88"/>
      <c r="MJI101" s="88"/>
      <c r="MJQ101" s="88"/>
      <c r="MJY101" s="88"/>
      <c r="MKG101" s="88"/>
      <c r="MKO101" s="88"/>
      <c r="MKW101" s="88"/>
      <c r="MLE101" s="88"/>
      <c r="MLM101" s="88"/>
      <c r="MLU101" s="88"/>
      <c r="MMC101" s="88"/>
      <c r="MMK101" s="88"/>
      <c r="MMS101" s="88"/>
      <c r="MNA101" s="88"/>
      <c r="MNI101" s="88"/>
      <c r="MNQ101" s="88"/>
      <c r="MNY101" s="88"/>
      <c r="MOG101" s="88"/>
      <c r="MOO101" s="88"/>
      <c r="MOW101" s="88"/>
      <c r="MPE101" s="88"/>
      <c r="MPM101" s="88"/>
      <c r="MPU101" s="88"/>
      <c r="MQC101" s="88"/>
      <c r="MQK101" s="88"/>
      <c r="MQS101" s="88"/>
      <c r="MRA101" s="88"/>
      <c r="MRI101" s="88"/>
      <c r="MRQ101" s="88"/>
      <c r="MRY101" s="88"/>
      <c r="MSG101" s="88"/>
      <c r="MSO101" s="88"/>
      <c r="MSW101" s="88"/>
      <c r="MTE101" s="88"/>
      <c r="MTM101" s="88"/>
      <c r="MTU101" s="88"/>
      <c r="MUC101" s="88"/>
      <c r="MUK101" s="88"/>
      <c r="MUS101" s="88"/>
      <c r="MVA101" s="88"/>
      <c r="MVI101" s="88"/>
      <c r="MVQ101" s="88"/>
      <c r="MVY101" s="88"/>
      <c r="MWG101" s="88"/>
      <c r="MWO101" s="88"/>
      <c r="MWW101" s="88"/>
      <c r="MXE101" s="88"/>
      <c r="MXM101" s="88"/>
      <c r="MXU101" s="88"/>
      <c r="MYC101" s="88"/>
      <c r="MYK101" s="88"/>
      <c r="MYS101" s="88"/>
      <c r="MZA101" s="88"/>
      <c r="MZI101" s="88"/>
      <c r="MZQ101" s="88"/>
      <c r="MZY101" s="88"/>
      <c r="NAG101" s="88"/>
      <c r="NAO101" s="88"/>
      <c r="NAW101" s="88"/>
      <c r="NBE101" s="88"/>
      <c r="NBM101" s="88"/>
      <c r="NBU101" s="88"/>
      <c r="NCC101" s="88"/>
      <c r="NCK101" s="88"/>
      <c r="NCS101" s="88"/>
      <c r="NDA101" s="88"/>
      <c r="NDI101" s="88"/>
      <c r="NDQ101" s="88"/>
      <c r="NDY101" s="88"/>
      <c r="NEG101" s="88"/>
      <c r="NEO101" s="88"/>
      <c r="NEW101" s="88"/>
      <c r="NFE101" s="88"/>
      <c r="NFM101" s="88"/>
      <c r="NFU101" s="88"/>
      <c r="NGC101" s="88"/>
      <c r="NGK101" s="88"/>
      <c r="NGS101" s="88"/>
      <c r="NHA101" s="88"/>
      <c r="NHI101" s="88"/>
      <c r="NHQ101" s="88"/>
      <c r="NHY101" s="88"/>
      <c r="NIG101" s="88"/>
      <c r="NIO101" s="88"/>
      <c r="NIW101" s="88"/>
      <c r="NJE101" s="88"/>
      <c r="NJM101" s="88"/>
      <c r="NJU101" s="88"/>
      <c r="NKC101" s="88"/>
      <c r="NKK101" s="88"/>
      <c r="NKS101" s="88"/>
      <c r="NLA101" s="88"/>
      <c r="NLI101" s="88"/>
      <c r="NLQ101" s="88"/>
      <c r="NLY101" s="88"/>
      <c r="NMG101" s="88"/>
      <c r="NMO101" s="88"/>
      <c r="NMW101" s="88"/>
      <c r="NNE101" s="88"/>
      <c r="NNM101" s="88"/>
      <c r="NNU101" s="88"/>
      <c r="NOC101" s="88"/>
      <c r="NOK101" s="88"/>
      <c r="NOS101" s="88"/>
      <c r="NPA101" s="88"/>
      <c r="NPI101" s="88"/>
      <c r="NPQ101" s="88"/>
      <c r="NPY101" s="88"/>
      <c r="NQG101" s="88"/>
      <c r="NQO101" s="88"/>
      <c r="NQW101" s="88"/>
      <c r="NRE101" s="88"/>
      <c r="NRM101" s="88"/>
      <c r="NRU101" s="88"/>
      <c r="NSC101" s="88"/>
      <c r="NSK101" s="88"/>
      <c r="NSS101" s="88"/>
      <c r="NTA101" s="88"/>
      <c r="NTI101" s="88"/>
      <c r="NTQ101" s="88"/>
      <c r="NTY101" s="88"/>
      <c r="NUG101" s="88"/>
      <c r="NUO101" s="88"/>
      <c r="NUW101" s="88"/>
      <c r="NVE101" s="88"/>
      <c r="NVM101" s="88"/>
      <c r="NVU101" s="88"/>
      <c r="NWC101" s="88"/>
      <c r="NWK101" s="88"/>
      <c r="NWS101" s="88"/>
      <c r="NXA101" s="88"/>
      <c r="NXI101" s="88"/>
      <c r="NXQ101" s="88"/>
      <c r="NXY101" s="88"/>
      <c r="NYG101" s="88"/>
      <c r="NYO101" s="88"/>
      <c r="NYW101" s="88"/>
      <c r="NZE101" s="88"/>
      <c r="NZM101" s="88"/>
      <c r="NZU101" s="88"/>
      <c r="OAC101" s="88"/>
      <c r="OAK101" s="88"/>
      <c r="OAS101" s="88"/>
      <c r="OBA101" s="88"/>
      <c r="OBI101" s="88"/>
      <c r="OBQ101" s="88"/>
      <c r="OBY101" s="88"/>
      <c r="OCG101" s="88"/>
      <c r="OCO101" s="88"/>
      <c r="OCW101" s="88"/>
      <c r="ODE101" s="88"/>
      <c r="ODM101" s="88"/>
      <c r="ODU101" s="88"/>
      <c r="OEC101" s="88"/>
      <c r="OEK101" s="88"/>
      <c r="OES101" s="88"/>
      <c r="OFA101" s="88"/>
      <c r="OFI101" s="88"/>
      <c r="OFQ101" s="88"/>
      <c r="OFY101" s="88"/>
      <c r="OGG101" s="88"/>
      <c r="OGO101" s="88"/>
      <c r="OGW101" s="88"/>
      <c r="OHE101" s="88"/>
      <c r="OHM101" s="88"/>
      <c r="OHU101" s="88"/>
      <c r="OIC101" s="88"/>
      <c r="OIK101" s="88"/>
      <c r="OIS101" s="88"/>
      <c r="OJA101" s="88"/>
      <c r="OJI101" s="88"/>
      <c r="OJQ101" s="88"/>
      <c r="OJY101" s="88"/>
      <c r="OKG101" s="88"/>
      <c r="OKO101" s="88"/>
      <c r="OKW101" s="88"/>
      <c r="OLE101" s="88"/>
      <c r="OLM101" s="88"/>
      <c r="OLU101" s="88"/>
      <c r="OMC101" s="88"/>
      <c r="OMK101" s="88"/>
      <c r="OMS101" s="88"/>
      <c r="ONA101" s="88"/>
      <c r="ONI101" s="88"/>
      <c r="ONQ101" s="88"/>
      <c r="ONY101" s="88"/>
      <c r="OOG101" s="88"/>
      <c r="OOO101" s="88"/>
      <c r="OOW101" s="88"/>
      <c r="OPE101" s="88"/>
      <c r="OPM101" s="88"/>
      <c r="OPU101" s="88"/>
      <c r="OQC101" s="88"/>
      <c r="OQK101" s="88"/>
      <c r="OQS101" s="88"/>
      <c r="ORA101" s="88"/>
      <c r="ORI101" s="88"/>
      <c r="ORQ101" s="88"/>
      <c r="ORY101" s="88"/>
      <c r="OSG101" s="88"/>
      <c r="OSO101" s="88"/>
      <c r="OSW101" s="88"/>
      <c r="OTE101" s="88"/>
      <c r="OTM101" s="88"/>
      <c r="OTU101" s="88"/>
      <c r="OUC101" s="88"/>
      <c r="OUK101" s="88"/>
      <c r="OUS101" s="88"/>
      <c r="OVA101" s="88"/>
      <c r="OVI101" s="88"/>
      <c r="OVQ101" s="88"/>
      <c r="OVY101" s="88"/>
      <c r="OWG101" s="88"/>
      <c r="OWO101" s="88"/>
      <c r="OWW101" s="88"/>
      <c r="OXE101" s="88"/>
      <c r="OXM101" s="88"/>
      <c r="OXU101" s="88"/>
      <c r="OYC101" s="88"/>
      <c r="OYK101" s="88"/>
      <c r="OYS101" s="88"/>
      <c r="OZA101" s="88"/>
      <c r="OZI101" s="88"/>
      <c r="OZQ101" s="88"/>
      <c r="OZY101" s="88"/>
      <c r="PAG101" s="88"/>
      <c r="PAO101" s="88"/>
      <c r="PAW101" s="88"/>
      <c r="PBE101" s="88"/>
      <c r="PBM101" s="88"/>
      <c r="PBU101" s="88"/>
      <c r="PCC101" s="88"/>
      <c r="PCK101" s="88"/>
      <c r="PCS101" s="88"/>
      <c r="PDA101" s="88"/>
      <c r="PDI101" s="88"/>
      <c r="PDQ101" s="88"/>
      <c r="PDY101" s="88"/>
      <c r="PEG101" s="88"/>
      <c r="PEO101" s="88"/>
      <c r="PEW101" s="88"/>
      <c r="PFE101" s="88"/>
      <c r="PFM101" s="88"/>
      <c r="PFU101" s="88"/>
      <c r="PGC101" s="88"/>
      <c r="PGK101" s="88"/>
      <c r="PGS101" s="88"/>
      <c r="PHA101" s="88"/>
      <c r="PHI101" s="88"/>
      <c r="PHQ101" s="88"/>
      <c r="PHY101" s="88"/>
      <c r="PIG101" s="88"/>
      <c r="PIO101" s="88"/>
      <c r="PIW101" s="88"/>
      <c r="PJE101" s="88"/>
      <c r="PJM101" s="88"/>
      <c r="PJU101" s="88"/>
      <c r="PKC101" s="88"/>
      <c r="PKK101" s="88"/>
      <c r="PKS101" s="88"/>
      <c r="PLA101" s="88"/>
      <c r="PLI101" s="88"/>
      <c r="PLQ101" s="88"/>
      <c r="PLY101" s="88"/>
      <c r="PMG101" s="88"/>
      <c r="PMO101" s="88"/>
      <c r="PMW101" s="88"/>
      <c r="PNE101" s="88"/>
      <c r="PNM101" s="88"/>
      <c r="PNU101" s="88"/>
      <c r="POC101" s="88"/>
      <c r="POK101" s="88"/>
      <c r="POS101" s="88"/>
      <c r="PPA101" s="88"/>
      <c r="PPI101" s="88"/>
      <c r="PPQ101" s="88"/>
      <c r="PPY101" s="88"/>
      <c r="PQG101" s="88"/>
      <c r="PQO101" s="88"/>
      <c r="PQW101" s="88"/>
      <c r="PRE101" s="88"/>
      <c r="PRM101" s="88"/>
      <c r="PRU101" s="88"/>
      <c r="PSC101" s="88"/>
      <c r="PSK101" s="88"/>
      <c r="PSS101" s="88"/>
      <c r="PTA101" s="88"/>
      <c r="PTI101" s="88"/>
      <c r="PTQ101" s="88"/>
      <c r="PTY101" s="88"/>
      <c r="PUG101" s="88"/>
      <c r="PUO101" s="88"/>
      <c r="PUW101" s="88"/>
      <c r="PVE101" s="88"/>
      <c r="PVM101" s="88"/>
      <c r="PVU101" s="88"/>
      <c r="PWC101" s="88"/>
      <c r="PWK101" s="88"/>
      <c r="PWS101" s="88"/>
      <c r="PXA101" s="88"/>
      <c r="PXI101" s="88"/>
      <c r="PXQ101" s="88"/>
      <c r="PXY101" s="88"/>
      <c r="PYG101" s="88"/>
      <c r="PYO101" s="88"/>
      <c r="PYW101" s="88"/>
      <c r="PZE101" s="88"/>
      <c r="PZM101" s="88"/>
      <c r="PZU101" s="88"/>
      <c r="QAC101" s="88"/>
      <c r="QAK101" s="88"/>
      <c r="QAS101" s="88"/>
      <c r="QBA101" s="88"/>
      <c r="QBI101" s="88"/>
      <c r="QBQ101" s="88"/>
      <c r="QBY101" s="88"/>
      <c r="QCG101" s="88"/>
      <c r="QCO101" s="88"/>
      <c r="QCW101" s="88"/>
      <c r="QDE101" s="88"/>
      <c r="QDM101" s="88"/>
      <c r="QDU101" s="88"/>
      <c r="QEC101" s="88"/>
      <c r="QEK101" s="88"/>
      <c r="QES101" s="88"/>
      <c r="QFA101" s="88"/>
      <c r="QFI101" s="88"/>
      <c r="QFQ101" s="88"/>
      <c r="QFY101" s="88"/>
      <c r="QGG101" s="88"/>
      <c r="QGO101" s="88"/>
      <c r="QGW101" s="88"/>
      <c r="QHE101" s="88"/>
      <c r="QHM101" s="88"/>
      <c r="QHU101" s="88"/>
      <c r="QIC101" s="88"/>
      <c r="QIK101" s="88"/>
      <c r="QIS101" s="88"/>
      <c r="QJA101" s="88"/>
      <c r="QJI101" s="88"/>
      <c r="QJQ101" s="88"/>
      <c r="QJY101" s="88"/>
      <c r="QKG101" s="88"/>
      <c r="QKO101" s="88"/>
      <c r="QKW101" s="88"/>
      <c r="QLE101" s="88"/>
      <c r="QLM101" s="88"/>
      <c r="QLU101" s="88"/>
      <c r="QMC101" s="88"/>
      <c r="QMK101" s="88"/>
      <c r="QMS101" s="88"/>
      <c r="QNA101" s="88"/>
      <c r="QNI101" s="88"/>
      <c r="QNQ101" s="88"/>
      <c r="QNY101" s="88"/>
      <c r="QOG101" s="88"/>
      <c r="QOO101" s="88"/>
      <c r="QOW101" s="88"/>
      <c r="QPE101" s="88"/>
      <c r="QPM101" s="88"/>
      <c r="QPU101" s="88"/>
      <c r="QQC101" s="88"/>
      <c r="QQK101" s="88"/>
      <c r="QQS101" s="88"/>
      <c r="QRA101" s="88"/>
      <c r="QRI101" s="88"/>
      <c r="QRQ101" s="88"/>
      <c r="QRY101" s="88"/>
      <c r="QSG101" s="88"/>
      <c r="QSO101" s="88"/>
      <c r="QSW101" s="88"/>
      <c r="QTE101" s="88"/>
      <c r="QTM101" s="88"/>
      <c r="QTU101" s="88"/>
      <c r="QUC101" s="88"/>
      <c r="QUK101" s="88"/>
      <c r="QUS101" s="88"/>
      <c r="QVA101" s="88"/>
      <c r="QVI101" s="88"/>
      <c r="QVQ101" s="88"/>
      <c r="QVY101" s="88"/>
      <c r="QWG101" s="88"/>
      <c r="QWO101" s="88"/>
      <c r="QWW101" s="88"/>
      <c r="QXE101" s="88"/>
      <c r="QXM101" s="88"/>
      <c r="QXU101" s="88"/>
      <c r="QYC101" s="88"/>
      <c r="QYK101" s="88"/>
      <c r="QYS101" s="88"/>
      <c r="QZA101" s="88"/>
      <c r="QZI101" s="88"/>
      <c r="QZQ101" s="88"/>
      <c r="QZY101" s="88"/>
      <c r="RAG101" s="88"/>
      <c r="RAO101" s="88"/>
      <c r="RAW101" s="88"/>
      <c r="RBE101" s="88"/>
      <c r="RBM101" s="88"/>
      <c r="RBU101" s="88"/>
      <c r="RCC101" s="88"/>
      <c r="RCK101" s="88"/>
      <c r="RCS101" s="88"/>
      <c r="RDA101" s="88"/>
      <c r="RDI101" s="88"/>
      <c r="RDQ101" s="88"/>
      <c r="RDY101" s="88"/>
      <c r="REG101" s="88"/>
      <c r="REO101" s="88"/>
      <c r="REW101" s="88"/>
      <c r="RFE101" s="88"/>
      <c r="RFM101" s="88"/>
      <c r="RFU101" s="88"/>
      <c r="RGC101" s="88"/>
      <c r="RGK101" s="88"/>
      <c r="RGS101" s="88"/>
      <c r="RHA101" s="88"/>
      <c r="RHI101" s="88"/>
      <c r="RHQ101" s="88"/>
      <c r="RHY101" s="88"/>
      <c r="RIG101" s="88"/>
      <c r="RIO101" s="88"/>
      <c r="RIW101" s="88"/>
      <c r="RJE101" s="88"/>
      <c r="RJM101" s="88"/>
      <c r="RJU101" s="88"/>
      <c r="RKC101" s="88"/>
      <c r="RKK101" s="88"/>
      <c r="RKS101" s="88"/>
      <c r="RLA101" s="88"/>
      <c r="RLI101" s="88"/>
      <c r="RLQ101" s="88"/>
      <c r="RLY101" s="88"/>
      <c r="RMG101" s="88"/>
      <c r="RMO101" s="88"/>
      <c r="RMW101" s="88"/>
      <c r="RNE101" s="88"/>
      <c r="RNM101" s="88"/>
      <c r="RNU101" s="88"/>
      <c r="ROC101" s="88"/>
      <c r="ROK101" s="88"/>
      <c r="ROS101" s="88"/>
      <c r="RPA101" s="88"/>
      <c r="RPI101" s="88"/>
      <c r="RPQ101" s="88"/>
      <c r="RPY101" s="88"/>
      <c r="RQG101" s="88"/>
      <c r="RQO101" s="88"/>
      <c r="RQW101" s="88"/>
      <c r="RRE101" s="88"/>
      <c r="RRM101" s="88"/>
      <c r="RRU101" s="88"/>
      <c r="RSC101" s="88"/>
      <c r="RSK101" s="88"/>
      <c r="RSS101" s="88"/>
      <c r="RTA101" s="88"/>
      <c r="RTI101" s="88"/>
      <c r="RTQ101" s="88"/>
      <c r="RTY101" s="88"/>
      <c r="RUG101" s="88"/>
      <c r="RUO101" s="88"/>
      <c r="RUW101" s="88"/>
      <c r="RVE101" s="88"/>
      <c r="RVM101" s="88"/>
      <c r="RVU101" s="88"/>
      <c r="RWC101" s="88"/>
      <c r="RWK101" s="88"/>
      <c r="RWS101" s="88"/>
      <c r="RXA101" s="88"/>
      <c r="RXI101" s="88"/>
      <c r="RXQ101" s="88"/>
      <c r="RXY101" s="88"/>
      <c r="RYG101" s="88"/>
      <c r="RYO101" s="88"/>
      <c r="RYW101" s="88"/>
      <c r="RZE101" s="88"/>
      <c r="RZM101" s="88"/>
      <c r="RZU101" s="88"/>
      <c r="SAC101" s="88"/>
      <c r="SAK101" s="88"/>
      <c r="SAS101" s="88"/>
      <c r="SBA101" s="88"/>
      <c r="SBI101" s="88"/>
      <c r="SBQ101" s="88"/>
      <c r="SBY101" s="88"/>
      <c r="SCG101" s="88"/>
      <c r="SCO101" s="88"/>
      <c r="SCW101" s="88"/>
      <c r="SDE101" s="88"/>
      <c r="SDM101" s="88"/>
      <c r="SDU101" s="88"/>
      <c r="SEC101" s="88"/>
      <c r="SEK101" s="88"/>
      <c r="SES101" s="88"/>
      <c r="SFA101" s="88"/>
      <c r="SFI101" s="88"/>
      <c r="SFQ101" s="88"/>
      <c r="SFY101" s="88"/>
      <c r="SGG101" s="88"/>
      <c r="SGO101" s="88"/>
      <c r="SGW101" s="88"/>
      <c r="SHE101" s="88"/>
      <c r="SHM101" s="88"/>
      <c r="SHU101" s="88"/>
      <c r="SIC101" s="88"/>
      <c r="SIK101" s="88"/>
      <c r="SIS101" s="88"/>
      <c r="SJA101" s="88"/>
      <c r="SJI101" s="88"/>
      <c r="SJQ101" s="88"/>
      <c r="SJY101" s="88"/>
      <c r="SKG101" s="88"/>
      <c r="SKO101" s="88"/>
      <c r="SKW101" s="88"/>
      <c r="SLE101" s="88"/>
      <c r="SLM101" s="88"/>
      <c r="SLU101" s="88"/>
      <c r="SMC101" s="88"/>
      <c r="SMK101" s="88"/>
      <c r="SMS101" s="88"/>
      <c r="SNA101" s="88"/>
      <c r="SNI101" s="88"/>
      <c r="SNQ101" s="88"/>
      <c r="SNY101" s="88"/>
      <c r="SOG101" s="88"/>
      <c r="SOO101" s="88"/>
      <c r="SOW101" s="88"/>
      <c r="SPE101" s="88"/>
      <c r="SPM101" s="88"/>
      <c r="SPU101" s="88"/>
      <c r="SQC101" s="88"/>
      <c r="SQK101" s="88"/>
      <c r="SQS101" s="88"/>
      <c r="SRA101" s="88"/>
      <c r="SRI101" s="88"/>
      <c r="SRQ101" s="88"/>
      <c r="SRY101" s="88"/>
      <c r="SSG101" s="88"/>
      <c r="SSO101" s="88"/>
      <c r="SSW101" s="88"/>
      <c r="STE101" s="88"/>
      <c r="STM101" s="88"/>
      <c r="STU101" s="88"/>
      <c r="SUC101" s="88"/>
      <c r="SUK101" s="88"/>
      <c r="SUS101" s="88"/>
      <c r="SVA101" s="88"/>
      <c r="SVI101" s="88"/>
      <c r="SVQ101" s="88"/>
      <c r="SVY101" s="88"/>
      <c r="SWG101" s="88"/>
      <c r="SWO101" s="88"/>
      <c r="SWW101" s="88"/>
      <c r="SXE101" s="88"/>
      <c r="SXM101" s="88"/>
      <c r="SXU101" s="88"/>
      <c r="SYC101" s="88"/>
      <c r="SYK101" s="88"/>
      <c r="SYS101" s="88"/>
      <c r="SZA101" s="88"/>
      <c r="SZI101" s="88"/>
      <c r="SZQ101" s="88"/>
      <c r="SZY101" s="88"/>
      <c r="TAG101" s="88"/>
      <c r="TAO101" s="88"/>
      <c r="TAW101" s="88"/>
      <c r="TBE101" s="88"/>
      <c r="TBM101" s="88"/>
      <c r="TBU101" s="88"/>
      <c r="TCC101" s="88"/>
      <c r="TCK101" s="88"/>
      <c r="TCS101" s="88"/>
      <c r="TDA101" s="88"/>
      <c r="TDI101" s="88"/>
      <c r="TDQ101" s="88"/>
      <c r="TDY101" s="88"/>
      <c r="TEG101" s="88"/>
      <c r="TEO101" s="88"/>
      <c r="TEW101" s="88"/>
      <c r="TFE101" s="88"/>
      <c r="TFM101" s="88"/>
      <c r="TFU101" s="88"/>
      <c r="TGC101" s="88"/>
      <c r="TGK101" s="88"/>
      <c r="TGS101" s="88"/>
      <c r="THA101" s="88"/>
      <c r="THI101" s="88"/>
      <c r="THQ101" s="88"/>
      <c r="THY101" s="88"/>
      <c r="TIG101" s="88"/>
      <c r="TIO101" s="88"/>
      <c r="TIW101" s="88"/>
      <c r="TJE101" s="88"/>
      <c r="TJM101" s="88"/>
      <c r="TJU101" s="88"/>
      <c r="TKC101" s="88"/>
      <c r="TKK101" s="88"/>
      <c r="TKS101" s="88"/>
      <c r="TLA101" s="88"/>
      <c r="TLI101" s="88"/>
      <c r="TLQ101" s="88"/>
      <c r="TLY101" s="88"/>
      <c r="TMG101" s="88"/>
      <c r="TMO101" s="88"/>
      <c r="TMW101" s="88"/>
      <c r="TNE101" s="88"/>
      <c r="TNM101" s="88"/>
      <c r="TNU101" s="88"/>
      <c r="TOC101" s="88"/>
      <c r="TOK101" s="88"/>
      <c r="TOS101" s="88"/>
      <c r="TPA101" s="88"/>
      <c r="TPI101" s="88"/>
      <c r="TPQ101" s="88"/>
      <c r="TPY101" s="88"/>
      <c r="TQG101" s="88"/>
      <c r="TQO101" s="88"/>
      <c r="TQW101" s="88"/>
      <c r="TRE101" s="88"/>
      <c r="TRM101" s="88"/>
      <c r="TRU101" s="88"/>
      <c r="TSC101" s="88"/>
      <c r="TSK101" s="88"/>
      <c r="TSS101" s="88"/>
      <c r="TTA101" s="88"/>
      <c r="TTI101" s="88"/>
      <c r="TTQ101" s="88"/>
      <c r="TTY101" s="88"/>
      <c r="TUG101" s="88"/>
      <c r="TUO101" s="88"/>
      <c r="TUW101" s="88"/>
      <c r="TVE101" s="88"/>
      <c r="TVM101" s="88"/>
      <c r="TVU101" s="88"/>
      <c r="TWC101" s="88"/>
      <c r="TWK101" s="88"/>
      <c r="TWS101" s="88"/>
      <c r="TXA101" s="88"/>
      <c r="TXI101" s="88"/>
      <c r="TXQ101" s="88"/>
      <c r="TXY101" s="88"/>
      <c r="TYG101" s="88"/>
      <c r="TYO101" s="88"/>
      <c r="TYW101" s="88"/>
      <c r="TZE101" s="88"/>
      <c r="TZM101" s="88"/>
      <c r="TZU101" s="88"/>
      <c r="UAC101" s="88"/>
      <c r="UAK101" s="88"/>
      <c r="UAS101" s="88"/>
      <c r="UBA101" s="88"/>
      <c r="UBI101" s="88"/>
      <c r="UBQ101" s="88"/>
      <c r="UBY101" s="88"/>
      <c r="UCG101" s="88"/>
      <c r="UCO101" s="88"/>
      <c r="UCW101" s="88"/>
      <c r="UDE101" s="88"/>
      <c r="UDM101" s="88"/>
      <c r="UDU101" s="88"/>
      <c r="UEC101" s="88"/>
      <c r="UEK101" s="88"/>
      <c r="UES101" s="88"/>
      <c r="UFA101" s="88"/>
      <c r="UFI101" s="88"/>
      <c r="UFQ101" s="88"/>
      <c r="UFY101" s="88"/>
      <c r="UGG101" s="88"/>
      <c r="UGO101" s="88"/>
      <c r="UGW101" s="88"/>
      <c r="UHE101" s="88"/>
      <c r="UHM101" s="88"/>
      <c r="UHU101" s="88"/>
      <c r="UIC101" s="88"/>
      <c r="UIK101" s="88"/>
      <c r="UIS101" s="88"/>
      <c r="UJA101" s="88"/>
      <c r="UJI101" s="88"/>
      <c r="UJQ101" s="88"/>
      <c r="UJY101" s="88"/>
      <c r="UKG101" s="88"/>
      <c r="UKO101" s="88"/>
      <c r="UKW101" s="88"/>
      <c r="ULE101" s="88"/>
      <c r="ULM101" s="88"/>
      <c r="ULU101" s="88"/>
      <c r="UMC101" s="88"/>
      <c r="UMK101" s="88"/>
      <c r="UMS101" s="88"/>
      <c r="UNA101" s="88"/>
      <c r="UNI101" s="88"/>
      <c r="UNQ101" s="88"/>
      <c r="UNY101" s="88"/>
      <c r="UOG101" s="88"/>
      <c r="UOO101" s="88"/>
      <c r="UOW101" s="88"/>
      <c r="UPE101" s="88"/>
      <c r="UPM101" s="88"/>
      <c r="UPU101" s="88"/>
      <c r="UQC101" s="88"/>
      <c r="UQK101" s="88"/>
      <c r="UQS101" s="88"/>
      <c r="URA101" s="88"/>
      <c r="URI101" s="88"/>
      <c r="URQ101" s="88"/>
      <c r="URY101" s="88"/>
      <c r="USG101" s="88"/>
      <c r="USO101" s="88"/>
      <c r="USW101" s="88"/>
      <c r="UTE101" s="88"/>
      <c r="UTM101" s="88"/>
      <c r="UTU101" s="88"/>
      <c r="UUC101" s="88"/>
      <c r="UUK101" s="88"/>
      <c r="UUS101" s="88"/>
      <c r="UVA101" s="88"/>
      <c r="UVI101" s="88"/>
      <c r="UVQ101" s="88"/>
      <c r="UVY101" s="88"/>
      <c r="UWG101" s="88"/>
      <c r="UWO101" s="88"/>
      <c r="UWW101" s="88"/>
      <c r="UXE101" s="88"/>
      <c r="UXM101" s="88"/>
      <c r="UXU101" s="88"/>
      <c r="UYC101" s="88"/>
      <c r="UYK101" s="88"/>
      <c r="UYS101" s="88"/>
      <c r="UZA101" s="88"/>
      <c r="UZI101" s="88"/>
      <c r="UZQ101" s="88"/>
      <c r="UZY101" s="88"/>
      <c r="VAG101" s="88"/>
      <c r="VAO101" s="88"/>
      <c r="VAW101" s="88"/>
      <c r="VBE101" s="88"/>
      <c r="VBM101" s="88"/>
      <c r="VBU101" s="88"/>
      <c r="VCC101" s="88"/>
      <c r="VCK101" s="88"/>
      <c r="VCS101" s="88"/>
      <c r="VDA101" s="88"/>
      <c r="VDI101" s="88"/>
      <c r="VDQ101" s="88"/>
      <c r="VDY101" s="88"/>
      <c r="VEG101" s="88"/>
      <c r="VEO101" s="88"/>
      <c r="VEW101" s="88"/>
      <c r="VFE101" s="88"/>
      <c r="VFM101" s="88"/>
      <c r="VFU101" s="88"/>
      <c r="VGC101" s="88"/>
      <c r="VGK101" s="88"/>
      <c r="VGS101" s="88"/>
      <c r="VHA101" s="88"/>
      <c r="VHI101" s="88"/>
      <c r="VHQ101" s="88"/>
      <c r="VHY101" s="88"/>
      <c r="VIG101" s="88"/>
      <c r="VIO101" s="88"/>
      <c r="VIW101" s="88"/>
      <c r="VJE101" s="88"/>
      <c r="VJM101" s="88"/>
      <c r="VJU101" s="88"/>
      <c r="VKC101" s="88"/>
      <c r="VKK101" s="88"/>
      <c r="VKS101" s="88"/>
      <c r="VLA101" s="88"/>
      <c r="VLI101" s="88"/>
      <c r="VLQ101" s="88"/>
      <c r="VLY101" s="88"/>
      <c r="VMG101" s="88"/>
      <c r="VMO101" s="88"/>
      <c r="VMW101" s="88"/>
      <c r="VNE101" s="88"/>
      <c r="VNM101" s="88"/>
      <c r="VNU101" s="88"/>
      <c r="VOC101" s="88"/>
      <c r="VOK101" s="88"/>
      <c r="VOS101" s="88"/>
      <c r="VPA101" s="88"/>
      <c r="VPI101" s="88"/>
      <c r="VPQ101" s="88"/>
      <c r="VPY101" s="88"/>
      <c r="VQG101" s="88"/>
      <c r="VQO101" s="88"/>
      <c r="VQW101" s="88"/>
      <c r="VRE101" s="88"/>
      <c r="VRM101" s="88"/>
      <c r="VRU101" s="88"/>
      <c r="VSC101" s="88"/>
      <c r="VSK101" s="88"/>
      <c r="VSS101" s="88"/>
      <c r="VTA101" s="88"/>
      <c r="VTI101" s="88"/>
      <c r="VTQ101" s="88"/>
      <c r="VTY101" s="88"/>
      <c r="VUG101" s="88"/>
      <c r="VUO101" s="88"/>
      <c r="VUW101" s="88"/>
      <c r="VVE101" s="88"/>
      <c r="VVM101" s="88"/>
      <c r="VVU101" s="88"/>
      <c r="VWC101" s="88"/>
      <c r="VWK101" s="88"/>
      <c r="VWS101" s="88"/>
      <c r="VXA101" s="88"/>
      <c r="VXI101" s="88"/>
      <c r="VXQ101" s="88"/>
      <c r="VXY101" s="88"/>
      <c r="VYG101" s="88"/>
      <c r="VYO101" s="88"/>
      <c r="VYW101" s="88"/>
      <c r="VZE101" s="88"/>
      <c r="VZM101" s="88"/>
      <c r="VZU101" s="88"/>
      <c r="WAC101" s="88"/>
      <c r="WAK101" s="88"/>
      <c r="WAS101" s="88"/>
      <c r="WBA101" s="88"/>
      <c r="WBI101" s="88"/>
      <c r="WBQ101" s="88"/>
      <c r="WBY101" s="88"/>
      <c r="WCG101" s="88"/>
      <c r="WCO101" s="88"/>
      <c r="WCW101" s="88"/>
      <c r="WDE101" s="88"/>
      <c r="WDM101" s="88"/>
      <c r="WDU101" s="88"/>
      <c r="WEC101" s="88"/>
      <c r="WEK101" s="88"/>
      <c r="WES101" s="88"/>
      <c r="WFA101" s="88"/>
      <c r="WFI101" s="88"/>
      <c r="WFQ101" s="88"/>
      <c r="WFY101" s="88"/>
      <c r="WGG101" s="88"/>
      <c r="WGO101" s="88"/>
      <c r="WGW101" s="88"/>
      <c r="WHE101" s="88"/>
      <c r="WHM101" s="88"/>
      <c r="WHU101" s="88"/>
      <c r="WIC101" s="88"/>
      <c r="WIK101" s="88"/>
      <c r="WIS101" s="88"/>
      <c r="WJA101" s="88"/>
      <c r="WJI101" s="88"/>
      <c r="WJQ101" s="88"/>
      <c r="WJY101" s="88"/>
      <c r="WKG101" s="88"/>
      <c r="WKO101" s="88"/>
      <c r="WKW101" s="88"/>
      <c r="WLE101" s="88"/>
      <c r="WLM101" s="88"/>
      <c r="WLU101" s="88"/>
      <c r="WMC101" s="88"/>
      <c r="WMK101" s="88"/>
      <c r="WMS101" s="88"/>
      <c r="WNA101" s="88"/>
      <c r="WNI101" s="88"/>
      <c r="WNQ101" s="88"/>
      <c r="WNY101" s="88"/>
      <c r="WOG101" s="88"/>
      <c r="WOO101" s="88"/>
      <c r="WOW101" s="88"/>
      <c r="WPE101" s="88"/>
      <c r="WPM101" s="88"/>
      <c r="WPU101" s="88"/>
      <c r="WQC101" s="88"/>
      <c r="WQK101" s="88"/>
      <c r="WQS101" s="88"/>
      <c r="WRA101" s="88"/>
      <c r="WRI101" s="88"/>
      <c r="WRQ101" s="88"/>
      <c r="WRY101" s="88"/>
      <c r="WSG101" s="88"/>
      <c r="WSO101" s="88"/>
      <c r="WSW101" s="88"/>
      <c r="WTE101" s="88"/>
      <c r="WTM101" s="88"/>
      <c r="WTU101" s="88"/>
      <c r="WUC101" s="88"/>
      <c r="WUK101" s="88"/>
      <c r="WUS101" s="88"/>
      <c r="WVA101" s="88"/>
      <c r="WVI101" s="88"/>
      <c r="WVQ101" s="88"/>
      <c r="WVY101" s="88"/>
      <c r="WWG101" s="88"/>
      <c r="WWO101" s="88"/>
      <c r="WWW101" s="88"/>
      <c r="WXE101" s="88"/>
      <c r="WXM101" s="88"/>
      <c r="WXU101" s="88"/>
      <c r="WYC101" s="88"/>
      <c r="WYK101" s="88"/>
      <c r="WYS101" s="88"/>
      <c r="WZA101" s="88"/>
      <c r="WZI101" s="88"/>
      <c r="WZQ101" s="88"/>
      <c r="WZY101" s="88"/>
      <c r="XAG101" s="88"/>
      <c r="XAO101" s="88"/>
      <c r="XAW101" s="88"/>
      <c r="XBE101" s="88"/>
      <c r="XBM101" s="88"/>
      <c r="XBU101" s="88"/>
      <c r="XCC101" s="88"/>
      <c r="XCK101" s="88"/>
      <c r="XCS101" s="88"/>
      <c r="XDA101" s="88"/>
      <c r="XDI101" s="88"/>
      <c r="XDQ101" s="88"/>
      <c r="XDY101" s="88"/>
      <c r="XEG101" s="88"/>
      <c r="XEO101" s="88"/>
      <c r="XEW101" s="88"/>
    </row>
    <row r="102" spans="1:1017 1025:2041 2049:3065 3073:4089 4097:5113 5121:6137 6145:7161 7169:8185 8193:9209 9217:10233 10241:11257 11265:12281 12289:13305 13313:14329 14337:15353 15361:16377" s="99" customFormat="1" ht="15.75" customHeight="1" x14ac:dyDescent="0.25">
      <c r="A102" s="88" t="s">
        <v>1040</v>
      </c>
      <c r="B102" s="99">
        <v>0</v>
      </c>
      <c r="C102" s="99">
        <v>60328.04</v>
      </c>
      <c r="D102" s="99">
        <v>0</v>
      </c>
      <c r="E102" s="99">
        <v>0</v>
      </c>
      <c r="F102" s="99">
        <v>0</v>
      </c>
      <c r="G102" s="99">
        <v>0</v>
      </c>
      <c r="H102" s="99">
        <v>60328.04</v>
      </c>
      <c r="I102" s="88"/>
      <c r="Q102" s="88"/>
      <c r="Y102" s="88"/>
      <c r="AG102" s="88"/>
      <c r="AO102" s="88"/>
      <c r="AW102" s="88"/>
      <c r="BE102" s="88"/>
      <c r="BM102" s="88"/>
      <c r="BU102" s="88"/>
      <c r="CC102" s="88"/>
      <c r="CK102" s="88"/>
      <c r="CS102" s="88"/>
      <c r="DA102" s="88"/>
      <c r="DI102" s="88"/>
      <c r="DQ102" s="88"/>
      <c r="DY102" s="88"/>
      <c r="EG102" s="88"/>
      <c r="EO102" s="88"/>
      <c r="EW102" s="88"/>
      <c r="FE102" s="88"/>
      <c r="FM102" s="88"/>
      <c r="FU102" s="88"/>
      <c r="GC102" s="88"/>
      <c r="GK102" s="88"/>
      <c r="GS102" s="88"/>
      <c r="HA102" s="88"/>
      <c r="HI102" s="88"/>
      <c r="HQ102" s="88"/>
      <c r="HY102" s="88"/>
      <c r="IG102" s="88"/>
      <c r="IO102" s="88"/>
      <c r="IW102" s="88"/>
      <c r="JE102" s="88"/>
      <c r="JM102" s="88"/>
      <c r="JU102" s="88"/>
      <c r="KC102" s="88"/>
      <c r="KK102" s="88"/>
      <c r="KS102" s="88"/>
      <c r="LA102" s="88"/>
      <c r="LI102" s="88"/>
      <c r="LQ102" s="88"/>
      <c r="LY102" s="88"/>
      <c r="MG102" s="88"/>
      <c r="MO102" s="88"/>
      <c r="MW102" s="88"/>
      <c r="NE102" s="88"/>
      <c r="NM102" s="88"/>
      <c r="NU102" s="88"/>
      <c r="OC102" s="88"/>
      <c r="OK102" s="88"/>
      <c r="OS102" s="88"/>
      <c r="PA102" s="88"/>
      <c r="PI102" s="88"/>
      <c r="PQ102" s="88"/>
      <c r="PY102" s="88"/>
      <c r="QG102" s="88"/>
      <c r="QO102" s="88"/>
      <c r="QW102" s="88"/>
      <c r="RE102" s="88"/>
      <c r="RM102" s="88"/>
      <c r="RU102" s="88"/>
      <c r="SC102" s="88"/>
      <c r="SK102" s="88"/>
      <c r="SS102" s="88"/>
      <c r="TA102" s="88"/>
      <c r="TI102" s="88"/>
      <c r="TQ102" s="88"/>
      <c r="TY102" s="88"/>
      <c r="UG102" s="88"/>
      <c r="UO102" s="88"/>
      <c r="UW102" s="88"/>
      <c r="VE102" s="88"/>
      <c r="VM102" s="88"/>
      <c r="VU102" s="88"/>
      <c r="WC102" s="88"/>
      <c r="WK102" s="88"/>
      <c r="WS102" s="88"/>
      <c r="XA102" s="88"/>
      <c r="XI102" s="88"/>
      <c r="XQ102" s="88"/>
      <c r="XY102" s="88"/>
      <c r="YG102" s="88"/>
      <c r="YO102" s="88"/>
      <c r="YW102" s="88"/>
      <c r="ZE102" s="88"/>
      <c r="ZM102" s="88"/>
      <c r="ZU102" s="88"/>
      <c r="AAC102" s="88"/>
      <c r="AAK102" s="88"/>
      <c r="AAS102" s="88"/>
      <c r="ABA102" s="88"/>
      <c r="ABI102" s="88"/>
      <c r="ABQ102" s="88"/>
      <c r="ABY102" s="88"/>
      <c r="ACG102" s="88"/>
      <c r="ACO102" s="88"/>
      <c r="ACW102" s="88"/>
      <c r="ADE102" s="88"/>
      <c r="ADM102" s="88"/>
      <c r="ADU102" s="88"/>
      <c r="AEC102" s="88"/>
      <c r="AEK102" s="88"/>
      <c r="AES102" s="88"/>
      <c r="AFA102" s="88"/>
      <c r="AFI102" s="88"/>
      <c r="AFQ102" s="88"/>
      <c r="AFY102" s="88"/>
      <c r="AGG102" s="88"/>
      <c r="AGO102" s="88"/>
      <c r="AGW102" s="88"/>
      <c r="AHE102" s="88"/>
      <c r="AHM102" s="88"/>
      <c r="AHU102" s="88"/>
      <c r="AIC102" s="88"/>
      <c r="AIK102" s="88"/>
      <c r="AIS102" s="88"/>
      <c r="AJA102" s="88"/>
      <c r="AJI102" s="88"/>
      <c r="AJQ102" s="88"/>
      <c r="AJY102" s="88"/>
      <c r="AKG102" s="88"/>
      <c r="AKO102" s="88"/>
      <c r="AKW102" s="88"/>
      <c r="ALE102" s="88"/>
      <c r="ALM102" s="88"/>
      <c r="ALU102" s="88"/>
      <c r="AMC102" s="88"/>
      <c r="AMK102" s="88"/>
      <c r="AMS102" s="88"/>
      <c r="ANA102" s="88"/>
      <c r="ANI102" s="88"/>
      <c r="ANQ102" s="88"/>
      <c r="ANY102" s="88"/>
      <c r="AOG102" s="88"/>
      <c r="AOO102" s="88"/>
      <c r="AOW102" s="88"/>
      <c r="APE102" s="88"/>
      <c r="APM102" s="88"/>
      <c r="APU102" s="88"/>
      <c r="AQC102" s="88"/>
      <c r="AQK102" s="88"/>
      <c r="AQS102" s="88"/>
      <c r="ARA102" s="88"/>
      <c r="ARI102" s="88"/>
      <c r="ARQ102" s="88"/>
      <c r="ARY102" s="88"/>
      <c r="ASG102" s="88"/>
      <c r="ASO102" s="88"/>
      <c r="ASW102" s="88"/>
      <c r="ATE102" s="88"/>
      <c r="ATM102" s="88"/>
      <c r="ATU102" s="88"/>
      <c r="AUC102" s="88"/>
      <c r="AUK102" s="88"/>
      <c r="AUS102" s="88"/>
      <c r="AVA102" s="88"/>
      <c r="AVI102" s="88"/>
      <c r="AVQ102" s="88"/>
      <c r="AVY102" s="88"/>
      <c r="AWG102" s="88"/>
      <c r="AWO102" s="88"/>
      <c r="AWW102" s="88"/>
      <c r="AXE102" s="88"/>
      <c r="AXM102" s="88"/>
      <c r="AXU102" s="88"/>
      <c r="AYC102" s="88"/>
      <c r="AYK102" s="88"/>
      <c r="AYS102" s="88"/>
      <c r="AZA102" s="88"/>
      <c r="AZI102" s="88"/>
      <c r="AZQ102" s="88"/>
      <c r="AZY102" s="88"/>
      <c r="BAG102" s="88"/>
      <c r="BAO102" s="88"/>
      <c r="BAW102" s="88"/>
      <c r="BBE102" s="88"/>
      <c r="BBM102" s="88"/>
      <c r="BBU102" s="88"/>
      <c r="BCC102" s="88"/>
      <c r="BCK102" s="88"/>
      <c r="BCS102" s="88"/>
      <c r="BDA102" s="88"/>
      <c r="BDI102" s="88"/>
      <c r="BDQ102" s="88"/>
      <c r="BDY102" s="88"/>
      <c r="BEG102" s="88"/>
      <c r="BEO102" s="88"/>
      <c r="BEW102" s="88"/>
      <c r="BFE102" s="88"/>
      <c r="BFM102" s="88"/>
      <c r="BFU102" s="88"/>
      <c r="BGC102" s="88"/>
      <c r="BGK102" s="88"/>
      <c r="BGS102" s="88"/>
      <c r="BHA102" s="88"/>
      <c r="BHI102" s="88"/>
      <c r="BHQ102" s="88"/>
      <c r="BHY102" s="88"/>
      <c r="BIG102" s="88"/>
      <c r="BIO102" s="88"/>
      <c r="BIW102" s="88"/>
      <c r="BJE102" s="88"/>
      <c r="BJM102" s="88"/>
      <c r="BJU102" s="88"/>
      <c r="BKC102" s="88"/>
      <c r="BKK102" s="88"/>
      <c r="BKS102" s="88"/>
      <c r="BLA102" s="88"/>
      <c r="BLI102" s="88"/>
      <c r="BLQ102" s="88"/>
      <c r="BLY102" s="88"/>
      <c r="BMG102" s="88"/>
      <c r="BMO102" s="88"/>
      <c r="BMW102" s="88"/>
      <c r="BNE102" s="88"/>
      <c r="BNM102" s="88"/>
      <c r="BNU102" s="88"/>
      <c r="BOC102" s="88"/>
      <c r="BOK102" s="88"/>
      <c r="BOS102" s="88"/>
      <c r="BPA102" s="88"/>
      <c r="BPI102" s="88"/>
      <c r="BPQ102" s="88"/>
      <c r="BPY102" s="88"/>
      <c r="BQG102" s="88"/>
      <c r="BQO102" s="88"/>
      <c r="BQW102" s="88"/>
      <c r="BRE102" s="88"/>
      <c r="BRM102" s="88"/>
      <c r="BRU102" s="88"/>
      <c r="BSC102" s="88"/>
      <c r="BSK102" s="88"/>
      <c r="BSS102" s="88"/>
      <c r="BTA102" s="88"/>
      <c r="BTI102" s="88"/>
      <c r="BTQ102" s="88"/>
      <c r="BTY102" s="88"/>
      <c r="BUG102" s="88"/>
      <c r="BUO102" s="88"/>
      <c r="BUW102" s="88"/>
      <c r="BVE102" s="88"/>
      <c r="BVM102" s="88"/>
      <c r="BVU102" s="88"/>
      <c r="BWC102" s="88"/>
      <c r="BWK102" s="88"/>
      <c r="BWS102" s="88"/>
      <c r="BXA102" s="88"/>
      <c r="BXI102" s="88"/>
      <c r="BXQ102" s="88"/>
      <c r="BXY102" s="88"/>
      <c r="BYG102" s="88"/>
      <c r="BYO102" s="88"/>
      <c r="BYW102" s="88"/>
      <c r="BZE102" s="88"/>
      <c r="BZM102" s="88"/>
      <c r="BZU102" s="88"/>
      <c r="CAC102" s="88"/>
      <c r="CAK102" s="88"/>
      <c r="CAS102" s="88"/>
      <c r="CBA102" s="88"/>
      <c r="CBI102" s="88"/>
      <c r="CBQ102" s="88"/>
      <c r="CBY102" s="88"/>
      <c r="CCG102" s="88"/>
      <c r="CCO102" s="88"/>
      <c r="CCW102" s="88"/>
      <c r="CDE102" s="88"/>
      <c r="CDM102" s="88"/>
      <c r="CDU102" s="88"/>
      <c r="CEC102" s="88"/>
      <c r="CEK102" s="88"/>
      <c r="CES102" s="88"/>
      <c r="CFA102" s="88"/>
      <c r="CFI102" s="88"/>
      <c r="CFQ102" s="88"/>
      <c r="CFY102" s="88"/>
      <c r="CGG102" s="88"/>
      <c r="CGO102" s="88"/>
      <c r="CGW102" s="88"/>
      <c r="CHE102" s="88"/>
      <c r="CHM102" s="88"/>
      <c r="CHU102" s="88"/>
      <c r="CIC102" s="88"/>
      <c r="CIK102" s="88"/>
      <c r="CIS102" s="88"/>
      <c r="CJA102" s="88"/>
      <c r="CJI102" s="88"/>
      <c r="CJQ102" s="88"/>
      <c r="CJY102" s="88"/>
      <c r="CKG102" s="88"/>
      <c r="CKO102" s="88"/>
      <c r="CKW102" s="88"/>
      <c r="CLE102" s="88"/>
      <c r="CLM102" s="88"/>
      <c r="CLU102" s="88"/>
      <c r="CMC102" s="88"/>
      <c r="CMK102" s="88"/>
      <c r="CMS102" s="88"/>
      <c r="CNA102" s="88"/>
      <c r="CNI102" s="88"/>
      <c r="CNQ102" s="88"/>
      <c r="CNY102" s="88"/>
      <c r="COG102" s="88"/>
      <c r="COO102" s="88"/>
      <c r="COW102" s="88"/>
      <c r="CPE102" s="88"/>
      <c r="CPM102" s="88"/>
      <c r="CPU102" s="88"/>
      <c r="CQC102" s="88"/>
      <c r="CQK102" s="88"/>
      <c r="CQS102" s="88"/>
      <c r="CRA102" s="88"/>
      <c r="CRI102" s="88"/>
      <c r="CRQ102" s="88"/>
      <c r="CRY102" s="88"/>
      <c r="CSG102" s="88"/>
      <c r="CSO102" s="88"/>
      <c r="CSW102" s="88"/>
      <c r="CTE102" s="88"/>
      <c r="CTM102" s="88"/>
      <c r="CTU102" s="88"/>
      <c r="CUC102" s="88"/>
      <c r="CUK102" s="88"/>
      <c r="CUS102" s="88"/>
      <c r="CVA102" s="88"/>
      <c r="CVI102" s="88"/>
      <c r="CVQ102" s="88"/>
      <c r="CVY102" s="88"/>
      <c r="CWG102" s="88"/>
      <c r="CWO102" s="88"/>
      <c r="CWW102" s="88"/>
      <c r="CXE102" s="88"/>
      <c r="CXM102" s="88"/>
      <c r="CXU102" s="88"/>
      <c r="CYC102" s="88"/>
      <c r="CYK102" s="88"/>
      <c r="CYS102" s="88"/>
      <c r="CZA102" s="88"/>
      <c r="CZI102" s="88"/>
      <c r="CZQ102" s="88"/>
      <c r="CZY102" s="88"/>
      <c r="DAG102" s="88"/>
      <c r="DAO102" s="88"/>
      <c r="DAW102" s="88"/>
      <c r="DBE102" s="88"/>
      <c r="DBM102" s="88"/>
      <c r="DBU102" s="88"/>
      <c r="DCC102" s="88"/>
      <c r="DCK102" s="88"/>
      <c r="DCS102" s="88"/>
      <c r="DDA102" s="88"/>
      <c r="DDI102" s="88"/>
      <c r="DDQ102" s="88"/>
      <c r="DDY102" s="88"/>
      <c r="DEG102" s="88"/>
      <c r="DEO102" s="88"/>
      <c r="DEW102" s="88"/>
      <c r="DFE102" s="88"/>
      <c r="DFM102" s="88"/>
      <c r="DFU102" s="88"/>
      <c r="DGC102" s="88"/>
      <c r="DGK102" s="88"/>
      <c r="DGS102" s="88"/>
      <c r="DHA102" s="88"/>
      <c r="DHI102" s="88"/>
      <c r="DHQ102" s="88"/>
      <c r="DHY102" s="88"/>
      <c r="DIG102" s="88"/>
      <c r="DIO102" s="88"/>
      <c r="DIW102" s="88"/>
      <c r="DJE102" s="88"/>
      <c r="DJM102" s="88"/>
      <c r="DJU102" s="88"/>
      <c r="DKC102" s="88"/>
      <c r="DKK102" s="88"/>
      <c r="DKS102" s="88"/>
      <c r="DLA102" s="88"/>
      <c r="DLI102" s="88"/>
      <c r="DLQ102" s="88"/>
      <c r="DLY102" s="88"/>
      <c r="DMG102" s="88"/>
      <c r="DMO102" s="88"/>
      <c r="DMW102" s="88"/>
      <c r="DNE102" s="88"/>
      <c r="DNM102" s="88"/>
      <c r="DNU102" s="88"/>
      <c r="DOC102" s="88"/>
      <c r="DOK102" s="88"/>
      <c r="DOS102" s="88"/>
      <c r="DPA102" s="88"/>
      <c r="DPI102" s="88"/>
      <c r="DPQ102" s="88"/>
      <c r="DPY102" s="88"/>
      <c r="DQG102" s="88"/>
      <c r="DQO102" s="88"/>
      <c r="DQW102" s="88"/>
      <c r="DRE102" s="88"/>
      <c r="DRM102" s="88"/>
      <c r="DRU102" s="88"/>
      <c r="DSC102" s="88"/>
      <c r="DSK102" s="88"/>
      <c r="DSS102" s="88"/>
      <c r="DTA102" s="88"/>
      <c r="DTI102" s="88"/>
      <c r="DTQ102" s="88"/>
      <c r="DTY102" s="88"/>
      <c r="DUG102" s="88"/>
      <c r="DUO102" s="88"/>
      <c r="DUW102" s="88"/>
      <c r="DVE102" s="88"/>
      <c r="DVM102" s="88"/>
      <c r="DVU102" s="88"/>
      <c r="DWC102" s="88"/>
      <c r="DWK102" s="88"/>
      <c r="DWS102" s="88"/>
      <c r="DXA102" s="88"/>
      <c r="DXI102" s="88"/>
      <c r="DXQ102" s="88"/>
      <c r="DXY102" s="88"/>
      <c r="DYG102" s="88"/>
      <c r="DYO102" s="88"/>
      <c r="DYW102" s="88"/>
      <c r="DZE102" s="88"/>
      <c r="DZM102" s="88"/>
      <c r="DZU102" s="88"/>
      <c r="EAC102" s="88"/>
      <c r="EAK102" s="88"/>
      <c r="EAS102" s="88"/>
      <c r="EBA102" s="88"/>
      <c r="EBI102" s="88"/>
      <c r="EBQ102" s="88"/>
      <c r="EBY102" s="88"/>
      <c r="ECG102" s="88"/>
      <c r="ECO102" s="88"/>
      <c r="ECW102" s="88"/>
      <c r="EDE102" s="88"/>
      <c r="EDM102" s="88"/>
      <c r="EDU102" s="88"/>
      <c r="EEC102" s="88"/>
      <c r="EEK102" s="88"/>
      <c r="EES102" s="88"/>
      <c r="EFA102" s="88"/>
      <c r="EFI102" s="88"/>
      <c r="EFQ102" s="88"/>
      <c r="EFY102" s="88"/>
      <c r="EGG102" s="88"/>
      <c r="EGO102" s="88"/>
      <c r="EGW102" s="88"/>
      <c r="EHE102" s="88"/>
      <c r="EHM102" s="88"/>
      <c r="EHU102" s="88"/>
      <c r="EIC102" s="88"/>
      <c r="EIK102" s="88"/>
      <c r="EIS102" s="88"/>
      <c r="EJA102" s="88"/>
      <c r="EJI102" s="88"/>
      <c r="EJQ102" s="88"/>
      <c r="EJY102" s="88"/>
      <c r="EKG102" s="88"/>
      <c r="EKO102" s="88"/>
      <c r="EKW102" s="88"/>
      <c r="ELE102" s="88"/>
      <c r="ELM102" s="88"/>
      <c r="ELU102" s="88"/>
      <c r="EMC102" s="88"/>
      <c r="EMK102" s="88"/>
      <c r="EMS102" s="88"/>
      <c r="ENA102" s="88"/>
      <c r="ENI102" s="88"/>
      <c r="ENQ102" s="88"/>
      <c r="ENY102" s="88"/>
      <c r="EOG102" s="88"/>
      <c r="EOO102" s="88"/>
      <c r="EOW102" s="88"/>
      <c r="EPE102" s="88"/>
      <c r="EPM102" s="88"/>
      <c r="EPU102" s="88"/>
      <c r="EQC102" s="88"/>
      <c r="EQK102" s="88"/>
      <c r="EQS102" s="88"/>
      <c r="ERA102" s="88"/>
      <c r="ERI102" s="88"/>
      <c r="ERQ102" s="88"/>
      <c r="ERY102" s="88"/>
      <c r="ESG102" s="88"/>
      <c r="ESO102" s="88"/>
      <c r="ESW102" s="88"/>
      <c r="ETE102" s="88"/>
      <c r="ETM102" s="88"/>
      <c r="ETU102" s="88"/>
      <c r="EUC102" s="88"/>
      <c r="EUK102" s="88"/>
      <c r="EUS102" s="88"/>
      <c r="EVA102" s="88"/>
      <c r="EVI102" s="88"/>
      <c r="EVQ102" s="88"/>
      <c r="EVY102" s="88"/>
      <c r="EWG102" s="88"/>
      <c r="EWO102" s="88"/>
      <c r="EWW102" s="88"/>
      <c r="EXE102" s="88"/>
      <c r="EXM102" s="88"/>
      <c r="EXU102" s="88"/>
      <c r="EYC102" s="88"/>
      <c r="EYK102" s="88"/>
      <c r="EYS102" s="88"/>
      <c r="EZA102" s="88"/>
      <c r="EZI102" s="88"/>
      <c r="EZQ102" s="88"/>
      <c r="EZY102" s="88"/>
      <c r="FAG102" s="88"/>
      <c r="FAO102" s="88"/>
      <c r="FAW102" s="88"/>
      <c r="FBE102" s="88"/>
      <c r="FBM102" s="88"/>
      <c r="FBU102" s="88"/>
      <c r="FCC102" s="88"/>
      <c r="FCK102" s="88"/>
      <c r="FCS102" s="88"/>
      <c r="FDA102" s="88"/>
      <c r="FDI102" s="88"/>
      <c r="FDQ102" s="88"/>
      <c r="FDY102" s="88"/>
      <c r="FEG102" s="88"/>
      <c r="FEO102" s="88"/>
      <c r="FEW102" s="88"/>
      <c r="FFE102" s="88"/>
      <c r="FFM102" s="88"/>
      <c r="FFU102" s="88"/>
      <c r="FGC102" s="88"/>
      <c r="FGK102" s="88"/>
      <c r="FGS102" s="88"/>
      <c r="FHA102" s="88"/>
      <c r="FHI102" s="88"/>
      <c r="FHQ102" s="88"/>
      <c r="FHY102" s="88"/>
      <c r="FIG102" s="88"/>
      <c r="FIO102" s="88"/>
      <c r="FIW102" s="88"/>
      <c r="FJE102" s="88"/>
      <c r="FJM102" s="88"/>
      <c r="FJU102" s="88"/>
      <c r="FKC102" s="88"/>
      <c r="FKK102" s="88"/>
      <c r="FKS102" s="88"/>
      <c r="FLA102" s="88"/>
      <c r="FLI102" s="88"/>
      <c r="FLQ102" s="88"/>
      <c r="FLY102" s="88"/>
      <c r="FMG102" s="88"/>
      <c r="FMO102" s="88"/>
      <c r="FMW102" s="88"/>
      <c r="FNE102" s="88"/>
      <c r="FNM102" s="88"/>
      <c r="FNU102" s="88"/>
      <c r="FOC102" s="88"/>
      <c r="FOK102" s="88"/>
      <c r="FOS102" s="88"/>
      <c r="FPA102" s="88"/>
      <c r="FPI102" s="88"/>
      <c r="FPQ102" s="88"/>
      <c r="FPY102" s="88"/>
      <c r="FQG102" s="88"/>
      <c r="FQO102" s="88"/>
      <c r="FQW102" s="88"/>
      <c r="FRE102" s="88"/>
      <c r="FRM102" s="88"/>
      <c r="FRU102" s="88"/>
      <c r="FSC102" s="88"/>
      <c r="FSK102" s="88"/>
      <c r="FSS102" s="88"/>
      <c r="FTA102" s="88"/>
      <c r="FTI102" s="88"/>
      <c r="FTQ102" s="88"/>
      <c r="FTY102" s="88"/>
      <c r="FUG102" s="88"/>
      <c r="FUO102" s="88"/>
      <c r="FUW102" s="88"/>
      <c r="FVE102" s="88"/>
      <c r="FVM102" s="88"/>
      <c r="FVU102" s="88"/>
      <c r="FWC102" s="88"/>
      <c r="FWK102" s="88"/>
      <c r="FWS102" s="88"/>
      <c r="FXA102" s="88"/>
      <c r="FXI102" s="88"/>
      <c r="FXQ102" s="88"/>
      <c r="FXY102" s="88"/>
      <c r="FYG102" s="88"/>
      <c r="FYO102" s="88"/>
      <c r="FYW102" s="88"/>
      <c r="FZE102" s="88"/>
      <c r="FZM102" s="88"/>
      <c r="FZU102" s="88"/>
      <c r="GAC102" s="88"/>
      <c r="GAK102" s="88"/>
      <c r="GAS102" s="88"/>
      <c r="GBA102" s="88"/>
      <c r="GBI102" s="88"/>
      <c r="GBQ102" s="88"/>
      <c r="GBY102" s="88"/>
      <c r="GCG102" s="88"/>
      <c r="GCO102" s="88"/>
      <c r="GCW102" s="88"/>
      <c r="GDE102" s="88"/>
      <c r="GDM102" s="88"/>
      <c r="GDU102" s="88"/>
      <c r="GEC102" s="88"/>
      <c r="GEK102" s="88"/>
      <c r="GES102" s="88"/>
      <c r="GFA102" s="88"/>
      <c r="GFI102" s="88"/>
      <c r="GFQ102" s="88"/>
      <c r="GFY102" s="88"/>
      <c r="GGG102" s="88"/>
      <c r="GGO102" s="88"/>
      <c r="GGW102" s="88"/>
      <c r="GHE102" s="88"/>
      <c r="GHM102" s="88"/>
      <c r="GHU102" s="88"/>
      <c r="GIC102" s="88"/>
      <c r="GIK102" s="88"/>
      <c r="GIS102" s="88"/>
      <c r="GJA102" s="88"/>
      <c r="GJI102" s="88"/>
      <c r="GJQ102" s="88"/>
      <c r="GJY102" s="88"/>
      <c r="GKG102" s="88"/>
      <c r="GKO102" s="88"/>
      <c r="GKW102" s="88"/>
      <c r="GLE102" s="88"/>
      <c r="GLM102" s="88"/>
      <c r="GLU102" s="88"/>
      <c r="GMC102" s="88"/>
      <c r="GMK102" s="88"/>
      <c r="GMS102" s="88"/>
      <c r="GNA102" s="88"/>
      <c r="GNI102" s="88"/>
      <c r="GNQ102" s="88"/>
      <c r="GNY102" s="88"/>
      <c r="GOG102" s="88"/>
      <c r="GOO102" s="88"/>
      <c r="GOW102" s="88"/>
      <c r="GPE102" s="88"/>
      <c r="GPM102" s="88"/>
      <c r="GPU102" s="88"/>
      <c r="GQC102" s="88"/>
      <c r="GQK102" s="88"/>
      <c r="GQS102" s="88"/>
      <c r="GRA102" s="88"/>
      <c r="GRI102" s="88"/>
      <c r="GRQ102" s="88"/>
      <c r="GRY102" s="88"/>
      <c r="GSG102" s="88"/>
      <c r="GSO102" s="88"/>
      <c r="GSW102" s="88"/>
      <c r="GTE102" s="88"/>
      <c r="GTM102" s="88"/>
      <c r="GTU102" s="88"/>
      <c r="GUC102" s="88"/>
      <c r="GUK102" s="88"/>
      <c r="GUS102" s="88"/>
      <c r="GVA102" s="88"/>
      <c r="GVI102" s="88"/>
      <c r="GVQ102" s="88"/>
      <c r="GVY102" s="88"/>
      <c r="GWG102" s="88"/>
      <c r="GWO102" s="88"/>
      <c r="GWW102" s="88"/>
      <c r="GXE102" s="88"/>
      <c r="GXM102" s="88"/>
      <c r="GXU102" s="88"/>
      <c r="GYC102" s="88"/>
      <c r="GYK102" s="88"/>
      <c r="GYS102" s="88"/>
      <c r="GZA102" s="88"/>
      <c r="GZI102" s="88"/>
      <c r="GZQ102" s="88"/>
      <c r="GZY102" s="88"/>
      <c r="HAG102" s="88"/>
      <c r="HAO102" s="88"/>
      <c r="HAW102" s="88"/>
      <c r="HBE102" s="88"/>
      <c r="HBM102" s="88"/>
      <c r="HBU102" s="88"/>
      <c r="HCC102" s="88"/>
      <c r="HCK102" s="88"/>
      <c r="HCS102" s="88"/>
      <c r="HDA102" s="88"/>
      <c r="HDI102" s="88"/>
      <c r="HDQ102" s="88"/>
      <c r="HDY102" s="88"/>
      <c r="HEG102" s="88"/>
      <c r="HEO102" s="88"/>
      <c r="HEW102" s="88"/>
      <c r="HFE102" s="88"/>
      <c r="HFM102" s="88"/>
      <c r="HFU102" s="88"/>
      <c r="HGC102" s="88"/>
      <c r="HGK102" s="88"/>
      <c r="HGS102" s="88"/>
      <c r="HHA102" s="88"/>
      <c r="HHI102" s="88"/>
      <c r="HHQ102" s="88"/>
      <c r="HHY102" s="88"/>
      <c r="HIG102" s="88"/>
      <c r="HIO102" s="88"/>
      <c r="HIW102" s="88"/>
      <c r="HJE102" s="88"/>
      <c r="HJM102" s="88"/>
      <c r="HJU102" s="88"/>
      <c r="HKC102" s="88"/>
      <c r="HKK102" s="88"/>
      <c r="HKS102" s="88"/>
      <c r="HLA102" s="88"/>
      <c r="HLI102" s="88"/>
      <c r="HLQ102" s="88"/>
      <c r="HLY102" s="88"/>
      <c r="HMG102" s="88"/>
      <c r="HMO102" s="88"/>
      <c r="HMW102" s="88"/>
      <c r="HNE102" s="88"/>
      <c r="HNM102" s="88"/>
      <c r="HNU102" s="88"/>
      <c r="HOC102" s="88"/>
      <c r="HOK102" s="88"/>
      <c r="HOS102" s="88"/>
      <c r="HPA102" s="88"/>
      <c r="HPI102" s="88"/>
      <c r="HPQ102" s="88"/>
      <c r="HPY102" s="88"/>
      <c r="HQG102" s="88"/>
      <c r="HQO102" s="88"/>
      <c r="HQW102" s="88"/>
      <c r="HRE102" s="88"/>
      <c r="HRM102" s="88"/>
      <c r="HRU102" s="88"/>
      <c r="HSC102" s="88"/>
      <c r="HSK102" s="88"/>
      <c r="HSS102" s="88"/>
      <c r="HTA102" s="88"/>
      <c r="HTI102" s="88"/>
      <c r="HTQ102" s="88"/>
      <c r="HTY102" s="88"/>
      <c r="HUG102" s="88"/>
      <c r="HUO102" s="88"/>
      <c r="HUW102" s="88"/>
      <c r="HVE102" s="88"/>
      <c r="HVM102" s="88"/>
      <c r="HVU102" s="88"/>
      <c r="HWC102" s="88"/>
      <c r="HWK102" s="88"/>
      <c r="HWS102" s="88"/>
      <c r="HXA102" s="88"/>
      <c r="HXI102" s="88"/>
      <c r="HXQ102" s="88"/>
      <c r="HXY102" s="88"/>
      <c r="HYG102" s="88"/>
      <c r="HYO102" s="88"/>
      <c r="HYW102" s="88"/>
      <c r="HZE102" s="88"/>
      <c r="HZM102" s="88"/>
      <c r="HZU102" s="88"/>
      <c r="IAC102" s="88"/>
      <c r="IAK102" s="88"/>
      <c r="IAS102" s="88"/>
      <c r="IBA102" s="88"/>
      <c r="IBI102" s="88"/>
      <c r="IBQ102" s="88"/>
      <c r="IBY102" s="88"/>
      <c r="ICG102" s="88"/>
      <c r="ICO102" s="88"/>
      <c r="ICW102" s="88"/>
      <c r="IDE102" s="88"/>
      <c r="IDM102" s="88"/>
      <c r="IDU102" s="88"/>
      <c r="IEC102" s="88"/>
      <c r="IEK102" s="88"/>
      <c r="IES102" s="88"/>
      <c r="IFA102" s="88"/>
      <c r="IFI102" s="88"/>
      <c r="IFQ102" s="88"/>
      <c r="IFY102" s="88"/>
      <c r="IGG102" s="88"/>
      <c r="IGO102" s="88"/>
      <c r="IGW102" s="88"/>
      <c r="IHE102" s="88"/>
      <c r="IHM102" s="88"/>
      <c r="IHU102" s="88"/>
      <c r="IIC102" s="88"/>
      <c r="IIK102" s="88"/>
      <c r="IIS102" s="88"/>
      <c r="IJA102" s="88"/>
      <c r="IJI102" s="88"/>
      <c r="IJQ102" s="88"/>
      <c r="IJY102" s="88"/>
      <c r="IKG102" s="88"/>
      <c r="IKO102" s="88"/>
      <c r="IKW102" s="88"/>
      <c r="ILE102" s="88"/>
      <c r="ILM102" s="88"/>
      <c r="ILU102" s="88"/>
      <c r="IMC102" s="88"/>
      <c r="IMK102" s="88"/>
      <c r="IMS102" s="88"/>
      <c r="INA102" s="88"/>
      <c r="INI102" s="88"/>
      <c r="INQ102" s="88"/>
      <c r="INY102" s="88"/>
      <c r="IOG102" s="88"/>
      <c r="IOO102" s="88"/>
      <c r="IOW102" s="88"/>
      <c r="IPE102" s="88"/>
      <c r="IPM102" s="88"/>
      <c r="IPU102" s="88"/>
      <c r="IQC102" s="88"/>
      <c r="IQK102" s="88"/>
      <c r="IQS102" s="88"/>
      <c r="IRA102" s="88"/>
      <c r="IRI102" s="88"/>
      <c r="IRQ102" s="88"/>
      <c r="IRY102" s="88"/>
      <c r="ISG102" s="88"/>
      <c r="ISO102" s="88"/>
      <c r="ISW102" s="88"/>
      <c r="ITE102" s="88"/>
      <c r="ITM102" s="88"/>
      <c r="ITU102" s="88"/>
      <c r="IUC102" s="88"/>
      <c r="IUK102" s="88"/>
      <c r="IUS102" s="88"/>
      <c r="IVA102" s="88"/>
      <c r="IVI102" s="88"/>
      <c r="IVQ102" s="88"/>
      <c r="IVY102" s="88"/>
      <c r="IWG102" s="88"/>
      <c r="IWO102" s="88"/>
      <c r="IWW102" s="88"/>
      <c r="IXE102" s="88"/>
      <c r="IXM102" s="88"/>
      <c r="IXU102" s="88"/>
      <c r="IYC102" s="88"/>
      <c r="IYK102" s="88"/>
      <c r="IYS102" s="88"/>
      <c r="IZA102" s="88"/>
      <c r="IZI102" s="88"/>
      <c r="IZQ102" s="88"/>
      <c r="IZY102" s="88"/>
      <c r="JAG102" s="88"/>
      <c r="JAO102" s="88"/>
      <c r="JAW102" s="88"/>
      <c r="JBE102" s="88"/>
      <c r="JBM102" s="88"/>
      <c r="JBU102" s="88"/>
      <c r="JCC102" s="88"/>
      <c r="JCK102" s="88"/>
      <c r="JCS102" s="88"/>
      <c r="JDA102" s="88"/>
      <c r="JDI102" s="88"/>
      <c r="JDQ102" s="88"/>
      <c r="JDY102" s="88"/>
      <c r="JEG102" s="88"/>
      <c r="JEO102" s="88"/>
      <c r="JEW102" s="88"/>
      <c r="JFE102" s="88"/>
      <c r="JFM102" s="88"/>
      <c r="JFU102" s="88"/>
      <c r="JGC102" s="88"/>
      <c r="JGK102" s="88"/>
      <c r="JGS102" s="88"/>
      <c r="JHA102" s="88"/>
      <c r="JHI102" s="88"/>
      <c r="JHQ102" s="88"/>
      <c r="JHY102" s="88"/>
      <c r="JIG102" s="88"/>
      <c r="JIO102" s="88"/>
      <c r="JIW102" s="88"/>
      <c r="JJE102" s="88"/>
      <c r="JJM102" s="88"/>
      <c r="JJU102" s="88"/>
      <c r="JKC102" s="88"/>
      <c r="JKK102" s="88"/>
      <c r="JKS102" s="88"/>
      <c r="JLA102" s="88"/>
      <c r="JLI102" s="88"/>
      <c r="JLQ102" s="88"/>
      <c r="JLY102" s="88"/>
      <c r="JMG102" s="88"/>
      <c r="JMO102" s="88"/>
      <c r="JMW102" s="88"/>
      <c r="JNE102" s="88"/>
      <c r="JNM102" s="88"/>
      <c r="JNU102" s="88"/>
      <c r="JOC102" s="88"/>
      <c r="JOK102" s="88"/>
      <c r="JOS102" s="88"/>
      <c r="JPA102" s="88"/>
      <c r="JPI102" s="88"/>
      <c r="JPQ102" s="88"/>
      <c r="JPY102" s="88"/>
      <c r="JQG102" s="88"/>
      <c r="JQO102" s="88"/>
      <c r="JQW102" s="88"/>
      <c r="JRE102" s="88"/>
      <c r="JRM102" s="88"/>
      <c r="JRU102" s="88"/>
      <c r="JSC102" s="88"/>
      <c r="JSK102" s="88"/>
      <c r="JSS102" s="88"/>
      <c r="JTA102" s="88"/>
      <c r="JTI102" s="88"/>
      <c r="JTQ102" s="88"/>
      <c r="JTY102" s="88"/>
      <c r="JUG102" s="88"/>
      <c r="JUO102" s="88"/>
      <c r="JUW102" s="88"/>
      <c r="JVE102" s="88"/>
      <c r="JVM102" s="88"/>
      <c r="JVU102" s="88"/>
      <c r="JWC102" s="88"/>
      <c r="JWK102" s="88"/>
      <c r="JWS102" s="88"/>
      <c r="JXA102" s="88"/>
      <c r="JXI102" s="88"/>
      <c r="JXQ102" s="88"/>
      <c r="JXY102" s="88"/>
      <c r="JYG102" s="88"/>
      <c r="JYO102" s="88"/>
      <c r="JYW102" s="88"/>
      <c r="JZE102" s="88"/>
      <c r="JZM102" s="88"/>
      <c r="JZU102" s="88"/>
      <c r="KAC102" s="88"/>
      <c r="KAK102" s="88"/>
      <c r="KAS102" s="88"/>
      <c r="KBA102" s="88"/>
      <c r="KBI102" s="88"/>
      <c r="KBQ102" s="88"/>
      <c r="KBY102" s="88"/>
      <c r="KCG102" s="88"/>
      <c r="KCO102" s="88"/>
      <c r="KCW102" s="88"/>
      <c r="KDE102" s="88"/>
      <c r="KDM102" s="88"/>
      <c r="KDU102" s="88"/>
      <c r="KEC102" s="88"/>
      <c r="KEK102" s="88"/>
      <c r="KES102" s="88"/>
      <c r="KFA102" s="88"/>
      <c r="KFI102" s="88"/>
      <c r="KFQ102" s="88"/>
      <c r="KFY102" s="88"/>
      <c r="KGG102" s="88"/>
      <c r="KGO102" s="88"/>
      <c r="KGW102" s="88"/>
      <c r="KHE102" s="88"/>
      <c r="KHM102" s="88"/>
      <c r="KHU102" s="88"/>
      <c r="KIC102" s="88"/>
      <c r="KIK102" s="88"/>
      <c r="KIS102" s="88"/>
      <c r="KJA102" s="88"/>
      <c r="KJI102" s="88"/>
      <c r="KJQ102" s="88"/>
      <c r="KJY102" s="88"/>
      <c r="KKG102" s="88"/>
      <c r="KKO102" s="88"/>
      <c r="KKW102" s="88"/>
      <c r="KLE102" s="88"/>
      <c r="KLM102" s="88"/>
      <c r="KLU102" s="88"/>
      <c r="KMC102" s="88"/>
      <c r="KMK102" s="88"/>
      <c r="KMS102" s="88"/>
      <c r="KNA102" s="88"/>
      <c r="KNI102" s="88"/>
      <c r="KNQ102" s="88"/>
      <c r="KNY102" s="88"/>
      <c r="KOG102" s="88"/>
      <c r="KOO102" s="88"/>
      <c r="KOW102" s="88"/>
      <c r="KPE102" s="88"/>
      <c r="KPM102" s="88"/>
      <c r="KPU102" s="88"/>
      <c r="KQC102" s="88"/>
      <c r="KQK102" s="88"/>
      <c r="KQS102" s="88"/>
      <c r="KRA102" s="88"/>
      <c r="KRI102" s="88"/>
      <c r="KRQ102" s="88"/>
      <c r="KRY102" s="88"/>
      <c r="KSG102" s="88"/>
      <c r="KSO102" s="88"/>
      <c r="KSW102" s="88"/>
      <c r="KTE102" s="88"/>
      <c r="KTM102" s="88"/>
      <c r="KTU102" s="88"/>
      <c r="KUC102" s="88"/>
      <c r="KUK102" s="88"/>
      <c r="KUS102" s="88"/>
      <c r="KVA102" s="88"/>
      <c r="KVI102" s="88"/>
      <c r="KVQ102" s="88"/>
      <c r="KVY102" s="88"/>
      <c r="KWG102" s="88"/>
      <c r="KWO102" s="88"/>
      <c r="KWW102" s="88"/>
      <c r="KXE102" s="88"/>
      <c r="KXM102" s="88"/>
      <c r="KXU102" s="88"/>
      <c r="KYC102" s="88"/>
      <c r="KYK102" s="88"/>
      <c r="KYS102" s="88"/>
      <c r="KZA102" s="88"/>
      <c r="KZI102" s="88"/>
      <c r="KZQ102" s="88"/>
      <c r="KZY102" s="88"/>
      <c r="LAG102" s="88"/>
      <c r="LAO102" s="88"/>
      <c r="LAW102" s="88"/>
      <c r="LBE102" s="88"/>
      <c r="LBM102" s="88"/>
      <c r="LBU102" s="88"/>
      <c r="LCC102" s="88"/>
      <c r="LCK102" s="88"/>
      <c r="LCS102" s="88"/>
      <c r="LDA102" s="88"/>
      <c r="LDI102" s="88"/>
      <c r="LDQ102" s="88"/>
      <c r="LDY102" s="88"/>
      <c r="LEG102" s="88"/>
      <c r="LEO102" s="88"/>
      <c r="LEW102" s="88"/>
      <c r="LFE102" s="88"/>
      <c r="LFM102" s="88"/>
      <c r="LFU102" s="88"/>
      <c r="LGC102" s="88"/>
      <c r="LGK102" s="88"/>
      <c r="LGS102" s="88"/>
      <c r="LHA102" s="88"/>
      <c r="LHI102" s="88"/>
      <c r="LHQ102" s="88"/>
      <c r="LHY102" s="88"/>
      <c r="LIG102" s="88"/>
      <c r="LIO102" s="88"/>
      <c r="LIW102" s="88"/>
      <c r="LJE102" s="88"/>
      <c r="LJM102" s="88"/>
      <c r="LJU102" s="88"/>
      <c r="LKC102" s="88"/>
      <c r="LKK102" s="88"/>
      <c r="LKS102" s="88"/>
      <c r="LLA102" s="88"/>
      <c r="LLI102" s="88"/>
      <c r="LLQ102" s="88"/>
      <c r="LLY102" s="88"/>
      <c r="LMG102" s="88"/>
      <c r="LMO102" s="88"/>
      <c r="LMW102" s="88"/>
      <c r="LNE102" s="88"/>
      <c r="LNM102" s="88"/>
      <c r="LNU102" s="88"/>
      <c r="LOC102" s="88"/>
      <c r="LOK102" s="88"/>
      <c r="LOS102" s="88"/>
      <c r="LPA102" s="88"/>
      <c r="LPI102" s="88"/>
      <c r="LPQ102" s="88"/>
      <c r="LPY102" s="88"/>
      <c r="LQG102" s="88"/>
      <c r="LQO102" s="88"/>
      <c r="LQW102" s="88"/>
      <c r="LRE102" s="88"/>
      <c r="LRM102" s="88"/>
      <c r="LRU102" s="88"/>
      <c r="LSC102" s="88"/>
      <c r="LSK102" s="88"/>
      <c r="LSS102" s="88"/>
      <c r="LTA102" s="88"/>
      <c r="LTI102" s="88"/>
      <c r="LTQ102" s="88"/>
      <c r="LTY102" s="88"/>
      <c r="LUG102" s="88"/>
      <c r="LUO102" s="88"/>
      <c r="LUW102" s="88"/>
      <c r="LVE102" s="88"/>
      <c r="LVM102" s="88"/>
      <c r="LVU102" s="88"/>
      <c r="LWC102" s="88"/>
      <c r="LWK102" s="88"/>
      <c r="LWS102" s="88"/>
      <c r="LXA102" s="88"/>
      <c r="LXI102" s="88"/>
      <c r="LXQ102" s="88"/>
      <c r="LXY102" s="88"/>
      <c r="LYG102" s="88"/>
      <c r="LYO102" s="88"/>
      <c r="LYW102" s="88"/>
      <c r="LZE102" s="88"/>
      <c r="LZM102" s="88"/>
      <c r="LZU102" s="88"/>
      <c r="MAC102" s="88"/>
      <c r="MAK102" s="88"/>
      <c r="MAS102" s="88"/>
      <c r="MBA102" s="88"/>
      <c r="MBI102" s="88"/>
      <c r="MBQ102" s="88"/>
      <c r="MBY102" s="88"/>
      <c r="MCG102" s="88"/>
      <c r="MCO102" s="88"/>
      <c r="MCW102" s="88"/>
      <c r="MDE102" s="88"/>
      <c r="MDM102" s="88"/>
      <c r="MDU102" s="88"/>
      <c r="MEC102" s="88"/>
      <c r="MEK102" s="88"/>
      <c r="MES102" s="88"/>
      <c r="MFA102" s="88"/>
      <c r="MFI102" s="88"/>
      <c r="MFQ102" s="88"/>
      <c r="MFY102" s="88"/>
      <c r="MGG102" s="88"/>
      <c r="MGO102" s="88"/>
      <c r="MGW102" s="88"/>
      <c r="MHE102" s="88"/>
      <c r="MHM102" s="88"/>
      <c r="MHU102" s="88"/>
      <c r="MIC102" s="88"/>
      <c r="MIK102" s="88"/>
      <c r="MIS102" s="88"/>
      <c r="MJA102" s="88"/>
      <c r="MJI102" s="88"/>
      <c r="MJQ102" s="88"/>
      <c r="MJY102" s="88"/>
      <c r="MKG102" s="88"/>
      <c r="MKO102" s="88"/>
      <c r="MKW102" s="88"/>
      <c r="MLE102" s="88"/>
      <c r="MLM102" s="88"/>
      <c r="MLU102" s="88"/>
      <c r="MMC102" s="88"/>
      <c r="MMK102" s="88"/>
      <c r="MMS102" s="88"/>
      <c r="MNA102" s="88"/>
      <c r="MNI102" s="88"/>
      <c r="MNQ102" s="88"/>
      <c r="MNY102" s="88"/>
      <c r="MOG102" s="88"/>
      <c r="MOO102" s="88"/>
      <c r="MOW102" s="88"/>
      <c r="MPE102" s="88"/>
      <c r="MPM102" s="88"/>
      <c r="MPU102" s="88"/>
      <c r="MQC102" s="88"/>
      <c r="MQK102" s="88"/>
      <c r="MQS102" s="88"/>
      <c r="MRA102" s="88"/>
      <c r="MRI102" s="88"/>
      <c r="MRQ102" s="88"/>
      <c r="MRY102" s="88"/>
      <c r="MSG102" s="88"/>
      <c r="MSO102" s="88"/>
      <c r="MSW102" s="88"/>
      <c r="MTE102" s="88"/>
      <c r="MTM102" s="88"/>
      <c r="MTU102" s="88"/>
      <c r="MUC102" s="88"/>
      <c r="MUK102" s="88"/>
      <c r="MUS102" s="88"/>
      <c r="MVA102" s="88"/>
      <c r="MVI102" s="88"/>
      <c r="MVQ102" s="88"/>
      <c r="MVY102" s="88"/>
      <c r="MWG102" s="88"/>
      <c r="MWO102" s="88"/>
      <c r="MWW102" s="88"/>
      <c r="MXE102" s="88"/>
      <c r="MXM102" s="88"/>
      <c r="MXU102" s="88"/>
      <c r="MYC102" s="88"/>
      <c r="MYK102" s="88"/>
      <c r="MYS102" s="88"/>
      <c r="MZA102" s="88"/>
      <c r="MZI102" s="88"/>
      <c r="MZQ102" s="88"/>
      <c r="MZY102" s="88"/>
      <c r="NAG102" s="88"/>
      <c r="NAO102" s="88"/>
      <c r="NAW102" s="88"/>
      <c r="NBE102" s="88"/>
      <c r="NBM102" s="88"/>
      <c r="NBU102" s="88"/>
      <c r="NCC102" s="88"/>
      <c r="NCK102" s="88"/>
      <c r="NCS102" s="88"/>
      <c r="NDA102" s="88"/>
      <c r="NDI102" s="88"/>
      <c r="NDQ102" s="88"/>
      <c r="NDY102" s="88"/>
      <c r="NEG102" s="88"/>
      <c r="NEO102" s="88"/>
      <c r="NEW102" s="88"/>
      <c r="NFE102" s="88"/>
      <c r="NFM102" s="88"/>
      <c r="NFU102" s="88"/>
      <c r="NGC102" s="88"/>
      <c r="NGK102" s="88"/>
      <c r="NGS102" s="88"/>
      <c r="NHA102" s="88"/>
      <c r="NHI102" s="88"/>
      <c r="NHQ102" s="88"/>
      <c r="NHY102" s="88"/>
      <c r="NIG102" s="88"/>
      <c r="NIO102" s="88"/>
      <c r="NIW102" s="88"/>
      <c r="NJE102" s="88"/>
      <c r="NJM102" s="88"/>
      <c r="NJU102" s="88"/>
      <c r="NKC102" s="88"/>
      <c r="NKK102" s="88"/>
      <c r="NKS102" s="88"/>
      <c r="NLA102" s="88"/>
      <c r="NLI102" s="88"/>
      <c r="NLQ102" s="88"/>
      <c r="NLY102" s="88"/>
      <c r="NMG102" s="88"/>
      <c r="NMO102" s="88"/>
      <c r="NMW102" s="88"/>
      <c r="NNE102" s="88"/>
      <c r="NNM102" s="88"/>
      <c r="NNU102" s="88"/>
      <c r="NOC102" s="88"/>
      <c r="NOK102" s="88"/>
      <c r="NOS102" s="88"/>
      <c r="NPA102" s="88"/>
      <c r="NPI102" s="88"/>
      <c r="NPQ102" s="88"/>
      <c r="NPY102" s="88"/>
      <c r="NQG102" s="88"/>
      <c r="NQO102" s="88"/>
      <c r="NQW102" s="88"/>
      <c r="NRE102" s="88"/>
      <c r="NRM102" s="88"/>
      <c r="NRU102" s="88"/>
      <c r="NSC102" s="88"/>
      <c r="NSK102" s="88"/>
      <c r="NSS102" s="88"/>
      <c r="NTA102" s="88"/>
      <c r="NTI102" s="88"/>
      <c r="NTQ102" s="88"/>
      <c r="NTY102" s="88"/>
      <c r="NUG102" s="88"/>
      <c r="NUO102" s="88"/>
      <c r="NUW102" s="88"/>
      <c r="NVE102" s="88"/>
      <c r="NVM102" s="88"/>
      <c r="NVU102" s="88"/>
      <c r="NWC102" s="88"/>
      <c r="NWK102" s="88"/>
      <c r="NWS102" s="88"/>
      <c r="NXA102" s="88"/>
      <c r="NXI102" s="88"/>
      <c r="NXQ102" s="88"/>
      <c r="NXY102" s="88"/>
      <c r="NYG102" s="88"/>
      <c r="NYO102" s="88"/>
      <c r="NYW102" s="88"/>
      <c r="NZE102" s="88"/>
      <c r="NZM102" s="88"/>
      <c r="NZU102" s="88"/>
      <c r="OAC102" s="88"/>
      <c r="OAK102" s="88"/>
      <c r="OAS102" s="88"/>
      <c r="OBA102" s="88"/>
      <c r="OBI102" s="88"/>
      <c r="OBQ102" s="88"/>
      <c r="OBY102" s="88"/>
      <c r="OCG102" s="88"/>
      <c r="OCO102" s="88"/>
      <c r="OCW102" s="88"/>
      <c r="ODE102" s="88"/>
      <c r="ODM102" s="88"/>
      <c r="ODU102" s="88"/>
      <c r="OEC102" s="88"/>
      <c r="OEK102" s="88"/>
      <c r="OES102" s="88"/>
      <c r="OFA102" s="88"/>
      <c r="OFI102" s="88"/>
      <c r="OFQ102" s="88"/>
      <c r="OFY102" s="88"/>
      <c r="OGG102" s="88"/>
      <c r="OGO102" s="88"/>
      <c r="OGW102" s="88"/>
      <c r="OHE102" s="88"/>
      <c r="OHM102" s="88"/>
      <c r="OHU102" s="88"/>
      <c r="OIC102" s="88"/>
      <c r="OIK102" s="88"/>
      <c r="OIS102" s="88"/>
      <c r="OJA102" s="88"/>
      <c r="OJI102" s="88"/>
      <c r="OJQ102" s="88"/>
      <c r="OJY102" s="88"/>
      <c r="OKG102" s="88"/>
      <c r="OKO102" s="88"/>
      <c r="OKW102" s="88"/>
      <c r="OLE102" s="88"/>
      <c r="OLM102" s="88"/>
      <c r="OLU102" s="88"/>
      <c r="OMC102" s="88"/>
      <c r="OMK102" s="88"/>
      <c r="OMS102" s="88"/>
      <c r="ONA102" s="88"/>
      <c r="ONI102" s="88"/>
      <c r="ONQ102" s="88"/>
      <c r="ONY102" s="88"/>
      <c r="OOG102" s="88"/>
      <c r="OOO102" s="88"/>
      <c r="OOW102" s="88"/>
      <c r="OPE102" s="88"/>
      <c r="OPM102" s="88"/>
      <c r="OPU102" s="88"/>
      <c r="OQC102" s="88"/>
      <c r="OQK102" s="88"/>
      <c r="OQS102" s="88"/>
      <c r="ORA102" s="88"/>
      <c r="ORI102" s="88"/>
      <c r="ORQ102" s="88"/>
      <c r="ORY102" s="88"/>
      <c r="OSG102" s="88"/>
      <c r="OSO102" s="88"/>
      <c r="OSW102" s="88"/>
      <c r="OTE102" s="88"/>
      <c r="OTM102" s="88"/>
      <c r="OTU102" s="88"/>
      <c r="OUC102" s="88"/>
      <c r="OUK102" s="88"/>
      <c r="OUS102" s="88"/>
      <c r="OVA102" s="88"/>
      <c r="OVI102" s="88"/>
      <c r="OVQ102" s="88"/>
      <c r="OVY102" s="88"/>
      <c r="OWG102" s="88"/>
      <c r="OWO102" s="88"/>
      <c r="OWW102" s="88"/>
      <c r="OXE102" s="88"/>
      <c r="OXM102" s="88"/>
      <c r="OXU102" s="88"/>
      <c r="OYC102" s="88"/>
      <c r="OYK102" s="88"/>
      <c r="OYS102" s="88"/>
      <c r="OZA102" s="88"/>
      <c r="OZI102" s="88"/>
      <c r="OZQ102" s="88"/>
      <c r="OZY102" s="88"/>
      <c r="PAG102" s="88"/>
      <c r="PAO102" s="88"/>
      <c r="PAW102" s="88"/>
      <c r="PBE102" s="88"/>
      <c r="PBM102" s="88"/>
      <c r="PBU102" s="88"/>
      <c r="PCC102" s="88"/>
      <c r="PCK102" s="88"/>
      <c r="PCS102" s="88"/>
      <c r="PDA102" s="88"/>
      <c r="PDI102" s="88"/>
      <c r="PDQ102" s="88"/>
      <c r="PDY102" s="88"/>
      <c r="PEG102" s="88"/>
      <c r="PEO102" s="88"/>
      <c r="PEW102" s="88"/>
      <c r="PFE102" s="88"/>
      <c r="PFM102" s="88"/>
      <c r="PFU102" s="88"/>
      <c r="PGC102" s="88"/>
      <c r="PGK102" s="88"/>
      <c r="PGS102" s="88"/>
      <c r="PHA102" s="88"/>
      <c r="PHI102" s="88"/>
      <c r="PHQ102" s="88"/>
      <c r="PHY102" s="88"/>
      <c r="PIG102" s="88"/>
      <c r="PIO102" s="88"/>
      <c r="PIW102" s="88"/>
      <c r="PJE102" s="88"/>
      <c r="PJM102" s="88"/>
      <c r="PJU102" s="88"/>
      <c r="PKC102" s="88"/>
      <c r="PKK102" s="88"/>
      <c r="PKS102" s="88"/>
      <c r="PLA102" s="88"/>
      <c r="PLI102" s="88"/>
      <c r="PLQ102" s="88"/>
      <c r="PLY102" s="88"/>
      <c r="PMG102" s="88"/>
      <c r="PMO102" s="88"/>
      <c r="PMW102" s="88"/>
      <c r="PNE102" s="88"/>
      <c r="PNM102" s="88"/>
      <c r="PNU102" s="88"/>
      <c r="POC102" s="88"/>
      <c r="POK102" s="88"/>
      <c r="POS102" s="88"/>
      <c r="PPA102" s="88"/>
      <c r="PPI102" s="88"/>
      <c r="PPQ102" s="88"/>
      <c r="PPY102" s="88"/>
      <c r="PQG102" s="88"/>
      <c r="PQO102" s="88"/>
      <c r="PQW102" s="88"/>
      <c r="PRE102" s="88"/>
      <c r="PRM102" s="88"/>
      <c r="PRU102" s="88"/>
      <c r="PSC102" s="88"/>
      <c r="PSK102" s="88"/>
      <c r="PSS102" s="88"/>
      <c r="PTA102" s="88"/>
      <c r="PTI102" s="88"/>
      <c r="PTQ102" s="88"/>
      <c r="PTY102" s="88"/>
      <c r="PUG102" s="88"/>
      <c r="PUO102" s="88"/>
      <c r="PUW102" s="88"/>
      <c r="PVE102" s="88"/>
      <c r="PVM102" s="88"/>
      <c r="PVU102" s="88"/>
      <c r="PWC102" s="88"/>
      <c r="PWK102" s="88"/>
      <c r="PWS102" s="88"/>
      <c r="PXA102" s="88"/>
      <c r="PXI102" s="88"/>
      <c r="PXQ102" s="88"/>
      <c r="PXY102" s="88"/>
      <c r="PYG102" s="88"/>
      <c r="PYO102" s="88"/>
      <c r="PYW102" s="88"/>
      <c r="PZE102" s="88"/>
      <c r="PZM102" s="88"/>
      <c r="PZU102" s="88"/>
      <c r="QAC102" s="88"/>
      <c r="QAK102" s="88"/>
      <c r="QAS102" s="88"/>
      <c r="QBA102" s="88"/>
      <c r="QBI102" s="88"/>
      <c r="QBQ102" s="88"/>
      <c r="QBY102" s="88"/>
      <c r="QCG102" s="88"/>
      <c r="QCO102" s="88"/>
      <c r="QCW102" s="88"/>
      <c r="QDE102" s="88"/>
      <c r="QDM102" s="88"/>
      <c r="QDU102" s="88"/>
      <c r="QEC102" s="88"/>
      <c r="QEK102" s="88"/>
      <c r="QES102" s="88"/>
      <c r="QFA102" s="88"/>
      <c r="QFI102" s="88"/>
      <c r="QFQ102" s="88"/>
      <c r="QFY102" s="88"/>
      <c r="QGG102" s="88"/>
      <c r="QGO102" s="88"/>
      <c r="QGW102" s="88"/>
      <c r="QHE102" s="88"/>
      <c r="QHM102" s="88"/>
      <c r="QHU102" s="88"/>
      <c r="QIC102" s="88"/>
      <c r="QIK102" s="88"/>
      <c r="QIS102" s="88"/>
      <c r="QJA102" s="88"/>
      <c r="QJI102" s="88"/>
      <c r="QJQ102" s="88"/>
      <c r="QJY102" s="88"/>
      <c r="QKG102" s="88"/>
      <c r="QKO102" s="88"/>
      <c r="QKW102" s="88"/>
      <c r="QLE102" s="88"/>
      <c r="QLM102" s="88"/>
      <c r="QLU102" s="88"/>
      <c r="QMC102" s="88"/>
      <c r="QMK102" s="88"/>
      <c r="QMS102" s="88"/>
      <c r="QNA102" s="88"/>
      <c r="QNI102" s="88"/>
      <c r="QNQ102" s="88"/>
      <c r="QNY102" s="88"/>
      <c r="QOG102" s="88"/>
      <c r="QOO102" s="88"/>
      <c r="QOW102" s="88"/>
      <c r="QPE102" s="88"/>
      <c r="QPM102" s="88"/>
      <c r="QPU102" s="88"/>
      <c r="QQC102" s="88"/>
      <c r="QQK102" s="88"/>
      <c r="QQS102" s="88"/>
      <c r="QRA102" s="88"/>
      <c r="QRI102" s="88"/>
      <c r="QRQ102" s="88"/>
      <c r="QRY102" s="88"/>
      <c r="QSG102" s="88"/>
      <c r="QSO102" s="88"/>
      <c r="QSW102" s="88"/>
      <c r="QTE102" s="88"/>
      <c r="QTM102" s="88"/>
      <c r="QTU102" s="88"/>
      <c r="QUC102" s="88"/>
      <c r="QUK102" s="88"/>
      <c r="QUS102" s="88"/>
      <c r="QVA102" s="88"/>
      <c r="QVI102" s="88"/>
      <c r="QVQ102" s="88"/>
      <c r="QVY102" s="88"/>
      <c r="QWG102" s="88"/>
      <c r="QWO102" s="88"/>
      <c r="QWW102" s="88"/>
      <c r="QXE102" s="88"/>
      <c r="QXM102" s="88"/>
      <c r="QXU102" s="88"/>
      <c r="QYC102" s="88"/>
      <c r="QYK102" s="88"/>
      <c r="QYS102" s="88"/>
      <c r="QZA102" s="88"/>
      <c r="QZI102" s="88"/>
      <c r="QZQ102" s="88"/>
      <c r="QZY102" s="88"/>
      <c r="RAG102" s="88"/>
      <c r="RAO102" s="88"/>
      <c r="RAW102" s="88"/>
      <c r="RBE102" s="88"/>
      <c r="RBM102" s="88"/>
      <c r="RBU102" s="88"/>
      <c r="RCC102" s="88"/>
      <c r="RCK102" s="88"/>
      <c r="RCS102" s="88"/>
      <c r="RDA102" s="88"/>
      <c r="RDI102" s="88"/>
      <c r="RDQ102" s="88"/>
      <c r="RDY102" s="88"/>
      <c r="REG102" s="88"/>
      <c r="REO102" s="88"/>
      <c r="REW102" s="88"/>
      <c r="RFE102" s="88"/>
      <c r="RFM102" s="88"/>
      <c r="RFU102" s="88"/>
      <c r="RGC102" s="88"/>
      <c r="RGK102" s="88"/>
      <c r="RGS102" s="88"/>
      <c r="RHA102" s="88"/>
      <c r="RHI102" s="88"/>
      <c r="RHQ102" s="88"/>
      <c r="RHY102" s="88"/>
      <c r="RIG102" s="88"/>
      <c r="RIO102" s="88"/>
      <c r="RIW102" s="88"/>
      <c r="RJE102" s="88"/>
      <c r="RJM102" s="88"/>
      <c r="RJU102" s="88"/>
      <c r="RKC102" s="88"/>
      <c r="RKK102" s="88"/>
      <c r="RKS102" s="88"/>
      <c r="RLA102" s="88"/>
      <c r="RLI102" s="88"/>
      <c r="RLQ102" s="88"/>
      <c r="RLY102" s="88"/>
      <c r="RMG102" s="88"/>
      <c r="RMO102" s="88"/>
      <c r="RMW102" s="88"/>
      <c r="RNE102" s="88"/>
      <c r="RNM102" s="88"/>
      <c r="RNU102" s="88"/>
      <c r="ROC102" s="88"/>
      <c r="ROK102" s="88"/>
      <c r="ROS102" s="88"/>
      <c r="RPA102" s="88"/>
      <c r="RPI102" s="88"/>
      <c r="RPQ102" s="88"/>
      <c r="RPY102" s="88"/>
      <c r="RQG102" s="88"/>
      <c r="RQO102" s="88"/>
      <c r="RQW102" s="88"/>
      <c r="RRE102" s="88"/>
      <c r="RRM102" s="88"/>
      <c r="RRU102" s="88"/>
      <c r="RSC102" s="88"/>
      <c r="RSK102" s="88"/>
      <c r="RSS102" s="88"/>
      <c r="RTA102" s="88"/>
      <c r="RTI102" s="88"/>
      <c r="RTQ102" s="88"/>
      <c r="RTY102" s="88"/>
      <c r="RUG102" s="88"/>
      <c r="RUO102" s="88"/>
      <c r="RUW102" s="88"/>
      <c r="RVE102" s="88"/>
      <c r="RVM102" s="88"/>
      <c r="RVU102" s="88"/>
      <c r="RWC102" s="88"/>
      <c r="RWK102" s="88"/>
      <c r="RWS102" s="88"/>
      <c r="RXA102" s="88"/>
      <c r="RXI102" s="88"/>
      <c r="RXQ102" s="88"/>
      <c r="RXY102" s="88"/>
      <c r="RYG102" s="88"/>
      <c r="RYO102" s="88"/>
      <c r="RYW102" s="88"/>
      <c r="RZE102" s="88"/>
      <c r="RZM102" s="88"/>
      <c r="RZU102" s="88"/>
      <c r="SAC102" s="88"/>
      <c r="SAK102" s="88"/>
      <c r="SAS102" s="88"/>
      <c r="SBA102" s="88"/>
      <c r="SBI102" s="88"/>
      <c r="SBQ102" s="88"/>
      <c r="SBY102" s="88"/>
      <c r="SCG102" s="88"/>
      <c r="SCO102" s="88"/>
      <c r="SCW102" s="88"/>
      <c r="SDE102" s="88"/>
      <c r="SDM102" s="88"/>
      <c r="SDU102" s="88"/>
      <c r="SEC102" s="88"/>
      <c r="SEK102" s="88"/>
      <c r="SES102" s="88"/>
      <c r="SFA102" s="88"/>
      <c r="SFI102" s="88"/>
      <c r="SFQ102" s="88"/>
      <c r="SFY102" s="88"/>
      <c r="SGG102" s="88"/>
      <c r="SGO102" s="88"/>
      <c r="SGW102" s="88"/>
      <c r="SHE102" s="88"/>
      <c r="SHM102" s="88"/>
      <c r="SHU102" s="88"/>
      <c r="SIC102" s="88"/>
      <c r="SIK102" s="88"/>
      <c r="SIS102" s="88"/>
      <c r="SJA102" s="88"/>
      <c r="SJI102" s="88"/>
      <c r="SJQ102" s="88"/>
      <c r="SJY102" s="88"/>
      <c r="SKG102" s="88"/>
      <c r="SKO102" s="88"/>
      <c r="SKW102" s="88"/>
      <c r="SLE102" s="88"/>
      <c r="SLM102" s="88"/>
      <c r="SLU102" s="88"/>
      <c r="SMC102" s="88"/>
      <c r="SMK102" s="88"/>
      <c r="SMS102" s="88"/>
      <c r="SNA102" s="88"/>
      <c r="SNI102" s="88"/>
      <c r="SNQ102" s="88"/>
      <c r="SNY102" s="88"/>
      <c r="SOG102" s="88"/>
      <c r="SOO102" s="88"/>
      <c r="SOW102" s="88"/>
      <c r="SPE102" s="88"/>
      <c r="SPM102" s="88"/>
      <c r="SPU102" s="88"/>
      <c r="SQC102" s="88"/>
      <c r="SQK102" s="88"/>
      <c r="SQS102" s="88"/>
      <c r="SRA102" s="88"/>
      <c r="SRI102" s="88"/>
      <c r="SRQ102" s="88"/>
      <c r="SRY102" s="88"/>
      <c r="SSG102" s="88"/>
      <c r="SSO102" s="88"/>
      <c r="SSW102" s="88"/>
      <c r="STE102" s="88"/>
      <c r="STM102" s="88"/>
      <c r="STU102" s="88"/>
      <c r="SUC102" s="88"/>
      <c r="SUK102" s="88"/>
      <c r="SUS102" s="88"/>
      <c r="SVA102" s="88"/>
      <c r="SVI102" s="88"/>
      <c r="SVQ102" s="88"/>
      <c r="SVY102" s="88"/>
      <c r="SWG102" s="88"/>
      <c r="SWO102" s="88"/>
      <c r="SWW102" s="88"/>
      <c r="SXE102" s="88"/>
      <c r="SXM102" s="88"/>
      <c r="SXU102" s="88"/>
      <c r="SYC102" s="88"/>
      <c r="SYK102" s="88"/>
      <c r="SYS102" s="88"/>
      <c r="SZA102" s="88"/>
      <c r="SZI102" s="88"/>
      <c r="SZQ102" s="88"/>
      <c r="SZY102" s="88"/>
      <c r="TAG102" s="88"/>
      <c r="TAO102" s="88"/>
      <c r="TAW102" s="88"/>
      <c r="TBE102" s="88"/>
      <c r="TBM102" s="88"/>
      <c r="TBU102" s="88"/>
      <c r="TCC102" s="88"/>
      <c r="TCK102" s="88"/>
      <c r="TCS102" s="88"/>
      <c r="TDA102" s="88"/>
      <c r="TDI102" s="88"/>
      <c r="TDQ102" s="88"/>
      <c r="TDY102" s="88"/>
      <c r="TEG102" s="88"/>
      <c r="TEO102" s="88"/>
      <c r="TEW102" s="88"/>
      <c r="TFE102" s="88"/>
      <c r="TFM102" s="88"/>
      <c r="TFU102" s="88"/>
      <c r="TGC102" s="88"/>
      <c r="TGK102" s="88"/>
      <c r="TGS102" s="88"/>
      <c r="THA102" s="88"/>
      <c r="THI102" s="88"/>
      <c r="THQ102" s="88"/>
      <c r="THY102" s="88"/>
      <c r="TIG102" s="88"/>
      <c r="TIO102" s="88"/>
      <c r="TIW102" s="88"/>
      <c r="TJE102" s="88"/>
      <c r="TJM102" s="88"/>
      <c r="TJU102" s="88"/>
      <c r="TKC102" s="88"/>
      <c r="TKK102" s="88"/>
      <c r="TKS102" s="88"/>
      <c r="TLA102" s="88"/>
      <c r="TLI102" s="88"/>
      <c r="TLQ102" s="88"/>
      <c r="TLY102" s="88"/>
      <c r="TMG102" s="88"/>
      <c r="TMO102" s="88"/>
      <c r="TMW102" s="88"/>
      <c r="TNE102" s="88"/>
      <c r="TNM102" s="88"/>
      <c r="TNU102" s="88"/>
      <c r="TOC102" s="88"/>
      <c r="TOK102" s="88"/>
      <c r="TOS102" s="88"/>
      <c r="TPA102" s="88"/>
      <c r="TPI102" s="88"/>
      <c r="TPQ102" s="88"/>
      <c r="TPY102" s="88"/>
      <c r="TQG102" s="88"/>
      <c r="TQO102" s="88"/>
      <c r="TQW102" s="88"/>
      <c r="TRE102" s="88"/>
      <c r="TRM102" s="88"/>
      <c r="TRU102" s="88"/>
      <c r="TSC102" s="88"/>
      <c r="TSK102" s="88"/>
      <c r="TSS102" s="88"/>
      <c r="TTA102" s="88"/>
      <c r="TTI102" s="88"/>
      <c r="TTQ102" s="88"/>
      <c r="TTY102" s="88"/>
      <c r="TUG102" s="88"/>
      <c r="TUO102" s="88"/>
      <c r="TUW102" s="88"/>
      <c r="TVE102" s="88"/>
      <c r="TVM102" s="88"/>
      <c r="TVU102" s="88"/>
      <c r="TWC102" s="88"/>
      <c r="TWK102" s="88"/>
      <c r="TWS102" s="88"/>
      <c r="TXA102" s="88"/>
      <c r="TXI102" s="88"/>
      <c r="TXQ102" s="88"/>
      <c r="TXY102" s="88"/>
      <c r="TYG102" s="88"/>
      <c r="TYO102" s="88"/>
      <c r="TYW102" s="88"/>
      <c r="TZE102" s="88"/>
      <c r="TZM102" s="88"/>
      <c r="TZU102" s="88"/>
      <c r="UAC102" s="88"/>
      <c r="UAK102" s="88"/>
      <c r="UAS102" s="88"/>
      <c r="UBA102" s="88"/>
      <c r="UBI102" s="88"/>
      <c r="UBQ102" s="88"/>
      <c r="UBY102" s="88"/>
      <c r="UCG102" s="88"/>
      <c r="UCO102" s="88"/>
      <c r="UCW102" s="88"/>
      <c r="UDE102" s="88"/>
      <c r="UDM102" s="88"/>
      <c r="UDU102" s="88"/>
      <c r="UEC102" s="88"/>
      <c r="UEK102" s="88"/>
      <c r="UES102" s="88"/>
      <c r="UFA102" s="88"/>
      <c r="UFI102" s="88"/>
      <c r="UFQ102" s="88"/>
      <c r="UFY102" s="88"/>
      <c r="UGG102" s="88"/>
      <c r="UGO102" s="88"/>
      <c r="UGW102" s="88"/>
      <c r="UHE102" s="88"/>
      <c r="UHM102" s="88"/>
      <c r="UHU102" s="88"/>
      <c r="UIC102" s="88"/>
      <c r="UIK102" s="88"/>
      <c r="UIS102" s="88"/>
      <c r="UJA102" s="88"/>
      <c r="UJI102" s="88"/>
      <c r="UJQ102" s="88"/>
      <c r="UJY102" s="88"/>
      <c r="UKG102" s="88"/>
      <c r="UKO102" s="88"/>
      <c r="UKW102" s="88"/>
      <c r="ULE102" s="88"/>
      <c r="ULM102" s="88"/>
      <c r="ULU102" s="88"/>
      <c r="UMC102" s="88"/>
      <c r="UMK102" s="88"/>
      <c r="UMS102" s="88"/>
      <c r="UNA102" s="88"/>
      <c r="UNI102" s="88"/>
      <c r="UNQ102" s="88"/>
      <c r="UNY102" s="88"/>
      <c r="UOG102" s="88"/>
      <c r="UOO102" s="88"/>
      <c r="UOW102" s="88"/>
      <c r="UPE102" s="88"/>
      <c r="UPM102" s="88"/>
      <c r="UPU102" s="88"/>
      <c r="UQC102" s="88"/>
      <c r="UQK102" s="88"/>
      <c r="UQS102" s="88"/>
      <c r="URA102" s="88"/>
      <c r="URI102" s="88"/>
      <c r="URQ102" s="88"/>
      <c r="URY102" s="88"/>
      <c r="USG102" s="88"/>
      <c r="USO102" s="88"/>
      <c r="USW102" s="88"/>
      <c r="UTE102" s="88"/>
      <c r="UTM102" s="88"/>
      <c r="UTU102" s="88"/>
      <c r="UUC102" s="88"/>
      <c r="UUK102" s="88"/>
      <c r="UUS102" s="88"/>
      <c r="UVA102" s="88"/>
      <c r="UVI102" s="88"/>
      <c r="UVQ102" s="88"/>
      <c r="UVY102" s="88"/>
      <c r="UWG102" s="88"/>
      <c r="UWO102" s="88"/>
      <c r="UWW102" s="88"/>
      <c r="UXE102" s="88"/>
      <c r="UXM102" s="88"/>
      <c r="UXU102" s="88"/>
      <c r="UYC102" s="88"/>
      <c r="UYK102" s="88"/>
      <c r="UYS102" s="88"/>
      <c r="UZA102" s="88"/>
      <c r="UZI102" s="88"/>
      <c r="UZQ102" s="88"/>
      <c r="UZY102" s="88"/>
      <c r="VAG102" s="88"/>
      <c r="VAO102" s="88"/>
      <c r="VAW102" s="88"/>
      <c r="VBE102" s="88"/>
      <c r="VBM102" s="88"/>
      <c r="VBU102" s="88"/>
      <c r="VCC102" s="88"/>
      <c r="VCK102" s="88"/>
      <c r="VCS102" s="88"/>
      <c r="VDA102" s="88"/>
      <c r="VDI102" s="88"/>
      <c r="VDQ102" s="88"/>
      <c r="VDY102" s="88"/>
      <c r="VEG102" s="88"/>
      <c r="VEO102" s="88"/>
      <c r="VEW102" s="88"/>
      <c r="VFE102" s="88"/>
      <c r="VFM102" s="88"/>
      <c r="VFU102" s="88"/>
      <c r="VGC102" s="88"/>
      <c r="VGK102" s="88"/>
      <c r="VGS102" s="88"/>
      <c r="VHA102" s="88"/>
      <c r="VHI102" s="88"/>
      <c r="VHQ102" s="88"/>
      <c r="VHY102" s="88"/>
      <c r="VIG102" s="88"/>
      <c r="VIO102" s="88"/>
      <c r="VIW102" s="88"/>
      <c r="VJE102" s="88"/>
      <c r="VJM102" s="88"/>
      <c r="VJU102" s="88"/>
      <c r="VKC102" s="88"/>
      <c r="VKK102" s="88"/>
      <c r="VKS102" s="88"/>
      <c r="VLA102" s="88"/>
      <c r="VLI102" s="88"/>
      <c r="VLQ102" s="88"/>
      <c r="VLY102" s="88"/>
      <c r="VMG102" s="88"/>
      <c r="VMO102" s="88"/>
      <c r="VMW102" s="88"/>
      <c r="VNE102" s="88"/>
      <c r="VNM102" s="88"/>
      <c r="VNU102" s="88"/>
      <c r="VOC102" s="88"/>
      <c r="VOK102" s="88"/>
      <c r="VOS102" s="88"/>
      <c r="VPA102" s="88"/>
      <c r="VPI102" s="88"/>
      <c r="VPQ102" s="88"/>
      <c r="VPY102" s="88"/>
      <c r="VQG102" s="88"/>
      <c r="VQO102" s="88"/>
      <c r="VQW102" s="88"/>
      <c r="VRE102" s="88"/>
      <c r="VRM102" s="88"/>
      <c r="VRU102" s="88"/>
      <c r="VSC102" s="88"/>
      <c r="VSK102" s="88"/>
      <c r="VSS102" s="88"/>
      <c r="VTA102" s="88"/>
      <c r="VTI102" s="88"/>
      <c r="VTQ102" s="88"/>
      <c r="VTY102" s="88"/>
      <c r="VUG102" s="88"/>
      <c r="VUO102" s="88"/>
      <c r="VUW102" s="88"/>
      <c r="VVE102" s="88"/>
      <c r="VVM102" s="88"/>
      <c r="VVU102" s="88"/>
      <c r="VWC102" s="88"/>
      <c r="VWK102" s="88"/>
      <c r="VWS102" s="88"/>
      <c r="VXA102" s="88"/>
      <c r="VXI102" s="88"/>
      <c r="VXQ102" s="88"/>
      <c r="VXY102" s="88"/>
      <c r="VYG102" s="88"/>
      <c r="VYO102" s="88"/>
      <c r="VYW102" s="88"/>
      <c r="VZE102" s="88"/>
      <c r="VZM102" s="88"/>
      <c r="VZU102" s="88"/>
      <c r="WAC102" s="88"/>
      <c r="WAK102" s="88"/>
      <c r="WAS102" s="88"/>
      <c r="WBA102" s="88"/>
      <c r="WBI102" s="88"/>
      <c r="WBQ102" s="88"/>
      <c r="WBY102" s="88"/>
      <c r="WCG102" s="88"/>
      <c r="WCO102" s="88"/>
      <c r="WCW102" s="88"/>
      <c r="WDE102" s="88"/>
      <c r="WDM102" s="88"/>
      <c r="WDU102" s="88"/>
      <c r="WEC102" s="88"/>
      <c r="WEK102" s="88"/>
      <c r="WES102" s="88"/>
      <c r="WFA102" s="88"/>
      <c r="WFI102" s="88"/>
      <c r="WFQ102" s="88"/>
      <c r="WFY102" s="88"/>
      <c r="WGG102" s="88"/>
      <c r="WGO102" s="88"/>
      <c r="WGW102" s="88"/>
      <c r="WHE102" s="88"/>
      <c r="WHM102" s="88"/>
      <c r="WHU102" s="88"/>
      <c r="WIC102" s="88"/>
      <c r="WIK102" s="88"/>
      <c r="WIS102" s="88"/>
      <c r="WJA102" s="88"/>
      <c r="WJI102" s="88"/>
      <c r="WJQ102" s="88"/>
      <c r="WJY102" s="88"/>
      <c r="WKG102" s="88"/>
      <c r="WKO102" s="88"/>
      <c r="WKW102" s="88"/>
      <c r="WLE102" s="88"/>
      <c r="WLM102" s="88"/>
      <c r="WLU102" s="88"/>
      <c r="WMC102" s="88"/>
      <c r="WMK102" s="88"/>
      <c r="WMS102" s="88"/>
      <c r="WNA102" s="88"/>
      <c r="WNI102" s="88"/>
      <c r="WNQ102" s="88"/>
      <c r="WNY102" s="88"/>
      <c r="WOG102" s="88"/>
      <c r="WOO102" s="88"/>
      <c r="WOW102" s="88"/>
      <c r="WPE102" s="88"/>
      <c r="WPM102" s="88"/>
      <c r="WPU102" s="88"/>
      <c r="WQC102" s="88"/>
      <c r="WQK102" s="88"/>
      <c r="WQS102" s="88"/>
      <c r="WRA102" s="88"/>
      <c r="WRI102" s="88"/>
      <c r="WRQ102" s="88"/>
      <c r="WRY102" s="88"/>
      <c r="WSG102" s="88"/>
      <c r="WSO102" s="88"/>
      <c r="WSW102" s="88"/>
      <c r="WTE102" s="88"/>
      <c r="WTM102" s="88"/>
      <c r="WTU102" s="88"/>
      <c r="WUC102" s="88"/>
      <c r="WUK102" s="88"/>
      <c r="WUS102" s="88"/>
      <c r="WVA102" s="88"/>
      <c r="WVI102" s="88"/>
      <c r="WVQ102" s="88"/>
      <c r="WVY102" s="88"/>
      <c r="WWG102" s="88"/>
      <c r="WWO102" s="88"/>
      <c r="WWW102" s="88"/>
      <c r="WXE102" s="88"/>
      <c r="WXM102" s="88"/>
      <c r="WXU102" s="88"/>
      <c r="WYC102" s="88"/>
      <c r="WYK102" s="88"/>
      <c r="WYS102" s="88"/>
      <c r="WZA102" s="88"/>
      <c r="WZI102" s="88"/>
      <c r="WZQ102" s="88"/>
      <c r="WZY102" s="88"/>
      <c r="XAG102" s="88"/>
      <c r="XAO102" s="88"/>
      <c r="XAW102" s="88"/>
      <c r="XBE102" s="88"/>
      <c r="XBM102" s="88"/>
      <c r="XBU102" s="88"/>
      <c r="XCC102" s="88"/>
      <c r="XCK102" s="88"/>
      <c r="XCS102" s="88"/>
      <c r="XDA102" s="88"/>
      <c r="XDI102" s="88"/>
      <c r="XDQ102" s="88"/>
      <c r="XDY102" s="88"/>
      <c r="XEG102" s="88"/>
      <c r="XEO102" s="88"/>
      <c r="XEW102" s="88"/>
    </row>
    <row r="103" spans="1:1017 1025:2041 2049:3065 3073:4089 4097:5113 5121:6137 6145:7161 7169:8185 8193:9209 9217:10233 10241:11257 11265:12281 12289:13305 13313:14329 14337:15353 15361:16377" s="100" customFormat="1" ht="15.75" customHeight="1" x14ac:dyDescent="0.3">
      <c r="A103" s="88" t="s">
        <v>615</v>
      </c>
      <c r="B103" s="99">
        <v>0</v>
      </c>
      <c r="C103" s="99">
        <v>0</v>
      </c>
      <c r="D103" s="99">
        <v>89990</v>
      </c>
      <c r="E103" s="99">
        <v>0</v>
      </c>
      <c r="F103" s="99">
        <v>0</v>
      </c>
      <c r="G103" s="99">
        <v>0</v>
      </c>
      <c r="H103" s="99">
        <v>89990</v>
      </c>
      <c r="I103" s="84"/>
      <c r="J103" s="84"/>
      <c r="K103" s="95"/>
      <c r="L103" s="104"/>
    </row>
    <row r="104" spans="1:1017 1025:2041 2049:3065 3073:4089 4097:5113 5121:6137 6145:7161 7169:8185 8193:9209 9217:10233 10241:11257 11265:12281 12289:13305 13313:14329 14337:15353 15361:16377" s="100" customFormat="1" ht="15.75" customHeight="1" x14ac:dyDescent="0.3">
      <c r="A104" s="85" t="s">
        <v>1041</v>
      </c>
      <c r="B104" s="98">
        <v>0</v>
      </c>
      <c r="C104" s="98">
        <v>5674.68</v>
      </c>
      <c r="D104" s="98">
        <v>0</v>
      </c>
      <c r="E104" s="98">
        <v>79636</v>
      </c>
      <c r="F104" s="98">
        <v>159172.78</v>
      </c>
      <c r="G104" s="98">
        <v>0</v>
      </c>
      <c r="H104" s="98">
        <v>244483.46</v>
      </c>
      <c r="I104" s="84"/>
      <c r="J104" s="84"/>
      <c r="K104" s="95"/>
      <c r="L104" s="104"/>
    </row>
    <row r="105" spans="1:1017 1025:2041 2049:3065 3073:4089 4097:5113 5121:6137 6145:7161 7169:8185 8193:9209 9217:10233 10241:11257 11265:12281 12289:13305 13313:14329 14337:15353 15361:16377" s="100" customFormat="1" ht="15.75" customHeight="1" x14ac:dyDescent="0.3">
      <c r="A105" s="88" t="s">
        <v>1042</v>
      </c>
      <c r="B105" s="99">
        <v>0</v>
      </c>
      <c r="C105" s="99">
        <v>5674.68</v>
      </c>
      <c r="D105" s="99">
        <v>0</v>
      </c>
      <c r="E105" s="99">
        <v>0</v>
      </c>
      <c r="F105" s="99">
        <v>0</v>
      </c>
      <c r="G105" s="99">
        <v>0</v>
      </c>
      <c r="H105" s="99">
        <v>5674.68</v>
      </c>
      <c r="I105" s="84"/>
      <c r="J105" s="84"/>
      <c r="K105" s="95"/>
      <c r="L105" s="104"/>
    </row>
    <row r="106" spans="1:1017 1025:2041 2049:3065 3073:4089 4097:5113 5121:6137 6145:7161 7169:8185 8193:9209 9217:10233 10241:11257 11265:12281 12289:13305 13313:14329 14337:15353 15361:16377" s="100" customFormat="1" ht="15.75" customHeight="1" x14ac:dyDescent="0.3">
      <c r="A106" s="88" t="s">
        <v>1043</v>
      </c>
      <c r="B106" s="99">
        <v>0</v>
      </c>
      <c r="C106" s="99">
        <v>0</v>
      </c>
      <c r="D106" s="99">
        <v>0</v>
      </c>
      <c r="E106" s="99">
        <v>0</v>
      </c>
      <c r="F106" s="99">
        <v>10395.75</v>
      </c>
      <c r="G106" s="99">
        <v>0</v>
      </c>
      <c r="H106" s="99">
        <v>10395.75</v>
      </c>
      <c r="I106" s="84"/>
      <c r="J106" s="84"/>
      <c r="K106" s="95"/>
      <c r="L106" s="104"/>
    </row>
    <row r="107" spans="1:1017 1025:2041 2049:3065 3073:4089 4097:5113 5121:6137 6145:7161 7169:8185 8193:9209 9217:10233 10241:11257 11265:12281 12289:13305 13313:14329 14337:15353 15361:16377" s="100" customFormat="1" ht="15.75" customHeight="1" x14ac:dyDescent="0.3">
      <c r="A107" s="88" t="s">
        <v>1044</v>
      </c>
      <c r="B107" s="99">
        <v>0</v>
      </c>
      <c r="C107" s="99">
        <v>0</v>
      </c>
      <c r="D107" s="99">
        <v>0</v>
      </c>
      <c r="E107" s="99">
        <v>0</v>
      </c>
      <c r="F107" s="99">
        <v>12777.03</v>
      </c>
      <c r="G107" s="99">
        <v>0</v>
      </c>
      <c r="H107" s="99">
        <v>12777.03</v>
      </c>
      <c r="I107" s="84"/>
      <c r="J107" s="84"/>
      <c r="K107" s="95"/>
      <c r="L107" s="104"/>
    </row>
    <row r="108" spans="1:1017 1025:2041 2049:3065 3073:4089 4097:5113 5121:6137 6145:7161 7169:8185 8193:9209 9217:10233 10241:11257 11265:12281 12289:13305 13313:14329 14337:15353 15361:16377" s="100" customFormat="1" ht="15.75" customHeight="1" x14ac:dyDescent="0.3">
      <c r="A108" s="88" t="s">
        <v>1045</v>
      </c>
      <c r="B108" s="99">
        <v>0</v>
      </c>
      <c r="C108" s="99">
        <v>0</v>
      </c>
      <c r="D108" s="99">
        <v>0</v>
      </c>
      <c r="E108" s="99">
        <v>0</v>
      </c>
      <c r="F108" s="99">
        <v>136000</v>
      </c>
      <c r="G108" s="99">
        <v>0</v>
      </c>
      <c r="H108" s="99">
        <v>136000</v>
      </c>
      <c r="I108" s="84"/>
      <c r="J108" s="84"/>
      <c r="K108" s="95"/>
      <c r="L108" s="104"/>
    </row>
    <row r="109" spans="1:1017 1025:2041 2049:3065 3073:4089 4097:5113 5121:6137 6145:7161 7169:8185 8193:9209 9217:10233 10241:11257 11265:12281 12289:13305 13313:14329 14337:15353 15361:16377" s="100" customFormat="1" ht="15.75" customHeight="1" x14ac:dyDescent="0.3">
      <c r="A109" s="88" t="s">
        <v>1046</v>
      </c>
      <c r="B109" s="99">
        <v>0</v>
      </c>
      <c r="C109" s="99">
        <v>0</v>
      </c>
      <c r="D109" s="99">
        <v>0</v>
      </c>
      <c r="E109" s="99">
        <v>79636</v>
      </c>
      <c r="F109" s="99">
        <v>0</v>
      </c>
      <c r="G109" s="99">
        <v>0</v>
      </c>
      <c r="H109" s="99">
        <v>79636</v>
      </c>
      <c r="I109" s="84"/>
      <c r="J109" s="84"/>
      <c r="K109" s="95"/>
      <c r="L109" s="104"/>
    </row>
    <row r="110" spans="1:1017 1025:2041 2049:3065 3073:4089 4097:5113 5121:6137 6145:7161 7169:8185 8193:9209 9217:10233 10241:11257 11265:12281 12289:13305 13313:14329 14337:15353 15361:16377" s="98" customFormat="1" ht="15.75" customHeight="1" x14ac:dyDescent="0.25">
      <c r="A110" s="85" t="s">
        <v>1047</v>
      </c>
      <c r="B110" s="98">
        <v>0</v>
      </c>
      <c r="C110" s="98">
        <v>46822</v>
      </c>
      <c r="D110" s="98">
        <v>767088.45</v>
      </c>
      <c r="E110" s="98">
        <v>26880</v>
      </c>
      <c r="F110" s="98">
        <v>0</v>
      </c>
      <c r="G110" s="98">
        <v>81880</v>
      </c>
      <c r="H110" s="98">
        <v>922670.45</v>
      </c>
      <c r="I110" s="85"/>
      <c r="Q110" s="85"/>
      <c r="Y110" s="85"/>
      <c r="AG110" s="85"/>
      <c r="AO110" s="85"/>
      <c r="AW110" s="85"/>
      <c r="BE110" s="85"/>
      <c r="BM110" s="85"/>
      <c r="BU110" s="85"/>
      <c r="CC110" s="85"/>
      <c r="CK110" s="85"/>
      <c r="CS110" s="85"/>
      <c r="DA110" s="85"/>
      <c r="DI110" s="85"/>
      <c r="DQ110" s="85"/>
      <c r="DY110" s="85"/>
      <c r="EG110" s="85"/>
      <c r="EO110" s="85"/>
      <c r="EW110" s="85"/>
      <c r="FE110" s="85"/>
      <c r="FM110" s="85"/>
      <c r="FU110" s="85"/>
      <c r="GC110" s="85"/>
      <c r="GK110" s="85"/>
      <c r="GS110" s="85"/>
      <c r="HA110" s="85"/>
      <c r="HI110" s="85"/>
      <c r="HQ110" s="85"/>
      <c r="HY110" s="85"/>
      <c r="IG110" s="85"/>
      <c r="IO110" s="85"/>
      <c r="IW110" s="85"/>
      <c r="JE110" s="85"/>
      <c r="JM110" s="85"/>
      <c r="JU110" s="85"/>
      <c r="KC110" s="85"/>
      <c r="KK110" s="85"/>
      <c r="KS110" s="85"/>
      <c r="LA110" s="85"/>
      <c r="LI110" s="85"/>
      <c r="LQ110" s="85"/>
      <c r="LY110" s="85"/>
      <c r="MG110" s="85"/>
      <c r="MO110" s="85"/>
      <c r="MW110" s="85"/>
      <c r="NE110" s="85"/>
      <c r="NM110" s="85"/>
      <c r="NU110" s="85"/>
      <c r="OC110" s="85"/>
      <c r="OK110" s="85"/>
      <c r="OS110" s="85"/>
      <c r="PA110" s="85"/>
      <c r="PI110" s="85"/>
      <c r="PQ110" s="85"/>
      <c r="PY110" s="85"/>
      <c r="QG110" s="85"/>
      <c r="QO110" s="85"/>
      <c r="QW110" s="85"/>
      <c r="RE110" s="85"/>
      <c r="RM110" s="85"/>
      <c r="RU110" s="85"/>
      <c r="SC110" s="85"/>
      <c r="SK110" s="85"/>
      <c r="SS110" s="85"/>
      <c r="TA110" s="85"/>
      <c r="TI110" s="85"/>
      <c r="TQ110" s="85"/>
      <c r="TY110" s="85"/>
      <c r="UG110" s="85"/>
      <c r="UO110" s="85"/>
      <c r="UW110" s="85"/>
      <c r="VE110" s="85"/>
      <c r="VM110" s="85"/>
      <c r="VU110" s="85"/>
      <c r="WC110" s="85"/>
      <c r="WK110" s="85"/>
      <c r="WS110" s="85"/>
      <c r="XA110" s="85"/>
      <c r="XI110" s="85"/>
      <c r="XQ110" s="85"/>
      <c r="XY110" s="85"/>
      <c r="YG110" s="85"/>
      <c r="YO110" s="85"/>
      <c r="YW110" s="85"/>
      <c r="ZE110" s="85"/>
      <c r="ZM110" s="85"/>
      <c r="ZU110" s="85"/>
      <c r="AAC110" s="85"/>
      <c r="AAK110" s="85"/>
      <c r="AAS110" s="85"/>
      <c r="ABA110" s="85"/>
      <c r="ABI110" s="85"/>
      <c r="ABQ110" s="85"/>
      <c r="ABY110" s="85"/>
      <c r="ACG110" s="85"/>
      <c r="ACO110" s="85"/>
      <c r="ACW110" s="85"/>
      <c r="ADE110" s="85"/>
      <c r="ADM110" s="85"/>
      <c r="ADU110" s="85"/>
      <c r="AEC110" s="85"/>
      <c r="AEK110" s="85"/>
      <c r="AES110" s="85"/>
      <c r="AFA110" s="85"/>
      <c r="AFI110" s="85"/>
      <c r="AFQ110" s="85"/>
      <c r="AFY110" s="85"/>
      <c r="AGG110" s="85"/>
      <c r="AGO110" s="85"/>
      <c r="AGW110" s="85"/>
      <c r="AHE110" s="85"/>
      <c r="AHM110" s="85"/>
      <c r="AHU110" s="85"/>
      <c r="AIC110" s="85"/>
      <c r="AIK110" s="85"/>
      <c r="AIS110" s="85"/>
      <c r="AJA110" s="85"/>
      <c r="AJI110" s="85"/>
      <c r="AJQ110" s="85"/>
      <c r="AJY110" s="85"/>
      <c r="AKG110" s="85"/>
      <c r="AKO110" s="85"/>
      <c r="AKW110" s="85"/>
      <c r="ALE110" s="85"/>
      <c r="ALM110" s="85"/>
      <c r="ALU110" s="85"/>
      <c r="AMC110" s="85"/>
      <c r="AMK110" s="85"/>
      <c r="AMS110" s="85"/>
      <c r="ANA110" s="85"/>
      <c r="ANI110" s="85"/>
      <c r="ANQ110" s="85"/>
      <c r="ANY110" s="85"/>
      <c r="AOG110" s="85"/>
      <c r="AOO110" s="85"/>
      <c r="AOW110" s="85"/>
      <c r="APE110" s="85"/>
      <c r="APM110" s="85"/>
      <c r="APU110" s="85"/>
      <c r="AQC110" s="85"/>
      <c r="AQK110" s="85"/>
      <c r="AQS110" s="85"/>
      <c r="ARA110" s="85"/>
      <c r="ARI110" s="85"/>
      <c r="ARQ110" s="85"/>
      <c r="ARY110" s="85"/>
      <c r="ASG110" s="85"/>
      <c r="ASO110" s="85"/>
      <c r="ASW110" s="85"/>
      <c r="ATE110" s="85"/>
      <c r="ATM110" s="85"/>
      <c r="ATU110" s="85"/>
      <c r="AUC110" s="85"/>
      <c r="AUK110" s="85"/>
      <c r="AUS110" s="85"/>
      <c r="AVA110" s="85"/>
      <c r="AVI110" s="85"/>
      <c r="AVQ110" s="85"/>
      <c r="AVY110" s="85"/>
      <c r="AWG110" s="85"/>
      <c r="AWO110" s="85"/>
      <c r="AWW110" s="85"/>
      <c r="AXE110" s="85"/>
      <c r="AXM110" s="85"/>
      <c r="AXU110" s="85"/>
      <c r="AYC110" s="85"/>
      <c r="AYK110" s="85"/>
      <c r="AYS110" s="85"/>
      <c r="AZA110" s="85"/>
      <c r="AZI110" s="85"/>
      <c r="AZQ110" s="85"/>
      <c r="AZY110" s="85"/>
      <c r="BAG110" s="85"/>
      <c r="BAO110" s="85"/>
      <c r="BAW110" s="85"/>
      <c r="BBE110" s="85"/>
      <c r="BBM110" s="85"/>
      <c r="BBU110" s="85"/>
      <c r="BCC110" s="85"/>
      <c r="BCK110" s="85"/>
      <c r="BCS110" s="85"/>
      <c r="BDA110" s="85"/>
      <c r="BDI110" s="85"/>
      <c r="BDQ110" s="85"/>
      <c r="BDY110" s="85"/>
      <c r="BEG110" s="85"/>
      <c r="BEO110" s="85"/>
      <c r="BEW110" s="85"/>
      <c r="BFE110" s="85"/>
      <c r="BFM110" s="85"/>
      <c r="BFU110" s="85"/>
      <c r="BGC110" s="85"/>
      <c r="BGK110" s="85"/>
      <c r="BGS110" s="85"/>
      <c r="BHA110" s="85"/>
      <c r="BHI110" s="85"/>
      <c r="BHQ110" s="85"/>
      <c r="BHY110" s="85"/>
      <c r="BIG110" s="85"/>
      <c r="BIO110" s="85"/>
      <c r="BIW110" s="85"/>
      <c r="BJE110" s="85"/>
      <c r="BJM110" s="85"/>
      <c r="BJU110" s="85"/>
      <c r="BKC110" s="85"/>
      <c r="BKK110" s="85"/>
      <c r="BKS110" s="85"/>
      <c r="BLA110" s="85"/>
      <c r="BLI110" s="85"/>
      <c r="BLQ110" s="85"/>
      <c r="BLY110" s="85"/>
      <c r="BMG110" s="85"/>
      <c r="BMO110" s="85"/>
      <c r="BMW110" s="85"/>
      <c r="BNE110" s="85"/>
      <c r="BNM110" s="85"/>
      <c r="BNU110" s="85"/>
      <c r="BOC110" s="85"/>
      <c r="BOK110" s="85"/>
      <c r="BOS110" s="85"/>
      <c r="BPA110" s="85"/>
      <c r="BPI110" s="85"/>
      <c r="BPQ110" s="85"/>
      <c r="BPY110" s="85"/>
      <c r="BQG110" s="85"/>
      <c r="BQO110" s="85"/>
      <c r="BQW110" s="85"/>
      <c r="BRE110" s="85"/>
      <c r="BRM110" s="85"/>
      <c r="BRU110" s="85"/>
      <c r="BSC110" s="85"/>
      <c r="BSK110" s="85"/>
      <c r="BSS110" s="85"/>
      <c r="BTA110" s="85"/>
      <c r="BTI110" s="85"/>
      <c r="BTQ110" s="85"/>
      <c r="BTY110" s="85"/>
      <c r="BUG110" s="85"/>
      <c r="BUO110" s="85"/>
      <c r="BUW110" s="85"/>
      <c r="BVE110" s="85"/>
      <c r="BVM110" s="85"/>
      <c r="BVU110" s="85"/>
      <c r="BWC110" s="85"/>
      <c r="BWK110" s="85"/>
      <c r="BWS110" s="85"/>
      <c r="BXA110" s="85"/>
      <c r="BXI110" s="85"/>
      <c r="BXQ110" s="85"/>
      <c r="BXY110" s="85"/>
      <c r="BYG110" s="85"/>
      <c r="BYO110" s="85"/>
      <c r="BYW110" s="85"/>
      <c r="BZE110" s="85"/>
      <c r="BZM110" s="85"/>
      <c r="BZU110" s="85"/>
      <c r="CAC110" s="85"/>
      <c r="CAK110" s="85"/>
      <c r="CAS110" s="85"/>
      <c r="CBA110" s="85"/>
      <c r="CBI110" s="85"/>
      <c r="CBQ110" s="85"/>
      <c r="CBY110" s="85"/>
      <c r="CCG110" s="85"/>
      <c r="CCO110" s="85"/>
      <c r="CCW110" s="85"/>
      <c r="CDE110" s="85"/>
      <c r="CDM110" s="85"/>
      <c r="CDU110" s="85"/>
      <c r="CEC110" s="85"/>
      <c r="CEK110" s="85"/>
      <c r="CES110" s="85"/>
      <c r="CFA110" s="85"/>
      <c r="CFI110" s="85"/>
      <c r="CFQ110" s="85"/>
      <c r="CFY110" s="85"/>
      <c r="CGG110" s="85"/>
      <c r="CGO110" s="85"/>
      <c r="CGW110" s="85"/>
      <c r="CHE110" s="85"/>
      <c r="CHM110" s="85"/>
      <c r="CHU110" s="85"/>
      <c r="CIC110" s="85"/>
      <c r="CIK110" s="85"/>
      <c r="CIS110" s="85"/>
      <c r="CJA110" s="85"/>
      <c r="CJI110" s="85"/>
      <c r="CJQ110" s="85"/>
      <c r="CJY110" s="85"/>
      <c r="CKG110" s="85"/>
      <c r="CKO110" s="85"/>
      <c r="CKW110" s="85"/>
      <c r="CLE110" s="85"/>
      <c r="CLM110" s="85"/>
      <c r="CLU110" s="85"/>
      <c r="CMC110" s="85"/>
      <c r="CMK110" s="85"/>
      <c r="CMS110" s="85"/>
      <c r="CNA110" s="85"/>
      <c r="CNI110" s="85"/>
      <c r="CNQ110" s="85"/>
      <c r="CNY110" s="85"/>
      <c r="COG110" s="85"/>
      <c r="COO110" s="85"/>
      <c r="COW110" s="85"/>
      <c r="CPE110" s="85"/>
      <c r="CPM110" s="85"/>
      <c r="CPU110" s="85"/>
      <c r="CQC110" s="85"/>
      <c r="CQK110" s="85"/>
      <c r="CQS110" s="85"/>
      <c r="CRA110" s="85"/>
      <c r="CRI110" s="85"/>
      <c r="CRQ110" s="85"/>
      <c r="CRY110" s="85"/>
      <c r="CSG110" s="85"/>
      <c r="CSO110" s="85"/>
      <c r="CSW110" s="85"/>
      <c r="CTE110" s="85"/>
      <c r="CTM110" s="85"/>
      <c r="CTU110" s="85"/>
      <c r="CUC110" s="85"/>
      <c r="CUK110" s="85"/>
      <c r="CUS110" s="85"/>
      <c r="CVA110" s="85"/>
      <c r="CVI110" s="85"/>
      <c r="CVQ110" s="85"/>
      <c r="CVY110" s="85"/>
      <c r="CWG110" s="85"/>
      <c r="CWO110" s="85"/>
      <c r="CWW110" s="85"/>
      <c r="CXE110" s="85"/>
      <c r="CXM110" s="85"/>
      <c r="CXU110" s="85"/>
      <c r="CYC110" s="85"/>
      <c r="CYK110" s="85"/>
      <c r="CYS110" s="85"/>
      <c r="CZA110" s="85"/>
      <c r="CZI110" s="85"/>
      <c r="CZQ110" s="85"/>
      <c r="CZY110" s="85"/>
      <c r="DAG110" s="85"/>
      <c r="DAO110" s="85"/>
      <c r="DAW110" s="85"/>
      <c r="DBE110" s="85"/>
      <c r="DBM110" s="85"/>
      <c r="DBU110" s="85"/>
      <c r="DCC110" s="85"/>
      <c r="DCK110" s="85"/>
      <c r="DCS110" s="85"/>
      <c r="DDA110" s="85"/>
      <c r="DDI110" s="85"/>
      <c r="DDQ110" s="85"/>
      <c r="DDY110" s="85"/>
      <c r="DEG110" s="85"/>
      <c r="DEO110" s="85"/>
      <c r="DEW110" s="85"/>
      <c r="DFE110" s="85"/>
      <c r="DFM110" s="85"/>
      <c r="DFU110" s="85"/>
      <c r="DGC110" s="85"/>
      <c r="DGK110" s="85"/>
      <c r="DGS110" s="85"/>
      <c r="DHA110" s="85"/>
      <c r="DHI110" s="85"/>
      <c r="DHQ110" s="85"/>
      <c r="DHY110" s="85"/>
      <c r="DIG110" s="85"/>
      <c r="DIO110" s="85"/>
      <c r="DIW110" s="85"/>
      <c r="DJE110" s="85"/>
      <c r="DJM110" s="85"/>
      <c r="DJU110" s="85"/>
      <c r="DKC110" s="85"/>
      <c r="DKK110" s="85"/>
      <c r="DKS110" s="85"/>
      <c r="DLA110" s="85"/>
      <c r="DLI110" s="85"/>
      <c r="DLQ110" s="85"/>
      <c r="DLY110" s="85"/>
      <c r="DMG110" s="85"/>
      <c r="DMO110" s="85"/>
      <c r="DMW110" s="85"/>
      <c r="DNE110" s="85"/>
      <c r="DNM110" s="85"/>
      <c r="DNU110" s="85"/>
      <c r="DOC110" s="85"/>
      <c r="DOK110" s="85"/>
      <c r="DOS110" s="85"/>
      <c r="DPA110" s="85"/>
      <c r="DPI110" s="85"/>
      <c r="DPQ110" s="85"/>
      <c r="DPY110" s="85"/>
      <c r="DQG110" s="85"/>
      <c r="DQO110" s="85"/>
      <c r="DQW110" s="85"/>
      <c r="DRE110" s="85"/>
      <c r="DRM110" s="85"/>
      <c r="DRU110" s="85"/>
      <c r="DSC110" s="85"/>
      <c r="DSK110" s="85"/>
      <c r="DSS110" s="85"/>
      <c r="DTA110" s="85"/>
      <c r="DTI110" s="85"/>
      <c r="DTQ110" s="85"/>
      <c r="DTY110" s="85"/>
      <c r="DUG110" s="85"/>
      <c r="DUO110" s="85"/>
      <c r="DUW110" s="85"/>
      <c r="DVE110" s="85"/>
      <c r="DVM110" s="85"/>
      <c r="DVU110" s="85"/>
      <c r="DWC110" s="85"/>
      <c r="DWK110" s="85"/>
      <c r="DWS110" s="85"/>
      <c r="DXA110" s="85"/>
      <c r="DXI110" s="85"/>
      <c r="DXQ110" s="85"/>
      <c r="DXY110" s="85"/>
      <c r="DYG110" s="85"/>
      <c r="DYO110" s="85"/>
      <c r="DYW110" s="85"/>
      <c r="DZE110" s="85"/>
      <c r="DZM110" s="85"/>
      <c r="DZU110" s="85"/>
      <c r="EAC110" s="85"/>
      <c r="EAK110" s="85"/>
      <c r="EAS110" s="85"/>
      <c r="EBA110" s="85"/>
      <c r="EBI110" s="85"/>
      <c r="EBQ110" s="85"/>
      <c r="EBY110" s="85"/>
      <c r="ECG110" s="85"/>
      <c r="ECO110" s="85"/>
      <c r="ECW110" s="85"/>
      <c r="EDE110" s="85"/>
      <c r="EDM110" s="85"/>
      <c r="EDU110" s="85"/>
      <c r="EEC110" s="85"/>
      <c r="EEK110" s="85"/>
      <c r="EES110" s="85"/>
      <c r="EFA110" s="85"/>
      <c r="EFI110" s="85"/>
      <c r="EFQ110" s="85"/>
      <c r="EFY110" s="85"/>
      <c r="EGG110" s="85"/>
      <c r="EGO110" s="85"/>
      <c r="EGW110" s="85"/>
      <c r="EHE110" s="85"/>
      <c r="EHM110" s="85"/>
      <c r="EHU110" s="85"/>
      <c r="EIC110" s="85"/>
      <c r="EIK110" s="85"/>
      <c r="EIS110" s="85"/>
      <c r="EJA110" s="85"/>
      <c r="EJI110" s="85"/>
      <c r="EJQ110" s="85"/>
      <c r="EJY110" s="85"/>
      <c r="EKG110" s="85"/>
      <c r="EKO110" s="85"/>
      <c r="EKW110" s="85"/>
      <c r="ELE110" s="85"/>
      <c r="ELM110" s="85"/>
      <c r="ELU110" s="85"/>
      <c r="EMC110" s="85"/>
      <c r="EMK110" s="85"/>
      <c r="EMS110" s="85"/>
      <c r="ENA110" s="85"/>
      <c r="ENI110" s="85"/>
      <c r="ENQ110" s="85"/>
      <c r="ENY110" s="85"/>
      <c r="EOG110" s="85"/>
      <c r="EOO110" s="85"/>
      <c r="EOW110" s="85"/>
      <c r="EPE110" s="85"/>
      <c r="EPM110" s="85"/>
      <c r="EPU110" s="85"/>
      <c r="EQC110" s="85"/>
      <c r="EQK110" s="85"/>
      <c r="EQS110" s="85"/>
      <c r="ERA110" s="85"/>
      <c r="ERI110" s="85"/>
      <c r="ERQ110" s="85"/>
      <c r="ERY110" s="85"/>
      <c r="ESG110" s="85"/>
      <c r="ESO110" s="85"/>
      <c r="ESW110" s="85"/>
      <c r="ETE110" s="85"/>
      <c r="ETM110" s="85"/>
      <c r="ETU110" s="85"/>
      <c r="EUC110" s="85"/>
      <c r="EUK110" s="85"/>
      <c r="EUS110" s="85"/>
      <c r="EVA110" s="85"/>
      <c r="EVI110" s="85"/>
      <c r="EVQ110" s="85"/>
      <c r="EVY110" s="85"/>
      <c r="EWG110" s="85"/>
      <c r="EWO110" s="85"/>
      <c r="EWW110" s="85"/>
      <c r="EXE110" s="85"/>
      <c r="EXM110" s="85"/>
      <c r="EXU110" s="85"/>
      <c r="EYC110" s="85"/>
      <c r="EYK110" s="85"/>
      <c r="EYS110" s="85"/>
      <c r="EZA110" s="85"/>
      <c r="EZI110" s="85"/>
      <c r="EZQ110" s="85"/>
      <c r="EZY110" s="85"/>
      <c r="FAG110" s="85"/>
      <c r="FAO110" s="85"/>
      <c r="FAW110" s="85"/>
      <c r="FBE110" s="85"/>
      <c r="FBM110" s="85"/>
      <c r="FBU110" s="85"/>
      <c r="FCC110" s="85"/>
      <c r="FCK110" s="85"/>
      <c r="FCS110" s="85"/>
      <c r="FDA110" s="85"/>
      <c r="FDI110" s="85"/>
      <c r="FDQ110" s="85"/>
      <c r="FDY110" s="85"/>
      <c r="FEG110" s="85"/>
      <c r="FEO110" s="85"/>
      <c r="FEW110" s="85"/>
      <c r="FFE110" s="85"/>
      <c r="FFM110" s="85"/>
      <c r="FFU110" s="85"/>
      <c r="FGC110" s="85"/>
      <c r="FGK110" s="85"/>
      <c r="FGS110" s="85"/>
      <c r="FHA110" s="85"/>
      <c r="FHI110" s="85"/>
      <c r="FHQ110" s="85"/>
      <c r="FHY110" s="85"/>
      <c r="FIG110" s="85"/>
      <c r="FIO110" s="85"/>
      <c r="FIW110" s="85"/>
      <c r="FJE110" s="85"/>
      <c r="FJM110" s="85"/>
      <c r="FJU110" s="85"/>
      <c r="FKC110" s="85"/>
      <c r="FKK110" s="85"/>
      <c r="FKS110" s="85"/>
      <c r="FLA110" s="85"/>
      <c r="FLI110" s="85"/>
      <c r="FLQ110" s="85"/>
      <c r="FLY110" s="85"/>
      <c r="FMG110" s="85"/>
      <c r="FMO110" s="85"/>
      <c r="FMW110" s="85"/>
      <c r="FNE110" s="85"/>
      <c r="FNM110" s="85"/>
      <c r="FNU110" s="85"/>
      <c r="FOC110" s="85"/>
      <c r="FOK110" s="85"/>
      <c r="FOS110" s="85"/>
      <c r="FPA110" s="85"/>
      <c r="FPI110" s="85"/>
      <c r="FPQ110" s="85"/>
      <c r="FPY110" s="85"/>
      <c r="FQG110" s="85"/>
      <c r="FQO110" s="85"/>
      <c r="FQW110" s="85"/>
      <c r="FRE110" s="85"/>
      <c r="FRM110" s="85"/>
      <c r="FRU110" s="85"/>
      <c r="FSC110" s="85"/>
      <c r="FSK110" s="85"/>
      <c r="FSS110" s="85"/>
      <c r="FTA110" s="85"/>
      <c r="FTI110" s="85"/>
      <c r="FTQ110" s="85"/>
      <c r="FTY110" s="85"/>
      <c r="FUG110" s="85"/>
      <c r="FUO110" s="85"/>
      <c r="FUW110" s="85"/>
      <c r="FVE110" s="85"/>
      <c r="FVM110" s="85"/>
      <c r="FVU110" s="85"/>
      <c r="FWC110" s="85"/>
      <c r="FWK110" s="85"/>
      <c r="FWS110" s="85"/>
      <c r="FXA110" s="85"/>
      <c r="FXI110" s="85"/>
      <c r="FXQ110" s="85"/>
      <c r="FXY110" s="85"/>
      <c r="FYG110" s="85"/>
      <c r="FYO110" s="85"/>
      <c r="FYW110" s="85"/>
      <c r="FZE110" s="85"/>
      <c r="FZM110" s="85"/>
      <c r="FZU110" s="85"/>
      <c r="GAC110" s="85"/>
      <c r="GAK110" s="85"/>
      <c r="GAS110" s="85"/>
      <c r="GBA110" s="85"/>
      <c r="GBI110" s="85"/>
      <c r="GBQ110" s="85"/>
      <c r="GBY110" s="85"/>
      <c r="GCG110" s="85"/>
      <c r="GCO110" s="85"/>
      <c r="GCW110" s="85"/>
      <c r="GDE110" s="85"/>
      <c r="GDM110" s="85"/>
      <c r="GDU110" s="85"/>
      <c r="GEC110" s="85"/>
      <c r="GEK110" s="85"/>
      <c r="GES110" s="85"/>
      <c r="GFA110" s="85"/>
      <c r="GFI110" s="85"/>
      <c r="GFQ110" s="85"/>
      <c r="GFY110" s="85"/>
      <c r="GGG110" s="85"/>
      <c r="GGO110" s="85"/>
      <c r="GGW110" s="85"/>
      <c r="GHE110" s="85"/>
      <c r="GHM110" s="85"/>
      <c r="GHU110" s="85"/>
      <c r="GIC110" s="85"/>
      <c r="GIK110" s="85"/>
      <c r="GIS110" s="85"/>
      <c r="GJA110" s="85"/>
      <c r="GJI110" s="85"/>
      <c r="GJQ110" s="85"/>
      <c r="GJY110" s="85"/>
      <c r="GKG110" s="85"/>
      <c r="GKO110" s="85"/>
      <c r="GKW110" s="85"/>
      <c r="GLE110" s="85"/>
      <c r="GLM110" s="85"/>
      <c r="GLU110" s="85"/>
      <c r="GMC110" s="85"/>
      <c r="GMK110" s="85"/>
      <c r="GMS110" s="85"/>
      <c r="GNA110" s="85"/>
      <c r="GNI110" s="85"/>
      <c r="GNQ110" s="85"/>
      <c r="GNY110" s="85"/>
      <c r="GOG110" s="85"/>
      <c r="GOO110" s="85"/>
      <c r="GOW110" s="85"/>
      <c r="GPE110" s="85"/>
      <c r="GPM110" s="85"/>
      <c r="GPU110" s="85"/>
      <c r="GQC110" s="85"/>
      <c r="GQK110" s="85"/>
      <c r="GQS110" s="85"/>
      <c r="GRA110" s="85"/>
      <c r="GRI110" s="85"/>
      <c r="GRQ110" s="85"/>
      <c r="GRY110" s="85"/>
      <c r="GSG110" s="85"/>
      <c r="GSO110" s="85"/>
      <c r="GSW110" s="85"/>
      <c r="GTE110" s="85"/>
      <c r="GTM110" s="85"/>
      <c r="GTU110" s="85"/>
      <c r="GUC110" s="85"/>
      <c r="GUK110" s="85"/>
      <c r="GUS110" s="85"/>
      <c r="GVA110" s="85"/>
      <c r="GVI110" s="85"/>
      <c r="GVQ110" s="85"/>
      <c r="GVY110" s="85"/>
      <c r="GWG110" s="85"/>
      <c r="GWO110" s="85"/>
      <c r="GWW110" s="85"/>
      <c r="GXE110" s="85"/>
      <c r="GXM110" s="85"/>
      <c r="GXU110" s="85"/>
      <c r="GYC110" s="85"/>
      <c r="GYK110" s="85"/>
      <c r="GYS110" s="85"/>
      <c r="GZA110" s="85"/>
      <c r="GZI110" s="85"/>
      <c r="GZQ110" s="85"/>
      <c r="GZY110" s="85"/>
      <c r="HAG110" s="85"/>
      <c r="HAO110" s="85"/>
      <c r="HAW110" s="85"/>
      <c r="HBE110" s="85"/>
      <c r="HBM110" s="85"/>
      <c r="HBU110" s="85"/>
      <c r="HCC110" s="85"/>
      <c r="HCK110" s="85"/>
      <c r="HCS110" s="85"/>
      <c r="HDA110" s="85"/>
      <c r="HDI110" s="85"/>
      <c r="HDQ110" s="85"/>
      <c r="HDY110" s="85"/>
      <c r="HEG110" s="85"/>
      <c r="HEO110" s="85"/>
      <c r="HEW110" s="85"/>
      <c r="HFE110" s="85"/>
      <c r="HFM110" s="85"/>
      <c r="HFU110" s="85"/>
      <c r="HGC110" s="85"/>
      <c r="HGK110" s="85"/>
      <c r="HGS110" s="85"/>
      <c r="HHA110" s="85"/>
      <c r="HHI110" s="85"/>
      <c r="HHQ110" s="85"/>
      <c r="HHY110" s="85"/>
      <c r="HIG110" s="85"/>
      <c r="HIO110" s="85"/>
      <c r="HIW110" s="85"/>
      <c r="HJE110" s="85"/>
      <c r="HJM110" s="85"/>
      <c r="HJU110" s="85"/>
      <c r="HKC110" s="85"/>
      <c r="HKK110" s="85"/>
      <c r="HKS110" s="85"/>
      <c r="HLA110" s="85"/>
      <c r="HLI110" s="85"/>
      <c r="HLQ110" s="85"/>
      <c r="HLY110" s="85"/>
      <c r="HMG110" s="85"/>
      <c r="HMO110" s="85"/>
      <c r="HMW110" s="85"/>
      <c r="HNE110" s="85"/>
      <c r="HNM110" s="85"/>
      <c r="HNU110" s="85"/>
      <c r="HOC110" s="85"/>
      <c r="HOK110" s="85"/>
      <c r="HOS110" s="85"/>
      <c r="HPA110" s="85"/>
      <c r="HPI110" s="85"/>
      <c r="HPQ110" s="85"/>
      <c r="HPY110" s="85"/>
      <c r="HQG110" s="85"/>
      <c r="HQO110" s="85"/>
      <c r="HQW110" s="85"/>
      <c r="HRE110" s="85"/>
      <c r="HRM110" s="85"/>
      <c r="HRU110" s="85"/>
      <c r="HSC110" s="85"/>
      <c r="HSK110" s="85"/>
      <c r="HSS110" s="85"/>
      <c r="HTA110" s="85"/>
      <c r="HTI110" s="85"/>
      <c r="HTQ110" s="85"/>
      <c r="HTY110" s="85"/>
      <c r="HUG110" s="85"/>
      <c r="HUO110" s="85"/>
      <c r="HUW110" s="85"/>
      <c r="HVE110" s="85"/>
      <c r="HVM110" s="85"/>
      <c r="HVU110" s="85"/>
      <c r="HWC110" s="85"/>
      <c r="HWK110" s="85"/>
      <c r="HWS110" s="85"/>
      <c r="HXA110" s="85"/>
      <c r="HXI110" s="85"/>
      <c r="HXQ110" s="85"/>
      <c r="HXY110" s="85"/>
      <c r="HYG110" s="85"/>
      <c r="HYO110" s="85"/>
      <c r="HYW110" s="85"/>
      <c r="HZE110" s="85"/>
      <c r="HZM110" s="85"/>
      <c r="HZU110" s="85"/>
      <c r="IAC110" s="85"/>
      <c r="IAK110" s="85"/>
      <c r="IAS110" s="85"/>
      <c r="IBA110" s="85"/>
      <c r="IBI110" s="85"/>
      <c r="IBQ110" s="85"/>
      <c r="IBY110" s="85"/>
      <c r="ICG110" s="85"/>
      <c r="ICO110" s="85"/>
      <c r="ICW110" s="85"/>
      <c r="IDE110" s="85"/>
      <c r="IDM110" s="85"/>
      <c r="IDU110" s="85"/>
      <c r="IEC110" s="85"/>
      <c r="IEK110" s="85"/>
      <c r="IES110" s="85"/>
      <c r="IFA110" s="85"/>
      <c r="IFI110" s="85"/>
      <c r="IFQ110" s="85"/>
      <c r="IFY110" s="85"/>
      <c r="IGG110" s="85"/>
      <c r="IGO110" s="85"/>
      <c r="IGW110" s="85"/>
      <c r="IHE110" s="85"/>
      <c r="IHM110" s="85"/>
      <c r="IHU110" s="85"/>
      <c r="IIC110" s="85"/>
      <c r="IIK110" s="85"/>
      <c r="IIS110" s="85"/>
      <c r="IJA110" s="85"/>
      <c r="IJI110" s="85"/>
      <c r="IJQ110" s="85"/>
      <c r="IJY110" s="85"/>
      <c r="IKG110" s="85"/>
      <c r="IKO110" s="85"/>
      <c r="IKW110" s="85"/>
      <c r="ILE110" s="85"/>
      <c r="ILM110" s="85"/>
      <c r="ILU110" s="85"/>
      <c r="IMC110" s="85"/>
      <c r="IMK110" s="85"/>
      <c r="IMS110" s="85"/>
      <c r="INA110" s="85"/>
      <c r="INI110" s="85"/>
      <c r="INQ110" s="85"/>
      <c r="INY110" s="85"/>
      <c r="IOG110" s="85"/>
      <c r="IOO110" s="85"/>
      <c r="IOW110" s="85"/>
      <c r="IPE110" s="85"/>
      <c r="IPM110" s="85"/>
      <c r="IPU110" s="85"/>
      <c r="IQC110" s="85"/>
      <c r="IQK110" s="85"/>
      <c r="IQS110" s="85"/>
      <c r="IRA110" s="85"/>
      <c r="IRI110" s="85"/>
      <c r="IRQ110" s="85"/>
      <c r="IRY110" s="85"/>
      <c r="ISG110" s="85"/>
      <c r="ISO110" s="85"/>
      <c r="ISW110" s="85"/>
      <c r="ITE110" s="85"/>
      <c r="ITM110" s="85"/>
      <c r="ITU110" s="85"/>
      <c r="IUC110" s="85"/>
      <c r="IUK110" s="85"/>
      <c r="IUS110" s="85"/>
      <c r="IVA110" s="85"/>
      <c r="IVI110" s="85"/>
      <c r="IVQ110" s="85"/>
      <c r="IVY110" s="85"/>
      <c r="IWG110" s="85"/>
      <c r="IWO110" s="85"/>
      <c r="IWW110" s="85"/>
      <c r="IXE110" s="85"/>
      <c r="IXM110" s="85"/>
      <c r="IXU110" s="85"/>
      <c r="IYC110" s="85"/>
      <c r="IYK110" s="85"/>
      <c r="IYS110" s="85"/>
      <c r="IZA110" s="85"/>
      <c r="IZI110" s="85"/>
      <c r="IZQ110" s="85"/>
      <c r="IZY110" s="85"/>
      <c r="JAG110" s="85"/>
      <c r="JAO110" s="85"/>
      <c r="JAW110" s="85"/>
      <c r="JBE110" s="85"/>
      <c r="JBM110" s="85"/>
      <c r="JBU110" s="85"/>
      <c r="JCC110" s="85"/>
      <c r="JCK110" s="85"/>
      <c r="JCS110" s="85"/>
      <c r="JDA110" s="85"/>
      <c r="JDI110" s="85"/>
      <c r="JDQ110" s="85"/>
      <c r="JDY110" s="85"/>
      <c r="JEG110" s="85"/>
      <c r="JEO110" s="85"/>
      <c r="JEW110" s="85"/>
      <c r="JFE110" s="85"/>
      <c r="JFM110" s="85"/>
      <c r="JFU110" s="85"/>
      <c r="JGC110" s="85"/>
      <c r="JGK110" s="85"/>
      <c r="JGS110" s="85"/>
      <c r="JHA110" s="85"/>
      <c r="JHI110" s="85"/>
      <c r="JHQ110" s="85"/>
      <c r="JHY110" s="85"/>
      <c r="JIG110" s="85"/>
      <c r="JIO110" s="85"/>
      <c r="JIW110" s="85"/>
      <c r="JJE110" s="85"/>
      <c r="JJM110" s="85"/>
      <c r="JJU110" s="85"/>
      <c r="JKC110" s="85"/>
      <c r="JKK110" s="85"/>
      <c r="JKS110" s="85"/>
      <c r="JLA110" s="85"/>
      <c r="JLI110" s="85"/>
      <c r="JLQ110" s="85"/>
      <c r="JLY110" s="85"/>
      <c r="JMG110" s="85"/>
      <c r="JMO110" s="85"/>
      <c r="JMW110" s="85"/>
      <c r="JNE110" s="85"/>
      <c r="JNM110" s="85"/>
      <c r="JNU110" s="85"/>
      <c r="JOC110" s="85"/>
      <c r="JOK110" s="85"/>
      <c r="JOS110" s="85"/>
      <c r="JPA110" s="85"/>
      <c r="JPI110" s="85"/>
      <c r="JPQ110" s="85"/>
      <c r="JPY110" s="85"/>
      <c r="JQG110" s="85"/>
      <c r="JQO110" s="85"/>
      <c r="JQW110" s="85"/>
      <c r="JRE110" s="85"/>
      <c r="JRM110" s="85"/>
      <c r="JRU110" s="85"/>
      <c r="JSC110" s="85"/>
      <c r="JSK110" s="85"/>
      <c r="JSS110" s="85"/>
      <c r="JTA110" s="85"/>
      <c r="JTI110" s="85"/>
      <c r="JTQ110" s="85"/>
      <c r="JTY110" s="85"/>
      <c r="JUG110" s="85"/>
      <c r="JUO110" s="85"/>
      <c r="JUW110" s="85"/>
      <c r="JVE110" s="85"/>
      <c r="JVM110" s="85"/>
      <c r="JVU110" s="85"/>
      <c r="JWC110" s="85"/>
      <c r="JWK110" s="85"/>
      <c r="JWS110" s="85"/>
      <c r="JXA110" s="85"/>
      <c r="JXI110" s="85"/>
      <c r="JXQ110" s="85"/>
      <c r="JXY110" s="85"/>
      <c r="JYG110" s="85"/>
      <c r="JYO110" s="85"/>
      <c r="JYW110" s="85"/>
      <c r="JZE110" s="85"/>
      <c r="JZM110" s="85"/>
      <c r="JZU110" s="85"/>
      <c r="KAC110" s="85"/>
      <c r="KAK110" s="85"/>
      <c r="KAS110" s="85"/>
      <c r="KBA110" s="85"/>
      <c r="KBI110" s="85"/>
      <c r="KBQ110" s="85"/>
      <c r="KBY110" s="85"/>
      <c r="KCG110" s="85"/>
      <c r="KCO110" s="85"/>
      <c r="KCW110" s="85"/>
      <c r="KDE110" s="85"/>
      <c r="KDM110" s="85"/>
      <c r="KDU110" s="85"/>
      <c r="KEC110" s="85"/>
      <c r="KEK110" s="85"/>
      <c r="KES110" s="85"/>
      <c r="KFA110" s="85"/>
      <c r="KFI110" s="85"/>
      <c r="KFQ110" s="85"/>
      <c r="KFY110" s="85"/>
      <c r="KGG110" s="85"/>
      <c r="KGO110" s="85"/>
      <c r="KGW110" s="85"/>
      <c r="KHE110" s="85"/>
      <c r="KHM110" s="85"/>
      <c r="KHU110" s="85"/>
      <c r="KIC110" s="85"/>
      <c r="KIK110" s="85"/>
      <c r="KIS110" s="85"/>
      <c r="KJA110" s="85"/>
      <c r="KJI110" s="85"/>
      <c r="KJQ110" s="85"/>
      <c r="KJY110" s="85"/>
      <c r="KKG110" s="85"/>
      <c r="KKO110" s="85"/>
      <c r="KKW110" s="85"/>
      <c r="KLE110" s="85"/>
      <c r="KLM110" s="85"/>
      <c r="KLU110" s="85"/>
      <c r="KMC110" s="85"/>
      <c r="KMK110" s="85"/>
      <c r="KMS110" s="85"/>
      <c r="KNA110" s="85"/>
      <c r="KNI110" s="85"/>
      <c r="KNQ110" s="85"/>
      <c r="KNY110" s="85"/>
      <c r="KOG110" s="85"/>
      <c r="KOO110" s="85"/>
      <c r="KOW110" s="85"/>
      <c r="KPE110" s="85"/>
      <c r="KPM110" s="85"/>
      <c r="KPU110" s="85"/>
      <c r="KQC110" s="85"/>
      <c r="KQK110" s="85"/>
      <c r="KQS110" s="85"/>
      <c r="KRA110" s="85"/>
      <c r="KRI110" s="85"/>
      <c r="KRQ110" s="85"/>
      <c r="KRY110" s="85"/>
      <c r="KSG110" s="85"/>
      <c r="KSO110" s="85"/>
      <c r="KSW110" s="85"/>
      <c r="KTE110" s="85"/>
      <c r="KTM110" s="85"/>
      <c r="KTU110" s="85"/>
      <c r="KUC110" s="85"/>
      <c r="KUK110" s="85"/>
      <c r="KUS110" s="85"/>
      <c r="KVA110" s="85"/>
      <c r="KVI110" s="85"/>
      <c r="KVQ110" s="85"/>
      <c r="KVY110" s="85"/>
      <c r="KWG110" s="85"/>
      <c r="KWO110" s="85"/>
      <c r="KWW110" s="85"/>
      <c r="KXE110" s="85"/>
      <c r="KXM110" s="85"/>
      <c r="KXU110" s="85"/>
      <c r="KYC110" s="85"/>
      <c r="KYK110" s="85"/>
      <c r="KYS110" s="85"/>
      <c r="KZA110" s="85"/>
      <c r="KZI110" s="85"/>
      <c r="KZQ110" s="85"/>
      <c r="KZY110" s="85"/>
      <c r="LAG110" s="85"/>
      <c r="LAO110" s="85"/>
      <c r="LAW110" s="85"/>
      <c r="LBE110" s="85"/>
      <c r="LBM110" s="85"/>
      <c r="LBU110" s="85"/>
      <c r="LCC110" s="85"/>
      <c r="LCK110" s="85"/>
      <c r="LCS110" s="85"/>
      <c r="LDA110" s="85"/>
      <c r="LDI110" s="85"/>
      <c r="LDQ110" s="85"/>
      <c r="LDY110" s="85"/>
      <c r="LEG110" s="85"/>
      <c r="LEO110" s="85"/>
      <c r="LEW110" s="85"/>
      <c r="LFE110" s="85"/>
      <c r="LFM110" s="85"/>
      <c r="LFU110" s="85"/>
      <c r="LGC110" s="85"/>
      <c r="LGK110" s="85"/>
      <c r="LGS110" s="85"/>
      <c r="LHA110" s="85"/>
      <c r="LHI110" s="85"/>
      <c r="LHQ110" s="85"/>
      <c r="LHY110" s="85"/>
      <c r="LIG110" s="85"/>
      <c r="LIO110" s="85"/>
      <c r="LIW110" s="85"/>
      <c r="LJE110" s="85"/>
      <c r="LJM110" s="85"/>
      <c r="LJU110" s="85"/>
      <c r="LKC110" s="85"/>
      <c r="LKK110" s="85"/>
      <c r="LKS110" s="85"/>
      <c r="LLA110" s="85"/>
      <c r="LLI110" s="85"/>
      <c r="LLQ110" s="85"/>
      <c r="LLY110" s="85"/>
      <c r="LMG110" s="85"/>
      <c r="LMO110" s="85"/>
      <c r="LMW110" s="85"/>
      <c r="LNE110" s="85"/>
      <c r="LNM110" s="85"/>
      <c r="LNU110" s="85"/>
      <c r="LOC110" s="85"/>
      <c r="LOK110" s="85"/>
      <c r="LOS110" s="85"/>
      <c r="LPA110" s="85"/>
      <c r="LPI110" s="85"/>
      <c r="LPQ110" s="85"/>
      <c r="LPY110" s="85"/>
      <c r="LQG110" s="85"/>
      <c r="LQO110" s="85"/>
      <c r="LQW110" s="85"/>
      <c r="LRE110" s="85"/>
      <c r="LRM110" s="85"/>
      <c r="LRU110" s="85"/>
      <c r="LSC110" s="85"/>
      <c r="LSK110" s="85"/>
      <c r="LSS110" s="85"/>
      <c r="LTA110" s="85"/>
      <c r="LTI110" s="85"/>
      <c r="LTQ110" s="85"/>
      <c r="LTY110" s="85"/>
      <c r="LUG110" s="85"/>
      <c r="LUO110" s="85"/>
      <c r="LUW110" s="85"/>
      <c r="LVE110" s="85"/>
      <c r="LVM110" s="85"/>
      <c r="LVU110" s="85"/>
      <c r="LWC110" s="85"/>
      <c r="LWK110" s="85"/>
      <c r="LWS110" s="85"/>
      <c r="LXA110" s="85"/>
      <c r="LXI110" s="85"/>
      <c r="LXQ110" s="85"/>
      <c r="LXY110" s="85"/>
      <c r="LYG110" s="85"/>
      <c r="LYO110" s="85"/>
      <c r="LYW110" s="85"/>
      <c r="LZE110" s="85"/>
      <c r="LZM110" s="85"/>
      <c r="LZU110" s="85"/>
      <c r="MAC110" s="85"/>
      <c r="MAK110" s="85"/>
      <c r="MAS110" s="85"/>
      <c r="MBA110" s="85"/>
      <c r="MBI110" s="85"/>
      <c r="MBQ110" s="85"/>
      <c r="MBY110" s="85"/>
      <c r="MCG110" s="85"/>
      <c r="MCO110" s="85"/>
      <c r="MCW110" s="85"/>
      <c r="MDE110" s="85"/>
      <c r="MDM110" s="85"/>
      <c r="MDU110" s="85"/>
      <c r="MEC110" s="85"/>
      <c r="MEK110" s="85"/>
      <c r="MES110" s="85"/>
      <c r="MFA110" s="85"/>
      <c r="MFI110" s="85"/>
      <c r="MFQ110" s="85"/>
      <c r="MFY110" s="85"/>
      <c r="MGG110" s="85"/>
      <c r="MGO110" s="85"/>
      <c r="MGW110" s="85"/>
      <c r="MHE110" s="85"/>
      <c r="MHM110" s="85"/>
      <c r="MHU110" s="85"/>
      <c r="MIC110" s="85"/>
      <c r="MIK110" s="85"/>
      <c r="MIS110" s="85"/>
      <c r="MJA110" s="85"/>
      <c r="MJI110" s="85"/>
      <c r="MJQ110" s="85"/>
      <c r="MJY110" s="85"/>
      <c r="MKG110" s="85"/>
      <c r="MKO110" s="85"/>
      <c r="MKW110" s="85"/>
      <c r="MLE110" s="85"/>
      <c r="MLM110" s="85"/>
      <c r="MLU110" s="85"/>
      <c r="MMC110" s="85"/>
      <c r="MMK110" s="85"/>
      <c r="MMS110" s="85"/>
      <c r="MNA110" s="85"/>
      <c r="MNI110" s="85"/>
      <c r="MNQ110" s="85"/>
      <c r="MNY110" s="85"/>
      <c r="MOG110" s="85"/>
      <c r="MOO110" s="85"/>
      <c r="MOW110" s="85"/>
      <c r="MPE110" s="85"/>
      <c r="MPM110" s="85"/>
      <c r="MPU110" s="85"/>
      <c r="MQC110" s="85"/>
      <c r="MQK110" s="85"/>
      <c r="MQS110" s="85"/>
      <c r="MRA110" s="85"/>
      <c r="MRI110" s="85"/>
      <c r="MRQ110" s="85"/>
      <c r="MRY110" s="85"/>
      <c r="MSG110" s="85"/>
      <c r="MSO110" s="85"/>
      <c r="MSW110" s="85"/>
      <c r="MTE110" s="85"/>
      <c r="MTM110" s="85"/>
      <c r="MTU110" s="85"/>
      <c r="MUC110" s="85"/>
      <c r="MUK110" s="85"/>
      <c r="MUS110" s="85"/>
      <c r="MVA110" s="85"/>
      <c r="MVI110" s="85"/>
      <c r="MVQ110" s="85"/>
      <c r="MVY110" s="85"/>
      <c r="MWG110" s="85"/>
      <c r="MWO110" s="85"/>
      <c r="MWW110" s="85"/>
      <c r="MXE110" s="85"/>
      <c r="MXM110" s="85"/>
      <c r="MXU110" s="85"/>
      <c r="MYC110" s="85"/>
      <c r="MYK110" s="85"/>
      <c r="MYS110" s="85"/>
      <c r="MZA110" s="85"/>
      <c r="MZI110" s="85"/>
      <c r="MZQ110" s="85"/>
      <c r="MZY110" s="85"/>
      <c r="NAG110" s="85"/>
      <c r="NAO110" s="85"/>
      <c r="NAW110" s="85"/>
      <c r="NBE110" s="85"/>
      <c r="NBM110" s="85"/>
      <c r="NBU110" s="85"/>
      <c r="NCC110" s="85"/>
      <c r="NCK110" s="85"/>
      <c r="NCS110" s="85"/>
      <c r="NDA110" s="85"/>
      <c r="NDI110" s="85"/>
      <c r="NDQ110" s="85"/>
      <c r="NDY110" s="85"/>
      <c r="NEG110" s="85"/>
      <c r="NEO110" s="85"/>
      <c r="NEW110" s="85"/>
      <c r="NFE110" s="85"/>
      <c r="NFM110" s="85"/>
      <c r="NFU110" s="85"/>
      <c r="NGC110" s="85"/>
      <c r="NGK110" s="85"/>
      <c r="NGS110" s="85"/>
      <c r="NHA110" s="85"/>
      <c r="NHI110" s="85"/>
      <c r="NHQ110" s="85"/>
      <c r="NHY110" s="85"/>
      <c r="NIG110" s="85"/>
      <c r="NIO110" s="85"/>
      <c r="NIW110" s="85"/>
      <c r="NJE110" s="85"/>
      <c r="NJM110" s="85"/>
      <c r="NJU110" s="85"/>
      <c r="NKC110" s="85"/>
      <c r="NKK110" s="85"/>
      <c r="NKS110" s="85"/>
      <c r="NLA110" s="85"/>
      <c r="NLI110" s="85"/>
      <c r="NLQ110" s="85"/>
      <c r="NLY110" s="85"/>
      <c r="NMG110" s="85"/>
      <c r="NMO110" s="85"/>
      <c r="NMW110" s="85"/>
      <c r="NNE110" s="85"/>
      <c r="NNM110" s="85"/>
      <c r="NNU110" s="85"/>
      <c r="NOC110" s="85"/>
      <c r="NOK110" s="85"/>
      <c r="NOS110" s="85"/>
      <c r="NPA110" s="85"/>
      <c r="NPI110" s="85"/>
      <c r="NPQ110" s="85"/>
      <c r="NPY110" s="85"/>
      <c r="NQG110" s="85"/>
      <c r="NQO110" s="85"/>
      <c r="NQW110" s="85"/>
      <c r="NRE110" s="85"/>
      <c r="NRM110" s="85"/>
      <c r="NRU110" s="85"/>
      <c r="NSC110" s="85"/>
      <c r="NSK110" s="85"/>
      <c r="NSS110" s="85"/>
      <c r="NTA110" s="85"/>
      <c r="NTI110" s="85"/>
      <c r="NTQ110" s="85"/>
      <c r="NTY110" s="85"/>
      <c r="NUG110" s="85"/>
      <c r="NUO110" s="85"/>
      <c r="NUW110" s="85"/>
      <c r="NVE110" s="85"/>
      <c r="NVM110" s="85"/>
      <c r="NVU110" s="85"/>
      <c r="NWC110" s="85"/>
      <c r="NWK110" s="85"/>
      <c r="NWS110" s="85"/>
      <c r="NXA110" s="85"/>
      <c r="NXI110" s="85"/>
      <c r="NXQ110" s="85"/>
      <c r="NXY110" s="85"/>
      <c r="NYG110" s="85"/>
      <c r="NYO110" s="85"/>
      <c r="NYW110" s="85"/>
      <c r="NZE110" s="85"/>
      <c r="NZM110" s="85"/>
      <c r="NZU110" s="85"/>
      <c r="OAC110" s="85"/>
      <c r="OAK110" s="85"/>
      <c r="OAS110" s="85"/>
      <c r="OBA110" s="85"/>
      <c r="OBI110" s="85"/>
      <c r="OBQ110" s="85"/>
      <c r="OBY110" s="85"/>
      <c r="OCG110" s="85"/>
      <c r="OCO110" s="85"/>
      <c r="OCW110" s="85"/>
      <c r="ODE110" s="85"/>
      <c r="ODM110" s="85"/>
      <c r="ODU110" s="85"/>
      <c r="OEC110" s="85"/>
      <c r="OEK110" s="85"/>
      <c r="OES110" s="85"/>
      <c r="OFA110" s="85"/>
      <c r="OFI110" s="85"/>
      <c r="OFQ110" s="85"/>
      <c r="OFY110" s="85"/>
      <c r="OGG110" s="85"/>
      <c r="OGO110" s="85"/>
      <c r="OGW110" s="85"/>
      <c r="OHE110" s="85"/>
      <c r="OHM110" s="85"/>
      <c r="OHU110" s="85"/>
      <c r="OIC110" s="85"/>
      <c r="OIK110" s="85"/>
      <c r="OIS110" s="85"/>
      <c r="OJA110" s="85"/>
      <c r="OJI110" s="85"/>
      <c r="OJQ110" s="85"/>
      <c r="OJY110" s="85"/>
      <c r="OKG110" s="85"/>
      <c r="OKO110" s="85"/>
      <c r="OKW110" s="85"/>
      <c r="OLE110" s="85"/>
      <c r="OLM110" s="85"/>
      <c r="OLU110" s="85"/>
      <c r="OMC110" s="85"/>
      <c r="OMK110" s="85"/>
      <c r="OMS110" s="85"/>
      <c r="ONA110" s="85"/>
      <c r="ONI110" s="85"/>
      <c r="ONQ110" s="85"/>
      <c r="ONY110" s="85"/>
      <c r="OOG110" s="85"/>
      <c r="OOO110" s="85"/>
      <c r="OOW110" s="85"/>
      <c r="OPE110" s="85"/>
      <c r="OPM110" s="85"/>
      <c r="OPU110" s="85"/>
      <c r="OQC110" s="85"/>
      <c r="OQK110" s="85"/>
      <c r="OQS110" s="85"/>
      <c r="ORA110" s="85"/>
      <c r="ORI110" s="85"/>
      <c r="ORQ110" s="85"/>
      <c r="ORY110" s="85"/>
      <c r="OSG110" s="85"/>
      <c r="OSO110" s="85"/>
      <c r="OSW110" s="85"/>
      <c r="OTE110" s="85"/>
      <c r="OTM110" s="85"/>
      <c r="OTU110" s="85"/>
      <c r="OUC110" s="85"/>
      <c r="OUK110" s="85"/>
      <c r="OUS110" s="85"/>
      <c r="OVA110" s="85"/>
      <c r="OVI110" s="85"/>
      <c r="OVQ110" s="85"/>
      <c r="OVY110" s="85"/>
      <c r="OWG110" s="85"/>
      <c r="OWO110" s="85"/>
      <c r="OWW110" s="85"/>
      <c r="OXE110" s="85"/>
      <c r="OXM110" s="85"/>
      <c r="OXU110" s="85"/>
      <c r="OYC110" s="85"/>
      <c r="OYK110" s="85"/>
      <c r="OYS110" s="85"/>
      <c r="OZA110" s="85"/>
      <c r="OZI110" s="85"/>
      <c r="OZQ110" s="85"/>
      <c r="OZY110" s="85"/>
      <c r="PAG110" s="85"/>
      <c r="PAO110" s="85"/>
      <c r="PAW110" s="85"/>
      <c r="PBE110" s="85"/>
      <c r="PBM110" s="85"/>
      <c r="PBU110" s="85"/>
      <c r="PCC110" s="85"/>
      <c r="PCK110" s="85"/>
      <c r="PCS110" s="85"/>
      <c r="PDA110" s="85"/>
      <c r="PDI110" s="85"/>
      <c r="PDQ110" s="85"/>
      <c r="PDY110" s="85"/>
      <c r="PEG110" s="85"/>
      <c r="PEO110" s="85"/>
      <c r="PEW110" s="85"/>
      <c r="PFE110" s="85"/>
      <c r="PFM110" s="85"/>
      <c r="PFU110" s="85"/>
      <c r="PGC110" s="85"/>
      <c r="PGK110" s="85"/>
      <c r="PGS110" s="85"/>
      <c r="PHA110" s="85"/>
      <c r="PHI110" s="85"/>
      <c r="PHQ110" s="85"/>
      <c r="PHY110" s="85"/>
      <c r="PIG110" s="85"/>
      <c r="PIO110" s="85"/>
      <c r="PIW110" s="85"/>
      <c r="PJE110" s="85"/>
      <c r="PJM110" s="85"/>
      <c r="PJU110" s="85"/>
      <c r="PKC110" s="85"/>
      <c r="PKK110" s="85"/>
      <c r="PKS110" s="85"/>
      <c r="PLA110" s="85"/>
      <c r="PLI110" s="85"/>
      <c r="PLQ110" s="85"/>
      <c r="PLY110" s="85"/>
      <c r="PMG110" s="85"/>
      <c r="PMO110" s="85"/>
      <c r="PMW110" s="85"/>
      <c r="PNE110" s="85"/>
      <c r="PNM110" s="85"/>
      <c r="PNU110" s="85"/>
      <c r="POC110" s="85"/>
      <c r="POK110" s="85"/>
      <c r="POS110" s="85"/>
      <c r="PPA110" s="85"/>
      <c r="PPI110" s="85"/>
      <c r="PPQ110" s="85"/>
      <c r="PPY110" s="85"/>
      <c r="PQG110" s="85"/>
      <c r="PQO110" s="85"/>
      <c r="PQW110" s="85"/>
      <c r="PRE110" s="85"/>
      <c r="PRM110" s="85"/>
      <c r="PRU110" s="85"/>
      <c r="PSC110" s="85"/>
      <c r="PSK110" s="85"/>
      <c r="PSS110" s="85"/>
      <c r="PTA110" s="85"/>
      <c r="PTI110" s="85"/>
      <c r="PTQ110" s="85"/>
      <c r="PTY110" s="85"/>
      <c r="PUG110" s="85"/>
      <c r="PUO110" s="85"/>
      <c r="PUW110" s="85"/>
      <c r="PVE110" s="85"/>
      <c r="PVM110" s="85"/>
      <c r="PVU110" s="85"/>
      <c r="PWC110" s="85"/>
      <c r="PWK110" s="85"/>
      <c r="PWS110" s="85"/>
      <c r="PXA110" s="85"/>
      <c r="PXI110" s="85"/>
      <c r="PXQ110" s="85"/>
      <c r="PXY110" s="85"/>
      <c r="PYG110" s="85"/>
      <c r="PYO110" s="85"/>
      <c r="PYW110" s="85"/>
      <c r="PZE110" s="85"/>
      <c r="PZM110" s="85"/>
      <c r="PZU110" s="85"/>
      <c r="QAC110" s="85"/>
      <c r="QAK110" s="85"/>
      <c r="QAS110" s="85"/>
      <c r="QBA110" s="85"/>
      <c r="QBI110" s="85"/>
      <c r="QBQ110" s="85"/>
      <c r="QBY110" s="85"/>
      <c r="QCG110" s="85"/>
      <c r="QCO110" s="85"/>
      <c r="QCW110" s="85"/>
      <c r="QDE110" s="85"/>
      <c r="QDM110" s="85"/>
      <c r="QDU110" s="85"/>
      <c r="QEC110" s="85"/>
      <c r="QEK110" s="85"/>
      <c r="QES110" s="85"/>
      <c r="QFA110" s="85"/>
      <c r="QFI110" s="85"/>
      <c r="QFQ110" s="85"/>
      <c r="QFY110" s="85"/>
      <c r="QGG110" s="85"/>
      <c r="QGO110" s="85"/>
      <c r="QGW110" s="85"/>
      <c r="QHE110" s="85"/>
      <c r="QHM110" s="85"/>
      <c r="QHU110" s="85"/>
      <c r="QIC110" s="85"/>
      <c r="QIK110" s="85"/>
      <c r="QIS110" s="85"/>
      <c r="QJA110" s="85"/>
      <c r="QJI110" s="85"/>
      <c r="QJQ110" s="85"/>
      <c r="QJY110" s="85"/>
      <c r="QKG110" s="85"/>
      <c r="QKO110" s="85"/>
      <c r="QKW110" s="85"/>
      <c r="QLE110" s="85"/>
      <c r="QLM110" s="85"/>
      <c r="QLU110" s="85"/>
      <c r="QMC110" s="85"/>
      <c r="QMK110" s="85"/>
      <c r="QMS110" s="85"/>
      <c r="QNA110" s="85"/>
      <c r="QNI110" s="85"/>
      <c r="QNQ110" s="85"/>
      <c r="QNY110" s="85"/>
      <c r="QOG110" s="85"/>
      <c r="QOO110" s="85"/>
      <c r="QOW110" s="85"/>
      <c r="QPE110" s="85"/>
      <c r="QPM110" s="85"/>
      <c r="QPU110" s="85"/>
      <c r="QQC110" s="85"/>
      <c r="QQK110" s="85"/>
      <c r="QQS110" s="85"/>
      <c r="QRA110" s="85"/>
      <c r="QRI110" s="85"/>
      <c r="QRQ110" s="85"/>
      <c r="QRY110" s="85"/>
      <c r="QSG110" s="85"/>
      <c r="QSO110" s="85"/>
      <c r="QSW110" s="85"/>
      <c r="QTE110" s="85"/>
      <c r="QTM110" s="85"/>
      <c r="QTU110" s="85"/>
      <c r="QUC110" s="85"/>
      <c r="QUK110" s="85"/>
      <c r="QUS110" s="85"/>
      <c r="QVA110" s="85"/>
      <c r="QVI110" s="85"/>
      <c r="QVQ110" s="85"/>
      <c r="QVY110" s="85"/>
      <c r="QWG110" s="85"/>
      <c r="QWO110" s="85"/>
      <c r="QWW110" s="85"/>
      <c r="QXE110" s="85"/>
      <c r="QXM110" s="85"/>
      <c r="QXU110" s="85"/>
      <c r="QYC110" s="85"/>
      <c r="QYK110" s="85"/>
      <c r="QYS110" s="85"/>
      <c r="QZA110" s="85"/>
      <c r="QZI110" s="85"/>
      <c r="QZQ110" s="85"/>
      <c r="QZY110" s="85"/>
      <c r="RAG110" s="85"/>
      <c r="RAO110" s="85"/>
      <c r="RAW110" s="85"/>
      <c r="RBE110" s="85"/>
      <c r="RBM110" s="85"/>
      <c r="RBU110" s="85"/>
      <c r="RCC110" s="85"/>
      <c r="RCK110" s="85"/>
      <c r="RCS110" s="85"/>
      <c r="RDA110" s="85"/>
      <c r="RDI110" s="85"/>
      <c r="RDQ110" s="85"/>
      <c r="RDY110" s="85"/>
      <c r="REG110" s="85"/>
      <c r="REO110" s="85"/>
      <c r="REW110" s="85"/>
      <c r="RFE110" s="85"/>
      <c r="RFM110" s="85"/>
      <c r="RFU110" s="85"/>
      <c r="RGC110" s="85"/>
      <c r="RGK110" s="85"/>
      <c r="RGS110" s="85"/>
      <c r="RHA110" s="85"/>
      <c r="RHI110" s="85"/>
      <c r="RHQ110" s="85"/>
      <c r="RHY110" s="85"/>
      <c r="RIG110" s="85"/>
      <c r="RIO110" s="85"/>
      <c r="RIW110" s="85"/>
      <c r="RJE110" s="85"/>
      <c r="RJM110" s="85"/>
      <c r="RJU110" s="85"/>
      <c r="RKC110" s="85"/>
      <c r="RKK110" s="85"/>
      <c r="RKS110" s="85"/>
      <c r="RLA110" s="85"/>
      <c r="RLI110" s="85"/>
      <c r="RLQ110" s="85"/>
      <c r="RLY110" s="85"/>
      <c r="RMG110" s="85"/>
      <c r="RMO110" s="85"/>
      <c r="RMW110" s="85"/>
      <c r="RNE110" s="85"/>
      <c r="RNM110" s="85"/>
      <c r="RNU110" s="85"/>
      <c r="ROC110" s="85"/>
      <c r="ROK110" s="85"/>
      <c r="ROS110" s="85"/>
      <c r="RPA110" s="85"/>
      <c r="RPI110" s="85"/>
      <c r="RPQ110" s="85"/>
      <c r="RPY110" s="85"/>
      <c r="RQG110" s="85"/>
      <c r="RQO110" s="85"/>
      <c r="RQW110" s="85"/>
      <c r="RRE110" s="85"/>
      <c r="RRM110" s="85"/>
      <c r="RRU110" s="85"/>
      <c r="RSC110" s="85"/>
      <c r="RSK110" s="85"/>
      <c r="RSS110" s="85"/>
      <c r="RTA110" s="85"/>
      <c r="RTI110" s="85"/>
      <c r="RTQ110" s="85"/>
      <c r="RTY110" s="85"/>
      <c r="RUG110" s="85"/>
      <c r="RUO110" s="85"/>
      <c r="RUW110" s="85"/>
      <c r="RVE110" s="85"/>
      <c r="RVM110" s="85"/>
      <c r="RVU110" s="85"/>
      <c r="RWC110" s="85"/>
      <c r="RWK110" s="85"/>
      <c r="RWS110" s="85"/>
      <c r="RXA110" s="85"/>
      <c r="RXI110" s="85"/>
      <c r="RXQ110" s="85"/>
      <c r="RXY110" s="85"/>
      <c r="RYG110" s="85"/>
      <c r="RYO110" s="85"/>
      <c r="RYW110" s="85"/>
      <c r="RZE110" s="85"/>
      <c r="RZM110" s="85"/>
      <c r="RZU110" s="85"/>
      <c r="SAC110" s="85"/>
      <c r="SAK110" s="85"/>
      <c r="SAS110" s="85"/>
      <c r="SBA110" s="85"/>
      <c r="SBI110" s="85"/>
      <c r="SBQ110" s="85"/>
      <c r="SBY110" s="85"/>
      <c r="SCG110" s="85"/>
      <c r="SCO110" s="85"/>
      <c r="SCW110" s="85"/>
      <c r="SDE110" s="85"/>
      <c r="SDM110" s="85"/>
      <c r="SDU110" s="85"/>
      <c r="SEC110" s="85"/>
      <c r="SEK110" s="85"/>
      <c r="SES110" s="85"/>
      <c r="SFA110" s="85"/>
      <c r="SFI110" s="85"/>
      <c r="SFQ110" s="85"/>
      <c r="SFY110" s="85"/>
      <c r="SGG110" s="85"/>
      <c r="SGO110" s="85"/>
      <c r="SGW110" s="85"/>
      <c r="SHE110" s="85"/>
      <c r="SHM110" s="85"/>
      <c r="SHU110" s="85"/>
      <c r="SIC110" s="85"/>
      <c r="SIK110" s="85"/>
      <c r="SIS110" s="85"/>
      <c r="SJA110" s="85"/>
      <c r="SJI110" s="85"/>
      <c r="SJQ110" s="85"/>
      <c r="SJY110" s="85"/>
      <c r="SKG110" s="85"/>
      <c r="SKO110" s="85"/>
      <c r="SKW110" s="85"/>
      <c r="SLE110" s="85"/>
      <c r="SLM110" s="85"/>
      <c r="SLU110" s="85"/>
      <c r="SMC110" s="85"/>
      <c r="SMK110" s="85"/>
      <c r="SMS110" s="85"/>
      <c r="SNA110" s="85"/>
      <c r="SNI110" s="85"/>
      <c r="SNQ110" s="85"/>
      <c r="SNY110" s="85"/>
      <c r="SOG110" s="85"/>
      <c r="SOO110" s="85"/>
      <c r="SOW110" s="85"/>
      <c r="SPE110" s="85"/>
      <c r="SPM110" s="85"/>
      <c r="SPU110" s="85"/>
      <c r="SQC110" s="85"/>
      <c r="SQK110" s="85"/>
      <c r="SQS110" s="85"/>
      <c r="SRA110" s="85"/>
      <c r="SRI110" s="85"/>
      <c r="SRQ110" s="85"/>
      <c r="SRY110" s="85"/>
      <c r="SSG110" s="85"/>
      <c r="SSO110" s="85"/>
      <c r="SSW110" s="85"/>
      <c r="STE110" s="85"/>
      <c r="STM110" s="85"/>
      <c r="STU110" s="85"/>
      <c r="SUC110" s="85"/>
      <c r="SUK110" s="85"/>
      <c r="SUS110" s="85"/>
      <c r="SVA110" s="85"/>
      <c r="SVI110" s="85"/>
      <c r="SVQ110" s="85"/>
      <c r="SVY110" s="85"/>
      <c r="SWG110" s="85"/>
      <c r="SWO110" s="85"/>
      <c r="SWW110" s="85"/>
      <c r="SXE110" s="85"/>
      <c r="SXM110" s="85"/>
      <c r="SXU110" s="85"/>
      <c r="SYC110" s="85"/>
      <c r="SYK110" s="85"/>
      <c r="SYS110" s="85"/>
      <c r="SZA110" s="85"/>
      <c r="SZI110" s="85"/>
      <c r="SZQ110" s="85"/>
      <c r="SZY110" s="85"/>
      <c r="TAG110" s="85"/>
      <c r="TAO110" s="85"/>
      <c r="TAW110" s="85"/>
      <c r="TBE110" s="85"/>
      <c r="TBM110" s="85"/>
      <c r="TBU110" s="85"/>
      <c r="TCC110" s="85"/>
      <c r="TCK110" s="85"/>
      <c r="TCS110" s="85"/>
      <c r="TDA110" s="85"/>
      <c r="TDI110" s="85"/>
      <c r="TDQ110" s="85"/>
      <c r="TDY110" s="85"/>
      <c r="TEG110" s="85"/>
      <c r="TEO110" s="85"/>
      <c r="TEW110" s="85"/>
      <c r="TFE110" s="85"/>
      <c r="TFM110" s="85"/>
      <c r="TFU110" s="85"/>
      <c r="TGC110" s="85"/>
      <c r="TGK110" s="85"/>
      <c r="TGS110" s="85"/>
      <c r="THA110" s="85"/>
      <c r="THI110" s="85"/>
      <c r="THQ110" s="85"/>
      <c r="THY110" s="85"/>
      <c r="TIG110" s="85"/>
      <c r="TIO110" s="85"/>
      <c r="TIW110" s="85"/>
      <c r="TJE110" s="85"/>
      <c r="TJM110" s="85"/>
      <c r="TJU110" s="85"/>
      <c r="TKC110" s="85"/>
      <c r="TKK110" s="85"/>
      <c r="TKS110" s="85"/>
      <c r="TLA110" s="85"/>
      <c r="TLI110" s="85"/>
      <c r="TLQ110" s="85"/>
      <c r="TLY110" s="85"/>
      <c r="TMG110" s="85"/>
      <c r="TMO110" s="85"/>
      <c r="TMW110" s="85"/>
      <c r="TNE110" s="85"/>
      <c r="TNM110" s="85"/>
      <c r="TNU110" s="85"/>
      <c r="TOC110" s="85"/>
      <c r="TOK110" s="85"/>
      <c r="TOS110" s="85"/>
      <c r="TPA110" s="85"/>
      <c r="TPI110" s="85"/>
      <c r="TPQ110" s="85"/>
      <c r="TPY110" s="85"/>
      <c r="TQG110" s="85"/>
      <c r="TQO110" s="85"/>
      <c r="TQW110" s="85"/>
      <c r="TRE110" s="85"/>
      <c r="TRM110" s="85"/>
      <c r="TRU110" s="85"/>
      <c r="TSC110" s="85"/>
      <c r="TSK110" s="85"/>
      <c r="TSS110" s="85"/>
      <c r="TTA110" s="85"/>
      <c r="TTI110" s="85"/>
      <c r="TTQ110" s="85"/>
      <c r="TTY110" s="85"/>
      <c r="TUG110" s="85"/>
      <c r="TUO110" s="85"/>
      <c r="TUW110" s="85"/>
      <c r="TVE110" s="85"/>
      <c r="TVM110" s="85"/>
      <c r="TVU110" s="85"/>
      <c r="TWC110" s="85"/>
      <c r="TWK110" s="85"/>
      <c r="TWS110" s="85"/>
      <c r="TXA110" s="85"/>
      <c r="TXI110" s="85"/>
      <c r="TXQ110" s="85"/>
      <c r="TXY110" s="85"/>
      <c r="TYG110" s="85"/>
      <c r="TYO110" s="85"/>
      <c r="TYW110" s="85"/>
      <c r="TZE110" s="85"/>
      <c r="TZM110" s="85"/>
      <c r="TZU110" s="85"/>
      <c r="UAC110" s="85"/>
      <c r="UAK110" s="85"/>
      <c r="UAS110" s="85"/>
      <c r="UBA110" s="85"/>
      <c r="UBI110" s="85"/>
      <c r="UBQ110" s="85"/>
      <c r="UBY110" s="85"/>
      <c r="UCG110" s="85"/>
      <c r="UCO110" s="85"/>
      <c r="UCW110" s="85"/>
      <c r="UDE110" s="85"/>
      <c r="UDM110" s="85"/>
      <c r="UDU110" s="85"/>
      <c r="UEC110" s="85"/>
      <c r="UEK110" s="85"/>
      <c r="UES110" s="85"/>
      <c r="UFA110" s="85"/>
      <c r="UFI110" s="85"/>
      <c r="UFQ110" s="85"/>
      <c r="UFY110" s="85"/>
      <c r="UGG110" s="85"/>
      <c r="UGO110" s="85"/>
      <c r="UGW110" s="85"/>
      <c r="UHE110" s="85"/>
      <c r="UHM110" s="85"/>
      <c r="UHU110" s="85"/>
      <c r="UIC110" s="85"/>
      <c r="UIK110" s="85"/>
      <c r="UIS110" s="85"/>
      <c r="UJA110" s="85"/>
      <c r="UJI110" s="85"/>
      <c r="UJQ110" s="85"/>
      <c r="UJY110" s="85"/>
      <c r="UKG110" s="85"/>
      <c r="UKO110" s="85"/>
      <c r="UKW110" s="85"/>
      <c r="ULE110" s="85"/>
      <c r="ULM110" s="85"/>
      <c r="ULU110" s="85"/>
      <c r="UMC110" s="85"/>
      <c r="UMK110" s="85"/>
      <c r="UMS110" s="85"/>
      <c r="UNA110" s="85"/>
      <c r="UNI110" s="85"/>
      <c r="UNQ110" s="85"/>
      <c r="UNY110" s="85"/>
      <c r="UOG110" s="85"/>
      <c r="UOO110" s="85"/>
      <c r="UOW110" s="85"/>
      <c r="UPE110" s="85"/>
      <c r="UPM110" s="85"/>
      <c r="UPU110" s="85"/>
      <c r="UQC110" s="85"/>
      <c r="UQK110" s="85"/>
      <c r="UQS110" s="85"/>
      <c r="URA110" s="85"/>
      <c r="URI110" s="85"/>
      <c r="URQ110" s="85"/>
      <c r="URY110" s="85"/>
      <c r="USG110" s="85"/>
      <c r="USO110" s="85"/>
      <c r="USW110" s="85"/>
      <c r="UTE110" s="85"/>
      <c r="UTM110" s="85"/>
      <c r="UTU110" s="85"/>
      <c r="UUC110" s="85"/>
      <c r="UUK110" s="85"/>
      <c r="UUS110" s="85"/>
      <c r="UVA110" s="85"/>
      <c r="UVI110" s="85"/>
      <c r="UVQ110" s="85"/>
      <c r="UVY110" s="85"/>
      <c r="UWG110" s="85"/>
      <c r="UWO110" s="85"/>
      <c r="UWW110" s="85"/>
      <c r="UXE110" s="85"/>
      <c r="UXM110" s="85"/>
      <c r="UXU110" s="85"/>
      <c r="UYC110" s="85"/>
      <c r="UYK110" s="85"/>
      <c r="UYS110" s="85"/>
      <c r="UZA110" s="85"/>
      <c r="UZI110" s="85"/>
      <c r="UZQ110" s="85"/>
      <c r="UZY110" s="85"/>
      <c r="VAG110" s="85"/>
      <c r="VAO110" s="85"/>
      <c r="VAW110" s="85"/>
      <c r="VBE110" s="85"/>
      <c r="VBM110" s="85"/>
      <c r="VBU110" s="85"/>
      <c r="VCC110" s="85"/>
      <c r="VCK110" s="85"/>
      <c r="VCS110" s="85"/>
      <c r="VDA110" s="85"/>
      <c r="VDI110" s="85"/>
      <c r="VDQ110" s="85"/>
      <c r="VDY110" s="85"/>
      <c r="VEG110" s="85"/>
      <c r="VEO110" s="85"/>
      <c r="VEW110" s="85"/>
      <c r="VFE110" s="85"/>
      <c r="VFM110" s="85"/>
      <c r="VFU110" s="85"/>
      <c r="VGC110" s="85"/>
      <c r="VGK110" s="85"/>
      <c r="VGS110" s="85"/>
      <c r="VHA110" s="85"/>
      <c r="VHI110" s="85"/>
      <c r="VHQ110" s="85"/>
      <c r="VHY110" s="85"/>
      <c r="VIG110" s="85"/>
      <c r="VIO110" s="85"/>
      <c r="VIW110" s="85"/>
      <c r="VJE110" s="85"/>
      <c r="VJM110" s="85"/>
      <c r="VJU110" s="85"/>
      <c r="VKC110" s="85"/>
      <c r="VKK110" s="85"/>
      <c r="VKS110" s="85"/>
      <c r="VLA110" s="85"/>
      <c r="VLI110" s="85"/>
      <c r="VLQ110" s="85"/>
      <c r="VLY110" s="85"/>
      <c r="VMG110" s="85"/>
      <c r="VMO110" s="85"/>
      <c r="VMW110" s="85"/>
      <c r="VNE110" s="85"/>
      <c r="VNM110" s="85"/>
      <c r="VNU110" s="85"/>
      <c r="VOC110" s="85"/>
      <c r="VOK110" s="85"/>
      <c r="VOS110" s="85"/>
      <c r="VPA110" s="85"/>
      <c r="VPI110" s="85"/>
      <c r="VPQ110" s="85"/>
      <c r="VPY110" s="85"/>
      <c r="VQG110" s="85"/>
      <c r="VQO110" s="85"/>
      <c r="VQW110" s="85"/>
      <c r="VRE110" s="85"/>
      <c r="VRM110" s="85"/>
      <c r="VRU110" s="85"/>
      <c r="VSC110" s="85"/>
      <c r="VSK110" s="85"/>
      <c r="VSS110" s="85"/>
      <c r="VTA110" s="85"/>
      <c r="VTI110" s="85"/>
      <c r="VTQ110" s="85"/>
      <c r="VTY110" s="85"/>
      <c r="VUG110" s="85"/>
      <c r="VUO110" s="85"/>
      <c r="VUW110" s="85"/>
      <c r="VVE110" s="85"/>
      <c r="VVM110" s="85"/>
      <c r="VVU110" s="85"/>
      <c r="VWC110" s="85"/>
      <c r="VWK110" s="85"/>
      <c r="VWS110" s="85"/>
      <c r="VXA110" s="85"/>
      <c r="VXI110" s="85"/>
      <c r="VXQ110" s="85"/>
      <c r="VXY110" s="85"/>
      <c r="VYG110" s="85"/>
      <c r="VYO110" s="85"/>
      <c r="VYW110" s="85"/>
      <c r="VZE110" s="85"/>
      <c r="VZM110" s="85"/>
      <c r="VZU110" s="85"/>
      <c r="WAC110" s="85"/>
      <c r="WAK110" s="85"/>
      <c r="WAS110" s="85"/>
      <c r="WBA110" s="85"/>
      <c r="WBI110" s="85"/>
      <c r="WBQ110" s="85"/>
      <c r="WBY110" s="85"/>
      <c r="WCG110" s="85"/>
      <c r="WCO110" s="85"/>
      <c r="WCW110" s="85"/>
      <c r="WDE110" s="85"/>
      <c r="WDM110" s="85"/>
      <c r="WDU110" s="85"/>
      <c r="WEC110" s="85"/>
      <c r="WEK110" s="85"/>
      <c r="WES110" s="85"/>
      <c r="WFA110" s="85"/>
      <c r="WFI110" s="85"/>
      <c r="WFQ110" s="85"/>
      <c r="WFY110" s="85"/>
      <c r="WGG110" s="85"/>
      <c r="WGO110" s="85"/>
      <c r="WGW110" s="85"/>
      <c r="WHE110" s="85"/>
      <c r="WHM110" s="85"/>
      <c r="WHU110" s="85"/>
      <c r="WIC110" s="85"/>
      <c r="WIK110" s="85"/>
      <c r="WIS110" s="85"/>
      <c r="WJA110" s="85"/>
      <c r="WJI110" s="85"/>
      <c r="WJQ110" s="85"/>
      <c r="WJY110" s="85"/>
      <c r="WKG110" s="85"/>
      <c r="WKO110" s="85"/>
      <c r="WKW110" s="85"/>
      <c r="WLE110" s="85"/>
      <c r="WLM110" s="85"/>
      <c r="WLU110" s="85"/>
      <c r="WMC110" s="85"/>
      <c r="WMK110" s="85"/>
      <c r="WMS110" s="85"/>
      <c r="WNA110" s="85"/>
      <c r="WNI110" s="85"/>
      <c r="WNQ110" s="85"/>
      <c r="WNY110" s="85"/>
      <c r="WOG110" s="85"/>
      <c r="WOO110" s="85"/>
      <c r="WOW110" s="85"/>
      <c r="WPE110" s="85"/>
      <c r="WPM110" s="85"/>
      <c r="WPU110" s="85"/>
      <c r="WQC110" s="85"/>
      <c r="WQK110" s="85"/>
      <c r="WQS110" s="85"/>
      <c r="WRA110" s="85"/>
      <c r="WRI110" s="85"/>
      <c r="WRQ110" s="85"/>
      <c r="WRY110" s="85"/>
      <c r="WSG110" s="85"/>
      <c r="WSO110" s="85"/>
      <c r="WSW110" s="85"/>
      <c r="WTE110" s="85"/>
      <c r="WTM110" s="85"/>
      <c r="WTU110" s="85"/>
      <c r="WUC110" s="85"/>
      <c r="WUK110" s="85"/>
      <c r="WUS110" s="85"/>
      <c r="WVA110" s="85"/>
      <c r="WVI110" s="85"/>
      <c r="WVQ110" s="85"/>
      <c r="WVY110" s="85"/>
      <c r="WWG110" s="85"/>
      <c r="WWO110" s="85"/>
      <c r="WWW110" s="85"/>
      <c r="WXE110" s="85"/>
      <c r="WXM110" s="85"/>
      <c r="WXU110" s="85"/>
      <c r="WYC110" s="85"/>
      <c r="WYK110" s="85"/>
      <c r="WYS110" s="85"/>
      <c r="WZA110" s="85"/>
      <c r="WZI110" s="85"/>
      <c r="WZQ110" s="85"/>
      <c r="WZY110" s="85"/>
      <c r="XAG110" s="85"/>
      <c r="XAO110" s="85"/>
      <c r="XAW110" s="85"/>
      <c r="XBE110" s="85"/>
      <c r="XBM110" s="85"/>
      <c r="XBU110" s="85"/>
      <c r="XCC110" s="85"/>
      <c r="XCK110" s="85"/>
      <c r="XCS110" s="85"/>
      <c r="XDA110" s="85"/>
      <c r="XDI110" s="85"/>
      <c r="XDQ110" s="85"/>
      <c r="XDY110" s="85"/>
      <c r="XEG110" s="85"/>
      <c r="XEO110" s="85"/>
      <c r="XEW110" s="85"/>
    </row>
    <row r="111" spans="1:1017 1025:2041 2049:3065 3073:4089 4097:5113 5121:6137 6145:7161 7169:8185 8193:9209 9217:10233 10241:11257 11265:12281 12289:13305 13313:14329 14337:15353 15361:16377" s="100" customFormat="1" ht="15.75" customHeight="1" x14ac:dyDescent="0.3">
      <c r="A111" s="88" t="s">
        <v>1048</v>
      </c>
      <c r="B111" s="99">
        <v>0</v>
      </c>
      <c r="C111" s="99">
        <v>46822</v>
      </c>
      <c r="D111" s="99">
        <v>0</v>
      </c>
      <c r="E111" s="99">
        <v>26880</v>
      </c>
      <c r="F111" s="99">
        <v>0</v>
      </c>
      <c r="G111" s="99">
        <v>0</v>
      </c>
      <c r="H111" s="99">
        <v>73702</v>
      </c>
      <c r="I111" s="84"/>
      <c r="J111" s="84"/>
      <c r="K111" s="95"/>
      <c r="L111" s="104"/>
    </row>
    <row r="112" spans="1:1017 1025:2041 2049:3065 3073:4089 4097:5113 5121:6137 6145:7161 7169:8185 8193:9209 9217:10233 10241:11257 11265:12281 12289:13305 13313:14329 14337:15353 15361:16377" s="100" customFormat="1" ht="15.75" customHeight="1" x14ac:dyDescent="0.3">
      <c r="A112" s="88" t="s">
        <v>1049</v>
      </c>
      <c r="B112" s="99">
        <v>0</v>
      </c>
      <c r="C112" s="99">
        <v>0</v>
      </c>
      <c r="D112" s="99">
        <v>105000</v>
      </c>
      <c r="E112" s="99">
        <v>0</v>
      </c>
      <c r="F112" s="99">
        <v>0</v>
      </c>
      <c r="G112" s="99">
        <v>0</v>
      </c>
      <c r="H112" s="99">
        <v>105000</v>
      </c>
      <c r="I112" s="84"/>
      <c r="J112" s="84"/>
      <c r="K112" s="95"/>
      <c r="L112" s="104"/>
    </row>
    <row r="113" spans="1:12" s="100" customFormat="1" ht="15.75" customHeight="1" x14ac:dyDescent="0.3">
      <c r="A113" s="88" t="s">
        <v>1050</v>
      </c>
      <c r="B113" s="99">
        <v>0</v>
      </c>
      <c r="C113" s="99">
        <v>0</v>
      </c>
      <c r="D113" s="99">
        <v>0</v>
      </c>
      <c r="E113" s="99">
        <v>0</v>
      </c>
      <c r="F113" s="99">
        <v>0</v>
      </c>
      <c r="G113" s="99">
        <v>81880</v>
      </c>
      <c r="H113" s="99">
        <v>81880</v>
      </c>
      <c r="I113" s="84"/>
      <c r="J113" s="84"/>
      <c r="K113" s="95"/>
      <c r="L113" s="104"/>
    </row>
    <row r="114" spans="1:12" s="100" customFormat="1" ht="15.75" customHeight="1" x14ac:dyDescent="0.3">
      <c r="A114" s="88" t="s">
        <v>1051</v>
      </c>
      <c r="B114" s="99">
        <v>0</v>
      </c>
      <c r="C114" s="99">
        <v>0</v>
      </c>
      <c r="D114" s="99">
        <v>487500</v>
      </c>
      <c r="E114" s="99">
        <v>0</v>
      </c>
      <c r="F114" s="99">
        <v>0</v>
      </c>
      <c r="G114" s="99">
        <v>0</v>
      </c>
      <c r="H114" s="99">
        <v>487500</v>
      </c>
      <c r="I114" s="84"/>
      <c r="J114" s="84"/>
      <c r="K114" s="95"/>
      <c r="L114" s="95"/>
    </row>
    <row r="115" spans="1:12" s="100" customFormat="1" ht="15.75" customHeight="1" x14ac:dyDescent="0.3">
      <c r="A115" s="88" t="s">
        <v>1052</v>
      </c>
      <c r="B115" s="99">
        <v>0</v>
      </c>
      <c r="C115" s="99">
        <v>0</v>
      </c>
      <c r="D115" s="99">
        <v>100925.37</v>
      </c>
      <c r="E115" s="99">
        <v>0</v>
      </c>
      <c r="F115" s="99">
        <v>0</v>
      </c>
      <c r="G115" s="99">
        <v>0</v>
      </c>
      <c r="H115" s="99">
        <v>100925.37</v>
      </c>
      <c r="I115" s="105"/>
      <c r="J115" s="95"/>
      <c r="K115" s="95"/>
      <c r="L115" s="95"/>
    </row>
    <row r="116" spans="1:12" customFormat="1" ht="15.75" customHeight="1" x14ac:dyDescent="0.3">
      <c r="A116" s="88" t="s">
        <v>1053</v>
      </c>
      <c r="B116" s="99">
        <v>0</v>
      </c>
      <c r="C116" s="99">
        <v>0</v>
      </c>
      <c r="D116" s="99">
        <v>73663.08</v>
      </c>
      <c r="E116" s="99">
        <v>0</v>
      </c>
      <c r="F116" s="99">
        <v>0</v>
      </c>
      <c r="G116" s="99">
        <v>0</v>
      </c>
      <c r="H116" s="99">
        <v>73663.08</v>
      </c>
      <c r="I116" s="83"/>
      <c r="J116" s="83"/>
      <c r="K116" s="83"/>
      <c r="L116" s="83"/>
    </row>
    <row r="117" spans="1:12" customFormat="1" ht="15.75" customHeight="1" x14ac:dyDescent="0.3">
      <c r="A117" s="85" t="s">
        <v>1054</v>
      </c>
      <c r="B117" s="98">
        <v>0</v>
      </c>
      <c r="C117" s="98">
        <v>147399</v>
      </c>
      <c r="D117" s="98">
        <v>231719</v>
      </c>
      <c r="E117" s="98">
        <v>83606.740000000005</v>
      </c>
      <c r="F117" s="98">
        <v>482934.99249999999</v>
      </c>
      <c r="G117" s="98">
        <v>0</v>
      </c>
      <c r="H117" s="98">
        <v>945659.73250000004</v>
      </c>
      <c r="I117" s="83"/>
      <c r="J117" s="83"/>
      <c r="K117" s="83"/>
    </row>
    <row r="118" spans="1:12" customFormat="1" ht="15.75" customHeight="1" x14ac:dyDescent="0.3">
      <c r="A118" s="88" t="s">
        <v>1055</v>
      </c>
      <c r="B118" s="99">
        <v>0</v>
      </c>
      <c r="C118" s="99">
        <v>0</v>
      </c>
      <c r="D118" s="99">
        <v>0</v>
      </c>
      <c r="E118" s="99">
        <v>40462.339999999997</v>
      </c>
      <c r="F118" s="99">
        <v>482934.99249999999</v>
      </c>
      <c r="G118" s="99">
        <v>0</v>
      </c>
      <c r="H118" s="99">
        <v>523397.33250000002</v>
      </c>
      <c r="I118" s="83"/>
      <c r="J118" s="83"/>
      <c r="K118" s="83"/>
    </row>
    <row r="119" spans="1:12" customFormat="1" ht="15.75" customHeight="1" x14ac:dyDescent="0.3">
      <c r="A119" s="88" t="s">
        <v>1056</v>
      </c>
      <c r="B119" s="99">
        <v>0</v>
      </c>
      <c r="C119" s="99">
        <v>66000</v>
      </c>
      <c r="D119" s="99">
        <v>133330</v>
      </c>
      <c r="E119" s="99">
        <v>0</v>
      </c>
      <c r="F119" s="99">
        <v>0</v>
      </c>
      <c r="G119" s="99">
        <v>0</v>
      </c>
      <c r="H119" s="99">
        <v>199330</v>
      </c>
      <c r="I119" s="83"/>
      <c r="J119" s="83"/>
      <c r="K119" s="83"/>
    </row>
    <row r="120" spans="1:12" ht="15.75" customHeight="1" x14ac:dyDescent="0.3">
      <c r="A120" s="88" t="s">
        <v>1057</v>
      </c>
      <c r="B120" s="99">
        <v>0</v>
      </c>
      <c r="C120" s="99">
        <v>37500</v>
      </c>
      <c r="D120" s="99">
        <v>98389</v>
      </c>
      <c r="E120" s="99">
        <v>0</v>
      </c>
      <c r="F120" s="99">
        <v>0</v>
      </c>
      <c r="G120" s="99">
        <v>0</v>
      </c>
      <c r="H120" s="99">
        <v>135889</v>
      </c>
    </row>
    <row r="121" spans="1:12" ht="15.75" customHeight="1" x14ac:dyDescent="0.3">
      <c r="A121" s="88" t="s">
        <v>1058</v>
      </c>
      <c r="B121" s="99">
        <v>0</v>
      </c>
      <c r="C121" s="99">
        <v>0</v>
      </c>
      <c r="D121" s="99">
        <v>0</v>
      </c>
      <c r="E121" s="99">
        <v>43144.4</v>
      </c>
      <c r="F121" s="99">
        <v>0</v>
      </c>
      <c r="G121" s="99">
        <v>0</v>
      </c>
      <c r="H121" s="99">
        <v>43144.4</v>
      </c>
    </row>
    <row r="122" spans="1:12" ht="15.75" customHeight="1" x14ac:dyDescent="0.3">
      <c r="A122" s="88" t="s">
        <v>1059</v>
      </c>
      <c r="B122" s="99">
        <v>0</v>
      </c>
      <c r="C122" s="99">
        <v>43899</v>
      </c>
      <c r="D122" s="99">
        <v>0</v>
      </c>
      <c r="E122" s="99">
        <v>0</v>
      </c>
      <c r="F122" s="99">
        <v>0</v>
      </c>
      <c r="G122" s="99">
        <v>0</v>
      </c>
      <c r="H122" s="99">
        <v>43899</v>
      </c>
    </row>
    <row r="123" spans="1:12" ht="15.75" customHeight="1" x14ac:dyDescent="0.3">
      <c r="A123" s="85" t="s">
        <v>72</v>
      </c>
      <c r="B123" s="98">
        <f t="shared" ref="B123:H123" si="0">SUM(B117,B110,B104,B85,B69,B53,B46,B25,B17,B7,B4)</f>
        <v>40725.375</v>
      </c>
      <c r="C123" s="98">
        <f t="shared" si="0"/>
        <v>1309408.22</v>
      </c>
      <c r="D123" s="98">
        <f t="shared" si="0"/>
        <v>4511600.584999999</v>
      </c>
      <c r="E123" s="98">
        <f t="shared" si="0"/>
        <v>5131100.6074999999</v>
      </c>
      <c r="F123" s="98">
        <f t="shared" si="0"/>
        <v>3386225.5424999995</v>
      </c>
      <c r="G123" s="98">
        <f t="shared" si="0"/>
        <v>98905.75</v>
      </c>
      <c r="H123" s="98">
        <f t="shared" si="0"/>
        <v>14477966.080000002</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F7F1-8C6B-4EC4-B11A-1180B1D6C675}">
  <dimension ref="A1:O138"/>
  <sheetViews>
    <sheetView workbookViewId="0">
      <selection activeCell="F119" sqref="F119:F128"/>
    </sheetView>
  </sheetViews>
  <sheetFormatPr defaultColWidth="13.88671875" defaultRowHeight="18.75" customHeight="1" x14ac:dyDescent="0.3"/>
  <cols>
    <col min="1" max="1" width="58.21875" style="83" customWidth="1"/>
    <col min="2" max="4" width="13.88671875" style="83" customWidth="1"/>
    <col min="5" max="5" width="12.5546875" style="83" customWidth="1"/>
    <col min="6" max="6" width="13.88671875" style="83" customWidth="1"/>
    <col min="7" max="7" width="13.88671875" style="84" customWidth="1"/>
    <col min="8" max="11" width="13.88671875" style="83" customWidth="1"/>
    <col min="12" max="12" width="26.77734375" style="83" customWidth="1"/>
    <col min="13" max="13" width="13.88671875" style="83" customWidth="1"/>
    <col min="14" max="16384" width="13.88671875" style="83"/>
  </cols>
  <sheetData>
    <row r="1" spans="1:15" customFormat="1" ht="18.75" customHeight="1" x14ac:dyDescent="0.35">
      <c r="A1" s="28" t="s">
        <v>1061</v>
      </c>
      <c r="B1" s="83"/>
      <c r="C1" s="83"/>
      <c r="D1" s="83"/>
      <c r="E1" s="83"/>
      <c r="F1" s="83"/>
      <c r="G1" s="84"/>
      <c r="H1" s="83"/>
      <c r="I1" s="83"/>
      <c r="J1" s="83"/>
      <c r="K1" s="83"/>
      <c r="L1" s="85"/>
      <c r="M1" s="85"/>
      <c r="N1" s="85"/>
      <c r="O1" s="85"/>
    </row>
    <row r="2" spans="1:15" customFormat="1" ht="18.75" customHeight="1" x14ac:dyDescent="0.3">
      <c r="A2" s="30" t="s">
        <v>62</v>
      </c>
      <c r="B2" s="83"/>
      <c r="C2" s="83"/>
      <c r="D2" s="83"/>
      <c r="E2" s="83"/>
      <c r="F2" s="83"/>
      <c r="G2" s="84"/>
      <c r="H2" s="83"/>
      <c r="I2" s="83"/>
      <c r="J2" s="83"/>
      <c r="K2" s="83"/>
      <c r="L2" s="88"/>
      <c r="M2" s="106"/>
      <c r="N2" s="106"/>
      <c r="O2" s="106"/>
    </row>
    <row r="3" spans="1:15" customFormat="1" ht="40.200000000000003" x14ac:dyDescent="0.3">
      <c r="A3" s="107" t="s">
        <v>938</v>
      </c>
      <c r="B3" s="87" t="s">
        <v>1062</v>
      </c>
      <c r="C3" s="87" t="s">
        <v>942</v>
      </c>
      <c r="D3" s="87" t="s">
        <v>943</v>
      </c>
      <c r="E3" s="87" t="s">
        <v>1063</v>
      </c>
      <c r="F3" s="87" t="s">
        <v>945</v>
      </c>
      <c r="G3" s="108"/>
      <c r="H3" s="83"/>
      <c r="I3" s="83"/>
      <c r="J3" s="83"/>
      <c r="K3" s="83"/>
      <c r="L3" s="88"/>
      <c r="M3" s="106"/>
      <c r="N3" s="106"/>
      <c r="O3" s="106"/>
    </row>
    <row r="4" spans="1:15" customFormat="1" ht="18.75" customHeight="1" x14ac:dyDescent="0.3">
      <c r="A4" s="85" t="s">
        <v>946</v>
      </c>
      <c r="B4" s="85">
        <v>0</v>
      </c>
      <c r="C4" s="85">
        <v>60</v>
      </c>
      <c r="D4" s="85">
        <v>111</v>
      </c>
      <c r="E4" s="85">
        <v>89</v>
      </c>
      <c r="F4" s="85">
        <v>260</v>
      </c>
      <c r="G4" s="99"/>
      <c r="H4" s="84"/>
      <c r="I4" s="83"/>
      <c r="J4" s="83"/>
      <c r="K4" s="83"/>
      <c r="L4" s="88"/>
      <c r="M4" s="106"/>
      <c r="N4" s="106"/>
      <c r="O4" s="106"/>
    </row>
    <row r="5" spans="1:15" customFormat="1" ht="18.75" customHeight="1" x14ac:dyDescent="0.3">
      <c r="A5" s="88" t="s">
        <v>947</v>
      </c>
      <c r="B5" s="106">
        <v>0</v>
      </c>
      <c r="C5" s="106">
        <v>50</v>
      </c>
      <c r="D5" s="106">
        <v>0</v>
      </c>
      <c r="E5" s="106">
        <v>8</v>
      </c>
      <c r="F5" s="106">
        <v>58</v>
      </c>
      <c r="G5" s="99"/>
      <c r="H5" s="84"/>
      <c r="I5" s="83"/>
      <c r="J5" s="83"/>
      <c r="K5" s="83"/>
      <c r="L5" s="88"/>
      <c r="M5" s="106"/>
      <c r="N5" s="106"/>
      <c r="O5" s="106"/>
    </row>
    <row r="6" spans="1:15" customFormat="1" ht="18.75" customHeight="1" x14ac:dyDescent="0.3">
      <c r="A6" s="88" t="s">
        <v>1064</v>
      </c>
      <c r="B6" s="106">
        <v>0</v>
      </c>
      <c r="C6" s="106">
        <v>0</v>
      </c>
      <c r="D6" s="106">
        <v>15</v>
      </c>
      <c r="E6" s="106">
        <v>75</v>
      </c>
      <c r="F6" s="106">
        <v>90</v>
      </c>
      <c r="G6" s="99"/>
      <c r="H6" s="84"/>
      <c r="I6" s="83"/>
      <c r="J6" s="83"/>
      <c r="K6" s="83"/>
      <c r="L6" s="88"/>
      <c r="M6" s="106"/>
      <c r="N6" s="106"/>
      <c r="O6" s="106"/>
    </row>
    <row r="7" spans="1:15" customFormat="1" ht="18.75" customHeight="1" x14ac:dyDescent="0.3">
      <c r="A7" s="88" t="s">
        <v>948</v>
      </c>
      <c r="B7" s="106">
        <v>0</v>
      </c>
      <c r="C7" s="106">
        <v>0</v>
      </c>
      <c r="D7" s="106">
        <v>0</v>
      </c>
      <c r="E7" s="106">
        <v>6</v>
      </c>
      <c r="F7" s="106">
        <v>6</v>
      </c>
      <c r="G7" s="99"/>
      <c r="H7" s="84"/>
      <c r="I7" s="83"/>
      <c r="J7" s="83"/>
      <c r="K7" s="83"/>
      <c r="L7" s="88"/>
      <c r="M7" s="106"/>
      <c r="N7" s="106"/>
      <c r="O7" s="106"/>
    </row>
    <row r="8" spans="1:15" customFormat="1" ht="18.75" customHeight="1" x14ac:dyDescent="0.3">
      <c r="A8" s="88" t="s">
        <v>1065</v>
      </c>
      <c r="B8" s="106">
        <v>0</v>
      </c>
      <c r="C8" s="106">
        <v>10</v>
      </c>
      <c r="D8" s="106">
        <v>0</v>
      </c>
      <c r="E8" s="106">
        <v>0</v>
      </c>
      <c r="F8" s="106">
        <v>10</v>
      </c>
      <c r="G8" s="99"/>
      <c r="H8" s="84"/>
      <c r="I8" s="83"/>
      <c r="J8" s="83"/>
      <c r="K8" s="83"/>
      <c r="L8" s="88"/>
      <c r="M8" s="106"/>
      <c r="N8" s="106"/>
      <c r="O8" s="106"/>
    </row>
    <row r="9" spans="1:15" customFormat="1" ht="18.75" customHeight="1" x14ac:dyDescent="0.3">
      <c r="A9" s="109" t="s">
        <v>1066</v>
      </c>
      <c r="B9" s="106">
        <v>0</v>
      </c>
      <c r="C9" s="106">
        <v>0</v>
      </c>
      <c r="D9" s="106">
        <v>96</v>
      </c>
      <c r="E9" s="106">
        <v>0</v>
      </c>
      <c r="F9" s="106">
        <v>96</v>
      </c>
      <c r="G9" s="99"/>
      <c r="H9" s="84"/>
      <c r="I9" s="83"/>
      <c r="J9" s="83"/>
      <c r="K9" s="83"/>
      <c r="L9" s="88"/>
      <c r="M9" s="106"/>
      <c r="N9" s="106"/>
      <c r="O9" s="106"/>
    </row>
    <row r="10" spans="1:15" customFormat="1" ht="18.75" customHeight="1" x14ac:dyDescent="0.3">
      <c r="A10" s="85" t="s">
        <v>949</v>
      </c>
      <c r="B10" s="85">
        <v>0</v>
      </c>
      <c r="C10" s="85">
        <v>0</v>
      </c>
      <c r="D10" s="85">
        <v>89</v>
      </c>
      <c r="E10" s="85">
        <v>349</v>
      </c>
      <c r="F10" s="85">
        <v>438</v>
      </c>
      <c r="G10" s="99"/>
      <c r="H10" s="84"/>
      <c r="I10" s="83"/>
      <c r="J10" s="83"/>
      <c r="K10" s="83"/>
      <c r="L10" s="83"/>
      <c r="M10" s="83"/>
      <c r="N10" s="83"/>
      <c r="O10" s="83"/>
    </row>
    <row r="11" spans="1:15" customFormat="1" ht="18.75" customHeight="1" x14ac:dyDescent="0.3">
      <c r="A11" s="88" t="s">
        <v>1067</v>
      </c>
      <c r="B11" s="106">
        <v>0</v>
      </c>
      <c r="C11" s="106">
        <v>0</v>
      </c>
      <c r="D11" s="106">
        <v>0</v>
      </c>
      <c r="E11" s="106">
        <v>21</v>
      </c>
      <c r="F11" s="106">
        <v>21</v>
      </c>
      <c r="G11" s="99"/>
      <c r="H11" s="84"/>
      <c r="I11" s="83"/>
      <c r="J11" s="83"/>
      <c r="K11" s="83"/>
      <c r="L11" s="83"/>
      <c r="M11" s="83"/>
      <c r="N11" s="83"/>
      <c r="O11" s="83"/>
    </row>
    <row r="12" spans="1:15" customFormat="1" ht="18.75" customHeight="1" x14ac:dyDescent="0.3">
      <c r="A12" s="88" t="s">
        <v>1068</v>
      </c>
      <c r="B12" s="106">
        <v>0</v>
      </c>
      <c r="C12" s="106">
        <v>0</v>
      </c>
      <c r="D12" s="106">
        <v>0</v>
      </c>
      <c r="E12" s="106">
        <v>28</v>
      </c>
      <c r="F12" s="106">
        <v>28</v>
      </c>
      <c r="G12" s="99"/>
      <c r="H12" s="84"/>
      <c r="I12" s="83"/>
      <c r="J12" s="83"/>
      <c r="K12" s="83"/>
      <c r="L12" s="83"/>
      <c r="M12" s="83"/>
      <c r="N12" s="83"/>
      <c r="O12" s="83"/>
    </row>
    <row r="13" spans="1:15" customFormat="1" ht="18.75" customHeight="1" x14ac:dyDescent="0.3">
      <c r="A13" s="88" t="s">
        <v>956</v>
      </c>
      <c r="B13" s="106">
        <v>0</v>
      </c>
      <c r="C13" s="106">
        <v>0</v>
      </c>
      <c r="D13" s="106">
        <v>0</v>
      </c>
      <c r="E13" s="106">
        <v>300</v>
      </c>
      <c r="F13" s="106">
        <v>300</v>
      </c>
      <c r="G13" s="99"/>
      <c r="H13" s="84"/>
      <c r="I13" s="83"/>
      <c r="J13" s="83"/>
      <c r="K13" s="83"/>
      <c r="L13" s="83"/>
      <c r="M13" s="83"/>
      <c r="N13" s="83"/>
      <c r="O13" s="83"/>
    </row>
    <row r="14" spans="1:15" customFormat="1" ht="18.75" customHeight="1" x14ac:dyDescent="0.3">
      <c r="A14" s="88" t="s">
        <v>1069</v>
      </c>
      <c r="B14" s="106">
        <v>0</v>
      </c>
      <c r="C14" s="106">
        <v>0</v>
      </c>
      <c r="D14" s="106">
        <v>19</v>
      </c>
      <c r="E14" s="106">
        <v>0</v>
      </c>
      <c r="F14" s="106">
        <v>19</v>
      </c>
      <c r="G14" s="99"/>
      <c r="H14" s="84"/>
      <c r="I14" s="83"/>
      <c r="J14" s="83"/>
      <c r="K14" s="83"/>
      <c r="L14" s="83"/>
      <c r="M14" s="83"/>
      <c r="N14" s="83"/>
      <c r="O14" s="83"/>
    </row>
    <row r="15" spans="1:15" customFormat="1" ht="18.75" customHeight="1" x14ac:dyDescent="0.3">
      <c r="A15" s="88" t="s">
        <v>1070</v>
      </c>
      <c r="B15" s="106">
        <v>0</v>
      </c>
      <c r="C15" s="106">
        <v>0</v>
      </c>
      <c r="D15" s="106">
        <v>16</v>
      </c>
      <c r="E15" s="106">
        <v>0</v>
      </c>
      <c r="F15" s="106">
        <v>16</v>
      </c>
      <c r="G15" s="99"/>
      <c r="H15" s="84"/>
      <c r="I15" s="83"/>
      <c r="J15" s="83"/>
      <c r="K15" s="83"/>
      <c r="L15" s="83"/>
      <c r="M15" s="83"/>
      <c r="N15" s="83"/>
      <c r="O15" s="83"/>
    </row>
    <row r="16" spans="1:15" customFormat="1" ht="18.75" customHeight="1" x14ac:dyDescent="0.3">
      <c r="A16" s="88" t="s">
        <v>957</v>
      </c>
      <c r="B16" s="106">
        <v>0</v>
      </c>
      <c r="C16" s="106">
        <v>0</v>
      </c>
      <c r="D16" s="106">
        <v>31</v>
      </c>
      <c r="E16" s="106">
        <v>0</v>
      </c>
      <c r="F16" s="106">
        <v>31</v>
      </c>
      <c r="G16" s="99"/>
      <c r="H16" s="84"/>
      <c r="I16" s="83"/>
      <c r="J16" s="83"/>
      <c r="K16" s="83"/>
      <c r="L16" s="83"/>
      <c r="M16" s="83"/>
      <c r="N16" s="83"/>
      <c r="O16" s="83"/>
    </row>
    <row r="17" spans="1:15" customFormat="1" ht="18.75" customHeight="1" x14ac:dyDescent="0.3">
      <c r="A17" s="88" t="s">
        <v>1071</v>
      </c>
      <c r="B17" s="106">
        <v>0</v>
      </c>
      <c r="C17" s="106">
        <v>0</v>
      </c>
      <c r="D17" s="106">
        <v>23</v>
      </c>
      <c r="E17" s="106">
        <v>0</v>
      </c>
      <c r="F17" s="106">
        <v>23</v>
      </c>
      <c r="G17" s="99"/>
      <c r="H17" s="84"/>
      <c r="I17" s="83"/>
      <c r="J17" s="83"/>
      <c r="K17" s="83"/>
      <c r="L17" s="83"/>
      <c r="M17" s="83"/>
      <c r="N17" s="83"/>
      <c r="O17" s="83"/>
    </row>
    <row r="18" spans="1:15" customFormat="1" ht="18.75" customHeight="1" x14ac:dyDescent="0.3">
      <c r="A18" s="85" t="s">
        <v>959</v>
      </c>
      <c r="B18" s="85">
        <v>0</v>
      </c>
      <c r="C18" s="85">
        <v>15</v>
      </c>
      <c r="D18" s="85">
        <v>50</v>
      </c>
      <c r="E18" s="85">
        <v>75</v>
      </c>
      <c r="F18" s="85">
        <v>140</v>
      </c>
      <c r="G18" s="99"/>
      <c r="H18" s="84"/>
      <c r="I18" s="83"/>
      <c r="J18" s="83"/>
      <c r="K18" s="83"/>
      <c r="L18" s="83"/>
      <c r="M18" s="83"/>
      <c r="N18" s="83"/>
      <c r="O18" s="83"/>
    </row>
    <row r="19" spans="1:15" customFormat="1" ht="18.75" customHeight="1" x14ac:dyDescent="0.3">
      <c r="A19" s="88" t="s">
        <v>1072</v>
      </c>
      <c r="B19" s="106">
        <v>0</v>
      </c>
      <c r="C19" s="106">
        <v>0</v>
      </c>
      <c r="D19" s="106">
        <v>38</v>
      </c>
      <c r="E19" s="106">
        <v>0</v>
      </c>
      <c r="F19" s="106">
        <v>38</v>
      </c>
      <c r="G19" s="99"/>
      <c r="H19" s="84"/>
      <c r="I19" s="83"/>
      <c r="J19" s="83"/>
      <c r="K19" s="83"/>
      <c r="L19" s="83"/>
      <c r="M19" s="83"/>
      <c r="N19" s="83"/>
      <c r="O19" s="83"/>
    </row>
    <row r="20" spans="1:15" customFormat="1" ht="18.600000000000001" customHeight="1" x14ac:dyDescent="0.3">
      <c r="A20" s="88" t="s">
        <v>962</v>
      </c>
      <c r="B20" s="106">
        <v>0</v>
      </c>
      <c r="C20" s="106">
        <v>0</v>
      </c>
      <c r="D20" s="106">
        <v>12</v>
      </c>
      <c r="E20" s="106">
        <v>0</v>
      </c>
      <c r="F20" s="106">
        <v>12</v>
      </c>
      <c r="G20" s="99"/>
      <c r="H20" s="84"/>
      <c r="I20" s="83"/>
      <c r="J20" s="83"/>
      <c r="K20" s="83"/>
      <c r="L20" s="83"/>
      <c r="M20" s="83"/>
      <c r="N20" s="83"/>
      <c r="O20" s="83"/>
    </row>
    <row r="21" spans="1:15" customFormat="1" ht="18.600000000000001" customHeight="1" x14ac:dyDescent="0.3">
      <c r="A21" s="88" t="s">
        <v>1073</v>
      </c>
      <c r="B21" s="106">
        <v>0</v>
      </c>
      <c r="C21" s="106">
        <v>15</v>
      </c>
      <c r="D21" s="106">
        <v>0</v>
      </c>
      <c r="E21" s="106">
        <v>27</v>
      </c>
      <c r="F21" s="106">
        <v>42</v>
      </c>
      <c r="G21" s="99"/>
      <c r="H21" s="84"/>
      <c r="I21" s="83"/>
      <c r="J21" s="83"/>
      <c r="K21" s="83"/>
      <c r="L21" s="83"/>
      <c r="M21" s="83"/>
      <c r="N21" s="83"/>
      <c r="O21" s="83"/>
    </row>
    <row r="22" spans="1:15" customFormat="1" ht="18.600000000000001" customHeight="1" x14ac:dyDescent="0.3">
      <c r="A22" s="88" t="s">
        <v>1074</v>
      </c>
      <c r="B22" s="106">
        <v>0</v>
      </c>
      <c r="C22" s="106">
        <v>0</v>
      </c>
      <c r="D22" s="106">
        <v>0</v>
      </c>
      <c r="E22" s="106">
        <v>48</v>
      </c>
      <c r="F22" s="106">
        <v>48</v>
      </c>
      <c r="G22" s="99"/>
      <c r="H22" s="84"/>
      <c r="I22" s="83"/>
      <c r="J22" s="83"/>
      <c r="K22" s="83"/>
      <c r="L22" s="83"/>
      <c r="M22" s="83"/>
      <c r="N22" s="83"/>
      <c r="O22" s="83"/>
    </row>
    <row r="23" spans="1:15" customFormat="1" ht="18.75" customHeight="1" x14ac:dyDescent="0.3">
      <c r="A23" s="85" t="s">
        <v>966</v>
      </c>
      <c r="B23" s="85">
        <v>17</v>
      </c>
      <c r="C23" s="85">
        <v>7</v>
      </c>
      <c r="D23" s="85">
        <v>23</v>
      </c>
      <c r="E23" s="85">
        <v>79</v>
      </c>
      <c r="F23" s="85">
        <v>126</v>
      </c>
      <c r="G23" s="99"/>
      <c r="H23" s="84"/>
      <c r="I23" s="83"/>
      <c r="J23" s="83"/>
      <c r="K23" s="83"/>
      <c r="L23" s="83"/>
      <c r="M23" s="83"/>
      <c r="N23" s="83"/>
      <c r="O23" s="83"/>
    </row>
    <row r="24" spans="1:15" customFormat="1" ht="18.75" customHeight="1" x14ac:dyDescent="0.3">
      <c r="A24" s="88" t="s">
        <v>1075</v>
      </c>
      <c r="B24" s="106">
        <v>0</v>
      </c>
      <c r="C24" s="106">
        <v>0</v>
      </c>
      <c r="D24" s="106">
        <v>6</v>
      </c>
      <c r="E24" s="106">
        <v>0</v>
      </c>
      <c r="F24" s="106">
        <v>6</v>
      </c>
      <c r="G24" s="99"/>
      <c r="H24" s="84"/>
      <c r="I24" s="83"/>
      <c r="J24" s="83"/>
      <c r="K24" s="83"/>
      <c r="L24" s="83"/>
      <c r="M24" s="83"/>
      <c r="N24" s="83"/>
      <c r="O24" s="83"/>
    </row>
    <row r="25" spans="1:15" customFormat="1" ht="18.75" customHeight="1" x14ac:dyDescent="0.3">
      <c r="A25" s="109" t="s">
        <v>1076</v>
      </c>
      <c r="B25" s="106">
        <v>0</v>
      </c>
      <c r="C25" s="106">
        <v>0</v>
      </c>
      <c r="D25" s="106">
        <v>8</v>
      </c>
      <c r="E25" s="106">
        <v>0</v>
      </c>
      <c r="F25" s="106">
        <v>8</v>
      </c>
      <c r="G25" s="99"/>
      <c r="H25" s="84"/>
      <c r="I25" s="83"/>
      <c r="J25" s="83"/>
      <c r="K25" s="83"/>
      <c r="L25" s="83"/>
      <c r="M25" s="83"/>
      <c r="N25" s="83"/>
      <c r="O25" s="83"/>
    </row>
    <row r="26" spans="1:15" customFormat="1" ht="18.600000000000001" customHeight="1" x14ac:dyDescent="0.3">
      <c r="A26" s="109" t="s">
        <v>974</v>
      </c>
      <c r="B26" s="106">
        <v>0</v>
      </c>
      <c r="C26" s="106">
        <v>0</v>
      </c>
      <c r="D26" s="106">
        <v>0</v>
      </c>
      <c r="E26" s="106">
        <v>20</v>
      </c>
      <c r="F26" s="106">
        <v>20</v>
      </c>
      <c r="G26" s="99"/>
      <c r="H26" s="84"/>
      <c r="I26" s="83"/>
      <c r="J26" s="83"/>
      <c r="K26" s="83"/>
      <c r="L26" s="83"/>
      <c r="M26" s="83"/>
      <c r="N26" s="83"/>
      <c r="O26" s="83"/>
    </row>
    <row r="27" spans="1:15" customFormat="1" ht="18.75" customHeight="1" x14ac:dyDescent="0.3">
      <c r="A27" s="88" t="s">
        <v>977</v>
      </c>
      <c r="B27" s="106">
        <v>0</v>
      </c>
      <c r="C27" s="106">
        <v>0</v>
      </c>
      <c r="D27" s="106">
        <v>0</v>
      </c>
      <c r="E27" s="106">
        <v>11</v>
      </c>
      <c r="F27" s="106">
        <v>11</v>
      </c>
      <c r="G27" s="99"/>
      <c r="H27" s="84"/>
      <c r="I27" s="83"/>
      <c r="J27" s="83"/>
      <c r="K27" s="83"/>
      <c r="L27" s="83"/>
      <c r="M27" s="83"/>
      <c r="N27" s="83"/>
      <c r="O27" s="83"/>
    </row>
    <row r="28" spans="1:15" customFormat="1" ht="18.75" customHeight="1" x14ac:dyDescent="0.3">
      <c r="A28" s="88" t="s">
        <v>1077</v>
      </c>
      <c r="B28" s="106">
        <v>0</v>
      </c>
      <c r="C28" s="106">
        <v>0</v>
      </c>
      <c r="D28" s="106">
        <v>0</v>
      </c>
      <c r="E28" s="106">
        <v>4</v>
      </c>
      <c r="F28" s="106">
        <v>4</v>
      </c>
      <c r="G28" s="99"/>
      <c r="H28" s="84"/>
      <c r="I28" s="83"/>
      <c r="J28" s="83"/>
      <c r="K28" s="83"/>
      <c r="L28" s="83"/>
      <c r="M28" s="83"/>
      <c r="N28" s="83"/>
      <c r="O28" s="83"/>
    </row>
    <row r="29" spans="1:15" customFormat="1" ht="18.75" customHeight="1" x14ac:dyDescent="0.3">
      <c r="A29" s="88" t="s">
        <v>1078</v>
      </c>
      <c r="B29" s="106">
        <v>17</v>
      </c>
      <c r="C29" s="106">
        <v>0</v>
      </c>
      <c r="D29" s="106">
        <v>0</v>
      </c>
      <c r="E29" s="106">
        <v>0</v>
      </c>
      <c r="F29" s="106">
        <v>17</v>
      </c>
      <c r="G29" s="99"/>
      <c r="H29" s="84"/>
      <c r="I29" s="83"/>
      <c r="J29" s="83"/>
      <c r="K29" s="83"/>
      <c r="L29" s="83"/>
      <c r="M29" s="83"/>
      <c r="N29" s="83"/>
      <c r="O29" s="83"/>
    </row>
    <row r="30" spans="1:15" customFormat="1" ht="18.75" customHeight="1" x14ac:dyDescent="0.3">
      <c r="A30" s="88" t="s">
        <v>1079</v>
      </c>
      <c r="B30" s="106">
        <v>0</v>
      </c>
      <c r="C30" s="106">
        <v>7</v>
      </c>
      <c r="D30" s="106">
        <v>0</v>
      </c>
      <c r="E30" s="106">
        <v>0</v>
      </c>
      <c r="F30" s="106">
        <v>7</v>
      </c>
      <c r="G30" s="99"/>
      <c r="H30" s="84"/>
      <c r="I30" s="83"/>
      <c r="J30" s="83"/>
      <c r="K30" s="83"/>
      <c r="L30" s="83"/>
      <c r="M30" s="83"/>
      <c r="N30" s="83"/>
      <c r="O30" s="83"/>
    </row>
    <row r="31" spans="1:15" customFormat="1" ht="18.75" customHeight="1" x14ac:dyDescent="0.3">
      <c r="A31" s="88" t="s">
        <v>1080</v>
      </c>
      <c r="B31" s="106">
        <v>0</v>
      </c>
      <c r="C31" s="106">
        <v>0</v>
      </c>
      <c r="D31" s="106">
        <v>9</v>
      </c>
      <c r="E31" s="106">
        <v>35</v>
      </c>
      <c r="F31" s="106">
        <v>44</v>
      </c>
      <c r="G31" s="99"/>
      <c r="H31" s="84"/>
      <c r="I31" s="83"/>
      <c r="J31" s="83"/>
      <c r="K31" s="83"/>
      <c r="L31" s="83"/>
      <c r="M31" s="83"/>
      <c r="N31" s="83"/>
      <c r="O31" s="83"/>
    </row>
    <row r="32" spans="1:15" customFormat="1" ht="18.75" customHeight="1" x14ac:dyDescent="0.3">
      <c r="A32" s="88" t="s">
        <v>1081</v>
      </c>
      <c r="B32" s="106">
        <v>0</v>
      </c>
      <c r="C32" s="106">
        <v>0</v>
      </c>
      <c r="D32" s="106">
        <v>0</v>
      </c>
      <c r="E32" s="106">
        <v>9</v>
      </c>
      <c r="F32" s="106">
        <v>9</v>
      </c>
      <c r="G32" s="99"/>
      <c r="H32" s="84"/>
      <c r="I32" s="83"/>
      <c r="J32" s="83"/>
      <c r="K32" s="83"/>
      <c r="L32" s="83"/>
      <c r="M32" s="83"/>
      <c r="N32" s="83"/>
      <c r="O32" s="83"/>
    </row>
    <row r="33" spans="1:15" customFormat="1" ht="18.75" customHeight="1" x14ac:dyDescent="0.3">
      <c r="A33" s="85" t="s">
        <v>387</v>
      </c>
      <c r="B33" s="85">
        <v>5</v>
      </c>
      <c r="C33" s="85">
        <v>0</v>
      </c>
      <c r="D33" s="85">
        <v>397</v>
      </c>
      <c r="E33" s="85">
        <v>304</v>
      </c>
      <c r="F33" s="85">
        <v>706</v>
      </c>
      <c r="G33" s="99"/>
      <c r="H33" s="84"/>
      <c r="I33" s="83"/>
      <c r="J33" s="83"/>
      <c r="K33" s="83"/>
      <c r="L33" s="83"/>
      <c r="M33" s="83"/>
      <c r="N33" s="83"/>
      <c r="O33" s="83"/>
    </row>
    <row r="34" spans="1:15" customFormat="1" ht="18.75" customHeight="1" x14ac:dyDescent="0.3">
      <c r="A34" s="88" t="s">
        <v>987</v>
      </c>
      <c r="B34" s="106">
        <v>0</v>
      </c>
      <c r="C34" s="106">
        <v>0</v>
      </c>
      <c r="D34" s="106">
        <v>157</v>
      </c>
      <c r="E34" s="106">
        <v>167</v>
      </c>
      <c r="F34" s="106">
        <v>324</v>
      </c>
      <c r="G34" s="99"/>
      <c r="H34" s="84"/>
      <c r="I34" s="83"/>
      <c r="J34" s="83"/>
      <c r="K34" s="83"/>
      <c r="L34" s="83"/>
      <c r="M34" s="83"/>
      <c r="N34" s="83"/>
      <c r="O34" s="83"/>
    </row>
    <row r="35" spans="1:15" customFormat="1" ht="18.75" customHeight="1" x14ac:dyDescent="0.3">
      <c r="A35" s="88" t="s">
        <v>1082</v>
      </c>
      <c r="B35" s="106">
        <v>0</v>
      </c>
      <c r="C35" s="106">
        <v>0</v>
      </c>
      <c r="D35" s="106">
        <v>91</v>
      </c>
      <c r="E35" s="106">
        <v>0</v>
      </c>
      <c r="F35" s="106">
        <v>91</v>
      </c>
      <c r="G35" s="99"/>
      <c r="H35" s="84"/>
      <c r="I35" s="83"/>
      <c r="J35" s="83"/>
      <c r="K35" s="83"/>
      <c r="L35" s="83"/>
      <c r="M35" s="83"/>
      <c r="N35" s="83"/>
      <c r="O35" s="83"/>
    </row>
    <row r="36" spans="1:15" customFormat="1" ht="18.75" customHeight="1" x14ac:dyDescent="0.3">
      <c r="A36" s="109" t="s">
        <v>989</v>
      </c>
      <c r="B36" s="106">
        <v>0</v>
      </c>
      <c r="C36" s="106">
        <v>0</v>
      </c>
      <c r="D36" s="106">
        <v>10</v>
      </c>
      <c r="E36" s="106">
        <v>0</v>
      </c>
      <c r="F36" s="106">
        <v>10</v>
      </c>
      <c r="G36" s="99"/>
      <c r="H36" s="84"/>
      <c r="I36" s="83"/>
      <c r="J36" s="83"/>
      <c r="K36" s="83"/>
      <c r="L36" s="83"/>
      <c r="M36" s="83"/>
      <c r="N36" s="83"/>
      <c r="O36" s="83"/>
    </row>
    <row r="37" spans="1:15" customFormat="1" ht="18.75" customHeight="1" x14ac:dyDescent="0.3">
      <c r="A37" s="109" t="s">
        <v>1083</v>
      </c>
      <c r="B37" s="106">
        <v>0</v>
      </c>
      <c r="C37" s="106">
        <v>0</v>
      </c>
      <c r="D37" s="106">
        <v>37</v>
      </c>
      <c r="E37" s="106">
        <v>0</v>
      </c>
      <c r="F37" s="106">
        <v>37</v>
      </c>
      <c r="G37" s="99"/>
      <c r="H37" s="84"/>
      <c r="I37" s="83"/>
      <c r="J37" s="83"/>
      <c r="K37" s="83"/>
      <c r="L37" s="83"/>
      <c r="M37" s="83"/>
      <c r="N37" s="83"/>
      <c r="O37" s="83"/>
    </row>
    <row r="38" spans="1:15" customFormat="1" ht="18.75" customHeight="1" x14ac:dyDescent="0.3">
      <c r="A38" s="109" t="s">
        <v>1084</v>
      </c>
      <c r="B38" s="106">
        <v>0</v>
      </c>
      <c r="C38" s="106">
        <v>0</v>
      </c>
      <c r="D38" s="106">
        <v>13</v>
      </c>
      <c r="E38" s="106">
        <v>137</v>
      </c>
      <c r="F38" s="106">
        <v>150</v>
      </c>
      <c r="G38" s="99"/>
      <c r="H38" s="84"/>
      <c r="I38" s="83"/>
      <c r="J38" s="83"/>
      <c r="K38" s="83"/>
      <c r="L38" s="83"/>
      <c r="M38" s="83"/>
      <c r="N38" s="83"/>
      <c r="O38" s="83"/>
    </row>
    <row r="39" spans="1:15" customFormat="1" ht="18.75" customHeight="1" x14ac:dyDescent="0.3">
      <c r="A39" s="88" t="s">
        <v>1085</v>
      </c>
      <c r="B39" s="106">
        <v>0</v>
      </c>
      <c r="C39" s="106">
        <v>0</v>
      </c>
      <c r="D39" s="106">
        <v>14</v>
      </c>
      <c r="E39" s="106">
        <v>0</v>
      </c>
      <c r="F39" s="106">
        <v>14</v>
      </c>
      <c r="G39" s="99"/>
      <c r="H39" s="84"/>
      <c r="I39" s="83"/>
      <c r="J39" s="83"/>
      <c r="K39" s="83"/>
      <c r="L39" s="83"/>
      <c r="M39" s="83"/>
      <c r="N39" s="83"/>
      <c r="O39" s="83"/>
    </row>
    <row r="40" spans="1:15" customFormat="1" ht="18.75" customHeight="1" x14ac:dyDescent="0.3">
      <c r="A40" s="109" t="s">
        <v>1086</v>
      </c>
      <c r="B40" s="106">
        <v>0</v>
      </c>
      <c r="C40" s="106">
        <v>0</v>
      </c>
      <c r="D40" s="106">
        <v>35</v>
      </c>
      <c r="E40" s="106">
        <v>0</v>
      </c>
      <c r="F40" s="106">
        <v>35</v>
      </c>
      <c r="G40" s="99"/>
      <c r="H40" s="84"/>
      <c r="I40" s="83"/>
      <c r="J40" s="83"/>
      <c r="K40" s="83"/>
      <c r="L40" s="83"/>
      <c r="M40" s="83"/>
      <c r="N40" s="83"/>
      <c r="O40" s="83"/>
    </row>
    <row r="41" spans="1:15" customFormat="1" ht="18.75" customHeight="1" x14ac:dyDescent="0.3">
      <c r="A41" s="88" t="s">
        <v>401</v>
      </c>
      <c r="B41" s="106">
        <v>0</v>
      </c>
      <c r="C41" s="106">
        <v>0</v>
      </c>
      <c r="D41" s="106">
        <v>40</v>
      </c>
      <c r="E41" s="106">
        <v>0</v>
      </c>
      <c r="F41" s="106">
        <v>40</v>
      </c>
      <c r="G41" s="99"/>
      <c r="H41" s="84"/>
      <c r="I41" s="83"/>
      <c r="J41" s="83"/>
      <c r="K41" s="83"/>
      <c r="L41" s="83"/>
      <c r="M41" s="83"/>
      <c r="N41" s="83"/>
      <c r="O41" s="83"/>
    </row>
    <row r="42" spans="1:15" customFormat="1" ht="18.75" customHeight="1" x14ac:dyDescent="0.3">
      <c r="A42" s="109" t="s">
        <v>1087</v>
      </c>
      <c r="B42" s="106">
        <v>5</v>
      </c>
      <c r="C42" s="106">
        <v>0</v>
      </c>
      <c r="D42" s="106">
        <v>0</v>
      </c>
      <c r="E42" s="106">
        <v>0</v>
      </c>
      <c r="F42" s="106">
        <v>5</v>
      </c>
      <c r="G42" s="99"/>
      <c r="H42" s="84"/>
      <c r="I42" s="83"/>
      <c r="J42" s="83"/>
      <c r="K42" s="83"/>
      <c r="L42" s="83"/>
      <c r="M42" s="83"/>
      <c r="N42" s="83"/>
      <c r="O42" s="83"/>
    </row>
    <row r="43" spans="1:15" customFormat="1" ht="18.75" customHeight="1" x14ac:dyDescent="0.3">
      <c r="A43" s="85" t="s">
        <v>993</v>
      </c>
      <c r="B43" s="85">
        <v>0</v>
      </c>
      <c r="C43" s="85">
        <v>0</v>
      </c>
      <c r="D43" s="85">
        <v>37</v>
      </c>
      <c r="E43" s="85">
        <v>252</v>
      </c>
      <c r="F43" s="85">
        <v>289</v>
      </c>
      <c r="G43" s="99"/>
      <c r="H43" s="84"/>
      <c r="I43" s="83"/>
      <c r="J43" s="83"/>
      <c r="K43" s="83"/>
      <c r="L43" s="83"/>
      <c r="M43" s="83"/>
      <c r="N43" s="83"/>
      <c r="O43" s="83"/>
    </row>
    <row r="44" spans="1:15" customFormat="1" ht="18.75" customHeight="1" x14ac:dyDescent="0.3">
      <c r="A44" s="109" t="s">
        <v>1088</v>
      </c>
      <c r="B44" s="106">
        <v>0</v>
      </c>
      <c r="C44" s="106">
        <v>0</v>
      </c>
      <c r="D44" s="106">
        <v>0</v>
      </c>
      <c r="E44" s="106">
        <v>50</v>
      </c>
      <c r="F44" s="106">
        <v>50</v>
      </c>
      <c r="G44" s="99"/>
      <c r="H44" s="84"/>
      <c r="I44" s="83"/>
      <c r="J44" s="83"/>
      <c r="K44" s="83"/>
      <c r="L44" s="83"/>
      <c r="M44" s="83"/>
      <c r="N44" s="83"/>
      <c r="O44" s="83"/>
    </row>
    <row r="45" spans="1:15" customFormat="1" ht="18.75" customHeight="1" x14ac:dyDescent="0.3">
      <c r="A45" s="109" t="s">
        <v>997</v>
      </c>
      <c r="B45" s="106">
        <v>0</v>
      </c>
      <c r="C45" s="106">
        <v>0</v>
      </c>
      <c r="D45" s="106">
        <v>12</v>
      </c>
      <c r="E45" s="106">
        <v>0</v>
      </c>
      <c r="F45" s="106">
        <v>12</v>
      </c>
      <c r="G45" s="99"/>
      <c r="H45" s="84"/>
      <c r="I45" s="83"/>
      <c r="J45" s="83"/>
      <c r="K45" s="83"/>
      <c r="L45" s="83"/>
      <c r="M45" s="83"/>
      <c r="N45" s="83"/>
      <c r="O45" s="83"/>
    </row>
    <row r="46" spans="1:15" customFormat="1" ht="18.75" customHeight="1" x14ac:dyDescent="0.3">
      <c r="A46" s="88" t="s">
        <v>1089</v>
      </c>
      <c r="B46" s="106">
        <v>0</v>
      </c>
      <c r="C46" s="106">
        <v>0</v>
      </c>
      <c r="D46" s="106">
        <v>19</v>
      </c>
      <c r="E46" s="106">
        <v>0</v>
      </c>
      <c r="F46" s="106">
        <v>19</v>
      </c>
      <c r="G46" s="99"/>
      <c r="H46" s="84"/>
      <c r="I46" s="83"/>
      <c r="J46" s="83"/>
      <c r="K46" s="83"/>
      <c r="L46" s="83"/>
      <c r="M46" s="83"/>
      <c r="N46" s="83"/>
      <c r="O46" s="83"/>
    </row>
    <row r="47" spans="1:15" customFormat="1" ht="18.75" customHeight="1" x14ac:dyDescent="0.3">
      <c r="A47" s="88" t="s">
        <v>1090</v>
      </c>
      <c r="B47" s="106">
        <v>0</v>
      </c>
      <c r="C47" s="106">
        <v>0</v>
      </c>
      <c r="D47" s="106">
        <v>0</v>
      </c>
      <c r="E47" s="106">
        <v>48</v>
      </c>
      <c r="F47" s="106">
        <v>48</v>
      </c>
      <c r="G47" s="99"/>
      <c r="H47" s="84"/>
      <c r="I47" s="83"/>
      <c r="J47" s="83"/>
      <c r="K47" s="83"/>
      <c r="L47" s="83"/>
      <c r="M47" s="83"/>
      <c r="N47" s="83"/>
      <c r="O47" s="83"/>
    </row>
    <row r="48" spans="1:15" customFormat="1" ht="18.75" customHeight="1" x14ac:dyDescent="0.3">
      <c r="A48" s="88" t="s">
        <v>1091</v>
      </c>
      <c r="B48" s="106">
        <v>0</v>
      </c>
      <c r="C48" s="106">
        <v>0</v>
      </c>
      <c r="D48" s="106">
        <v>0</v>
      </c>
      <c r="E48" s="106">
        <v>12</v>
      </c>
      <c r="F48" s="106">
        <v>12</v>
      </c>
      <c r="G48" s="99"/>
      <c r="H48" s="84"/>
      <c r="I48" s="83"/>
      <c r="J48" s="83"/>
      <c r="K48" s="83"/>
      <c r="L48" s="83"/>
      <c r="M48" s="83"/>
      <c r="N48" s="83"/>
      <c r="O48" s="83"/>
    </row>
    <row r="49" spans="1:15" customFormat="1" ht="18.75" customHeight="1" x14ac:dyDescent="0.3">
      <c r="A49" s="88" t="s">
        <v>1092</v>
      </c>
      <c r="B49" s="106">
        <v>0</v>
      </c>
      <c r="C49" s="106">
        <v>0</v>
      </c>
      <c r="D49" s="106">
        <v>0</v>
      </c>
      <c r="E49" s="106">
        <v>14</v>
      </c>
      <c r="F49" s="106">
        <v>14</v>
      </c>
      <c r="G49" s="99"/>
      <c r="H49" s="84"/>
      <c r="I49" s="83"/>
      <c r="J49" s="83"/>
      <c r="K49" s="83"/>
      <c r="L49" s="83"/>
      <c r="M49" s="83"/>
      <c r="N49" s="83"/>
      <c r="O49" s="83"/>
    </row>
    <row r="50" spans="1:15" customFormat="1" ht="18.75" customHeight="1" x14ac:dyDescent="0.3">
      <c r="A50" s="88" t="s">
        <v>499</v>
      </c>
      <c r="B50" s="106">
        <v>0</v>
      </c>
      <c r="C50" s="106">
        <v>0</v>
      </c>
      <c r="D50" s="106">
        <v>0</v>
      </c>
      <c r="E50" s="106">
        <v>26</v>
      </c>
      <c r="F50" s="106">
        <v>26</v>
      </c>
      <c r="G50" s="99"/>
      <c r="H50" s="84"/>
      <c r="I50" s="83"/>
      <c r="J50" s="83"/>
      <c r="K50" s="83"/>
      <c r="L50" s="83"/>
      <c r="M50" s="83"/>
      <c r="N50" s="83"/>
      <c r="O50" s="83"/>
    </row>
    <row r="51" spans="1:15" customFormat="1" ht="18.75" customHeight="1" x14ac:dyDescent="0.3">
      <c r="A51" s="88" t="s">
        <v>1002</v>
      </c>
      <c r="B51" s="106">
        <v>0</v>
      </c>
      <c r="C51" s="106">
        <v>0</v>
      </c>
      <c r="D51" s="106">
        <v>6</v>
      </c>
      <c r="E51" s="106">
        <v>0</v>
      </c>
      <c r="F51" s="106">
        <v>6</v>
      </c>
      <c r="G51" s="99"/>
      <c r="H51" s="84"/>
      <c r="I51" s="83"/>
      <c r="J51" s="83"/>
      <c r="K51" s="83"/>
      <c r="L51" s="83"/>
      <c r="M51" s="83"/>
      <c r="N51" s="83"/>
      <c r="O51" s="83"/>
    </row>
    <row r="52" spans="1:15" customFormat="1" ht="18.75" customHeight="1" x14ac:dyDescent="0.3">
      <c r="A52" s="109" t="s">
        <v>1093</v>
      </c>
      <c r="B52" s="106">
        <v>0</v>
      </c>
      <c r="C52" s="106">
        <v>0</v>
      </c>
      <c r="D52" s="106">
        <v>0</v>
      </c>
      <c r="E52" s="106">
        <v>1</v>
      </c>
      <c r="F52" s="106">
        <v>1</v>
      </c>
      <c r="G52" s="99"/>
      <c r="H52" s="84"/>
      <c r="I52" s="83"/>
      <c r="J52" s="83"/>
      <c r="K52" s="83"/>
      <c r="L52" s="83"/>
      <c r="M52" s="83"/>
      <c r="N52" s="83"/>
      <c r="O52" s="83"/>
    </row>
    <row r="53" spans="1:15" customFormat="1" ht="18.75" customHeight="1" x14ac:dyDescent="0.3">
      <c r="A53" s="88" t="s">
        <v>1094</v>
      </c>
      <c r="B53" s="106">
        <v>0</v>
      </c>
      <c r="C53" s="106">
        <v>0</v>
      </c>
      <c r="D53" s="106">
        <v>0</v>
      </c>
      <c r="E53" s="106">
        <v>5</v>
      </c>
      <c r="F53" s="106">
        <v>5</v>
      </c>
      <c r="G53" s="99"/>
      <c r="H53" s="84"/>
      <c r="I53" s="83"/>
      <c r="J53" s="83"/>
      <c r="K53" s="83"/>
      <c r="L53" s="83"/>
      <c r="M53" s="83"/>
      <c r="N53" s="83"/>
      <c r="O53" s="83"/>
    </row>
    <row r="54" spans="1:15" customFormat="1" ht="18.75" customHeight="1" x14ac:dyDescent="0.3">
      <c r="A54" s="109" t="s">
        <v>1005</v>
      </c>
      <c r="B54" s="106">
        <v>0</v>
      </c>
      <c r="C54" s="106">
        <v>0</v>
      </c>
      <c r="D54" s="106">
        <v>0</v>
      </c>
      <c r="E54" s="106">
        <v>96</v>
      </c>
      <c r="F54" s="106">
        <v>96</v>
      </c>
      <c r="G54" s="99"/>
      <c r="H54" s="84"/>
      <c r="I54" s="83"/>
      <c r="J54" s="83"/>
      <c r="K54" s="83"/>
      <c r="L54" s="83"/>
      <c r="M54" s="83"/>
      <c r="N54" s="83"/>
      <c r="O54" s="83"/>
    </row>
    <row r="55" spans="1:15" customFormat="1" ht="18.75" customHeight="1" x14ac:dyDescent="0.3">
      <c r="A55" s="85" t="s">
        <v>1008</v>
      </c>
      <c r="B55" s="85">
        <v>26</v>
      </c>
      <c r="C55" s="85">
        <v>213</v>
      </c>
      <c r="D55" s="85">
        <v>5321</v>
      </c>
      <c r="E55" s="85">
        <v>895</v>
      </c>
      <c r="F55" s="85">
        <v>6455</v>
      </c>
      <c r="G55" s="99"/>
      <c r="H55" s="84"/>
      <c r="I55" s="83"/>
      <c r="J55" s="83"/>
      <c r="K55" s="83"/>
      <c r="L55" s="83"/>
      <c r="M55" s="83"/>
      <c r="N55" s="83"/>
      <c r="O55" s="83"/>
    </row>
    <row r="56" spans="1:15" customFormat="1" ht="18.75" customHeight="1" x14ac:dyDescent="0.3">
      <c r="A56" s="109" t="s">
        <v>1009</v>
      </c>
      <c r="B56" s="106">
        <v>0</v>
      </c>
      <c r="C56" s="106">
        <v>0</v>
      </c>
      <c r="D56" s="106">
        <v>0</v>
      </c>
      <c r="E56" s="106">
        <v>116</v>
      </c>
      <c r="F56" s="106">
        <v>116</v>
      </c>
      <c r="G56" s="99"/>
      <c r="H56" s="84"/>
      <c r="I56" s="83"/>
      <c r="J56" s="83"/>
      <c r="K56" s="83"/>
      <c r="L56" s="83"/>
      <c r="M56" s="83"/>
      <c r="N56" s="83"/>
      <c r="O56" s="83"/>
    </row>
    <row r="57" spans="1:15" customFormat="1" ht="18.75" customHeight="1" x14ac:dyDescent="0.3">
      <c r="A57" s="109" t="s">
        <v>1095</v>
      </c>
      <c r="B57" s="106">
        <v>0</v>
      </c>
      <c r="C57" s="106">
        <v>0</v>
      </c>
      <c r="D57" s="106">
        <v>510</v>
      </c>
      <c r="E57" s="106">
        <v>0</v>
      </c>
      <c r="F57" s="106">
        <v>510</v>
      </c>
      <c r="G57" s="99"/>
      <c r="H57" s="84"/>
      <c r="I57" s="83"/>
      <c r="J57" s="83"/>
      <c r="K57" s="83"/>
      <c r="L57" s="83"/>
      <c r="M57" s="83"/>
      <c r="N57" s="83"/>
      <c r="O57" s="83"/>
    </row>
    <row r="58" spans="1:15" customFormat="1" ht="18.75" customHeight="1" x14ac:dyDescent="0.3">
      <c r="A58" s="109" t="s">
        <v>1096</v>
      </c>
      <c r="B58" s="106">
        <v>26</v>
      </c>
      <c r="C58" s="106">
        <v>0</v>
      </c>
      <c r="D58" s="106">
        <v>0</v>
      </c>
      <c r="E58" s="106">
        <v>0</v>
      </c>
      <c r="F58" s="106">
        <v>26</v>
      </c>
      <c r="G58" s="99"/>
      <c r="H58" s="84"/>
      <c r="I58" s="83"/>
      <c r="J58" s="83"/>
      <c r="K58" s="83"/>
      <c r="L58" s="83"/>
      <c r="M58" s="83"/>
      <c r="N58" s="83"/>
      <c r="O58" s="83"/>
    </row>
    <row r="59" spans="1:15" customFormat="1" ht="16.5" customHeight="1" x14ac:dyDescent="0.3">
      <c r="A59" s="109" t="s">
        <v>1010</v>
      </c>
      <c r="B59" s="106">
        <v>0</v>
      </c>
      <c r="C59" s="106">
        <v>0</v>
      </c>
      <c r="D59" s="106">
        <v>180</v>
      </c>
      <c r="E59" s="106">
        <v>25</v>
      </c>
      <c r="F59" s="106">
        <v>205</v>
      </c>
      <c r="G59" s="99"/>
      <c r="H59" s="84"/>
      <c r="I59" s="83"/>
      <c r="J59" s="83"/>
      <c r="K59" s="83"/>
      <c r="L59" s="83"/>
      <c r="M59" s="83"/>
      <c r="N59" s="83"/>
      <c r="O59" s="83"/>
    </row>
    <row r="60" spans="1:15" customFormat="1" ht="16.5" customHeight="1" x14ac:dyDescent="0.3">
      <c r="A60" s="88" t="s">
        <v>1011</v>
      </c>
      <c r="B60" s="106">
        <v>0</v>
      </c>
      <c r="C60" s="106">
        <v>40</v>
      </c>
      <c r="D60" s="106">
        <v>28</v>
      </c>
      <c r="E60" s="106">
        <v>0</v>
      </c>
      <c r="F60" s="106">
        <v>68</v>
      </c>
      <c r="G60" s="99"/>
      <c r="H60" s="84"/>
      <c r="I60" s="83"/>
      <c r="J60" s="83"/>
      <c r="K60" s="83"/>
      <c r="L60" s="83"/>
      <c r="M60" s="83"/>
      <c r="N60" s="83"/>
      <c r="O60" s="83"/>
    </row>
    <row r="61" spans="1:15" customFormat="1" ht="16.5" customHeight="1" x14ac:dyDescent="0.3">
      <c r="A61" s="88" t="s">
        <v>1097</v>
      </c>
      <c r="B61" s="106">
        <v>0</v>
      </c>
      <c r="C61" s="106">
        <v>0</v>
      </c>
      <c r="D61" s="106">
        <v>50</v>
      </c>
      <c r="E61" s="106">
        <v>0</v>
      </c>
      <c r="F61" s="106">
        <v>50</v>
      </c>
      <c r="G61" s="99"/>
      <c r="H61" s="84"/>
      <c r="I61" s="83"/>
      <c r="J61" s="83"/>
      <c r="K61" s="83"/>
      <c r="L61" s="83"/>
      <c r="M61" s="83"/>
      <c r="N61" s="83"/>
      <c r="O61" s="83"/>
    </row>
    <row r="62" spans="1:15" customFormat="1" ht="18.75" customHeight="1" x14ac:dyDescent="0.3">
      <c r="A62" s="109" t="s">
        <v>1098</v>
      </c>
      <c r="B62" s="106">
        <v>0</v>
      </c>
      <c r="C62" s="106">
        <v>0</v>
      </c>
      <c r="D62" s="106">
        <v>34</v>
      </c>
      <c r="E62" s="106">
        <v>0</v>
      </c>
      <c r="F62" s="106">
        <v>34</v>
      </c>
      <c r="G62" s="99"/>
      <c r="H62" s="84"/>
      <c r="I62" s="83"/>
      <c r="J62" s="83"/>
      <c r="K62" s="83"/>
      <c r="L62" s="83"/>
      <c r="M62" s="83"/>
      <c r="N62" s="83"/>
      <c r="O62" s="83"/>
    </row>
    <row r="63" spans="1:15" customFormat="1" ht="16.5" customHeight="1" x14ac:dyDescent="0.3">
      <c r="A63" s="88" t="s">
        <v>1012</v>
      </c>
      <c r="B63" s="106">
        <v>0</v>
      </c>
      <c r="C63" s="106">
        <v>0</v>
      </c>
      <c r="D63" s="106">
        <v>32</v>
      </c>
      <c r="E63" s="106">
        <v>0</v>
      </c>
      <c r="F63" s="106">
        <v>32</v>
      </c>
      <c r="G63" s="99"/>
      <c r="H63" s="84"/>
      <c r="I63" s="83"/>
      <c r="J63" s="83"/>
      <c r="K63" s="83"/>
      <c r="L63" s="83"/>
      <c r="M63" s="83"/>
      <c r="N63" s="83"/>
      <c r="O63" s="83"/>
    </row>
    <row r="64" spans="1:15" customFormat="1" ht="16.5" customHeight="1" x14ac:dyDescent="0.3">
      <c r="A64" s="88" t="s">
        <v>1013</v>
      </c>
      <c r="B64" s="106">
        <v>0</v>
      </c>
      <c r="C64" s="106">
        <v>0</v>
      </c>
      <c r="D64" s="106">
        <v>2500</v>
      </c>
      <c r="E64" s="106">
        <v>0</v>
      </c>
      <c r="F64" s="106">
        <v>2500</v>
      </c>
      <c r="G64" s="99"/>
      <c r="H64" s="84"/>
      <c r="I64" s="83"/>
      <c r="J64" s="83"/>
      <c r="K64" s="83"/>
      <c r="L64" s="83"/>
      <c r="M64" s="83"/>
      <c r="N64" s="83"/>
      <c r="O64" s="83"/>
    </row>
    <row r="65" spans="1:15" customFormat="1" ht="16.5" customHeight="1" x14ac:dyDescent="0.3">
      <c r="A65" s="88" t="s">
        <v>1014</v>
      </c>
      <c r="B65" s="106">
        <v>0</v>
      </c>
      <c r="C65" s="106">
        <v>0</v>
      </c>
      <c r="D65" s="106">
        <v>40</v>
      </c>
      <c r="E65" s="106">
        <v>0</v>
      </c>
      <c r="F65" s="106">
        <v>40</v>
      </c>
      <c r="G65" s="99"/>
      <c r="H65" s="84"/>
      <c r="I65" s="83"/>
      <c r="J65" s="83"/>
      <c r="K65" s="83"/>
      <c r="L65" s="83"/>
      <c r="M65" s="83"/>
      <c r="N65" s="83"/>
      <c r="O65" s="83"/>
    </row>
    <row r="66" spans="1:15" customFormat="1" ht="18.75" customHeight="1" x14ac:dyDescent="0.3">
      <c r="A66" s="109" t="s">
        <v>1099</v>
      </c>
      <c r="B66" s="106">
        <v>0</v>
      </c>
      <c r="C66" s="106">
        <v>0</v>
      </c>
      <c r="D66" s="106">
        <v>114</v>
      </c>
      <c r="E66" s="106">
        <v>0</v>
      </c>
      <c r="F66" s="106">
        <v>114</v>
      </c>
      <c r="G66" s="99"/>
      <c r="H66" s="84"/>
      <c r="I66" s="83"/>
      <c r="J66" s="83"/>
      <c r="K66" s="83"/>
      <c r="L66" s="83"/>
      <c r="M66" s="83"/>
      <c r="N66" s="83"/>
      <c r="O66" s="83"/>
    </row>
    <row r="67" spans="1:15" customFormat="1" ht="16.5" customHeight="1" x14ac:dyDescent="0.3">
      <c r="A67" s="88" t="s">
        <v>1016</v>
      </c>
      <c r="B67" s="106">
        <v>0</v>
      </c>
      <c r="C67" s="106">
        <v>0</v>
      </c>
      <c r="D67" s="106">
        <v>60</v>
      </c>
      <c r="E67" s="106">
        <v>64</v>
      </c>
      <c r="F67" s="106">
        <v>124</v>
      </c>
      <c r="G67" s="99"/>
      <c r="H67" s="84"/>
      <c r="I67" s="83"/>
      <c r="J67" s="83"/>
      <c r="K67" s="83"/>
      <c r="L67" s="83"/>
      <c r="M67" s="83"/>
      <c r="N67" s="83"/>
      <c r="O67" s="83"/>
    </row>
    <row r="68" spans="1:15" customFormat="1" ht="16.5" customHeight="1" x14ac:dyDescent="0.3">
      <c r="A68" s="88" t="s">
        <v>1100</v>
      </c>
      <c r="B68" s="106">
        <v>0</v>
      </c>
      <c r="C68" s="106">
        <v>13</v>
      </c>
      <c r="D68" s="106">
        <v>0</v>
      </c>
      <c r="E68" s="106">
        <v>40</v>
      </c>
      <c r="F68" s="106">
        <v>53</v>
      </c>
      <c r="G68" s="99"/>
      <c r="H68" s="84"/>
      <c r="I68" s="83"/>
      <c r="J68" s="83"/>
      <c r="K68" s="83"/>
      <c r="L68" s="83"/>
      <c r="M68" s="83"/>
      <c r="N68" s="83"/>
      <c r="O68" s="83"/>
    </row>
    <row r="69" spans="1:15" customFormat="1" ht="16.5" customHeight="1" x14ac:dyDescent="0.3">
      <c r="A69" s="88" t="s">
        <v>1101</v>
      </c>
      <c r="B69" s="106">
        <v>0</v>
      </c>
      <c r="C69" s="106">
        <v>60</v>
      </c>
      <c r="D69" s="106">
        <v>250</v>
      </c>
      <c r="E69" s="106">
        <v>0</v>
      </c>
      <c r="F69" s="106">
        <v>310</v>
      </c>
      <c r="G69" s="99"/>
      <c r="H69" s="84"/>
      <c r="I69" s="83"/>
      <c r="J69" s="83"/>
      <c r="K69" s="83"/>
      <c r="L69" s="83"/>
      <c r="M69" s="83"/>
      <c r="N69" s="83"/>
      <c r="O69" s="83"/>
    </row>
    <row r="70" spans="1:15" customFormat="1" ht="18.75" customHeight="1" x14ac:dyDescent="0.3">
      <c r="A70" s="88" t="s">
        <v>1102</v>
      </c>
      <c r="B70" s="106">
        <v>0</v>
      </c>
      <c r="C70" s="106">
        <v>0</v>
      </c>
      <c r="D70" s="106">
        <v>310</v>
      </c>
      <c r="E70" s="106">
        <v>0</v>
      </c>
      <c r="F70" s="106">
        <v>310</v>
      </c>
      <c r="G70" s="99"/>
      <c r="H70" s="84"/>
      <c r="I70" s="83"/>
      <c r="J70" s="83"/>
      <c r="K70" s="83"/>
      <c r="L70" s="83"/>
      <c r="M70" s="83"/>
      <c r="N70" s="83"/>
      <c r="O70" s="83"/>
    </row>
    <row r="71" spans="1:15" customFormat="1" ht="18.75" customHeight="1" x14ac:dyDescent="0.3">
      <c r="A71" s="88" t="s">
        <v>1017</v>
      </c>
      <c r="B71" s="106">
        <v>0</v>
      </c>
      <c r="C71" s="106">
        <v>0</v>
      </c>
      <c r="D71" s="106">
        <v>150</v>
      </c>
      <c r="E71" s="106">
        <v>0</v>
      </c>
      <c r="F71" s="106">
        <v>150</v>
      </c>
      <c r="G71" s="99"/>
      <c r="H71" s="84"/>
      <c r="I71" s="83"/>
      <c r="J71" s="83"/>
      <c r="K71" s="83"/>
      <c r="L71" s="83"/>
      <c r="M71" s="83"/>
      <c r="N71" s="83"/>
      <c r="O71" s="83"/>
    </row>
    <row r="72" spans="1:15" customFormat="1" ht="18.75" customHeight="1" x14ac:dyDescent="0.3">
      <c r="A72" s="88" t="s">
        <v>1018</v>
      </c>
      <c r="B72" s="106">
        <v>0</v>
      </c>
      <c r="C72" s="106">
        <v>0</v>
      </c>
      <c r="D72" s="106">
        <v>16</v>
      </c>
      <c r="E72" s="106">
        <v>0</v>
      </c>
      <c r="F72" s="106">
        <v>16</v>
      </c>
      <c r="G72" s="99"/>
      <c r="H72" s="84"/>
      <c r="I72" s="83"/>
      <c r="J72" s="83"/>
      <c r="K72" s="83"/>
      <c r="L72" s="83"/>
      <c r="M72" s="83"/>
      <c r="N72" s="83"/>
      <c r="O72" s="83"/>
    </row>
    <row r="73" spans="1:15" customFormat="1" ht="18.75" customHeight="1" x14ac:dyDescent="0.3">
      <c r="A73" s="88" t="s">
        <v>1103</v>
      </c>
      <c r="B73" s="106">
        <v>0</v>
      </c>
      <c r="C73" s="106">
        <v>100</v>
      </c>
      <c r="D73" s="106">
        <v>150</v>
      </c>
      <c r="E73" s="106">
        <v>0</v>
      </c>
      <c r="F73" s="106">
        <v>250</v>
      </c>
      <c r="G73" s="99"/>
      <c r="H73" s="84"/>
      <c r="I73" s="83"/>
      <c r="J73" s="83"/>
      <c r="K73" s="83"/>
      <c r="L73" s="83"/>
      <c r="M73" s="83"/>
      <c r="N73" s="83"/>
      <c r="O73" s="83"/>
    </row>
    <row r="74" spans="1:15" customFormat="1" ht="18.75" customHeight="1" x14ac:dyDescent="0.3">
      <c r="A74" s="88" t="s">
        <v>1019</v>
      </c>
      <c r="B74" s="106">
        <v>0</v>
      </c>
      <c r="C74" s="106">
        <v>0</v>
      </c>
      <c r="D74" s="106">
        <v>0</v>
      </c>
      <c r="E74" s="106">
        <v>500</v>
      </c>
      <c r="F74" s="106">
        <v>500</v>
      </c>
      <c r="G74" s="99"/>
      <c r="H74" s="84"/>
      <c r="I74" s="83"/>
      <c r="J74" s="83"/>
      <c r="K74" s="83"/>
      <c r="L74" s="83"/>
      <c r="M74" s="83"/>
      <c r="N74" s="83"/>
      <c r="O74" s="83"/>
    </row>
    <row r="75" spans="1:15" customFormat="1" ht="18.75" customHeight="1" x14ac:dyDescent="0.3">
      <c r="A75" s="88" t="s">
        <v>1020</v>
      </c>
      <c r="B75" s="106">
        <v>0</v>
      </c>
      <c r="C75" s="106">
        <v>0</v>
      </c>
      <c r="D75" s="106">
        <v>167</v>
      </c>
      <c r="E75" s="106">
        <v>0</v>
      </c>
      <c r="F75" s="106">
        <v>167</v>
      </c>
      <c r="G75" s="99"/>
      <c r="H75" s="84"/>
      <c r="I75" s="83"/>
      <c r="J75" s="83"/>
      <c r="K75" s="83"/>
      <c r="L75" s="83"/>
      <c r="M75" s="83"/>
      <c r="N75" s="83"/>
      <c r="O75" s="83"/>
    </row>
    <row r="76" spans="1:15" customFormat="1" ht="18.75" customHeight="1" x14ac:dyDescent="0.3">
      <c r="A76" s="88" t="s">
        <v>1021</v>
      </c>
      <c r="B76" s="106">
        <v>0</v>
      </c>
      <c r="C76" s="106">
        <v>0</v>
      </c>
      <c r="D76" s="106">
        <v>580</v>
      </c>
      <c r="E76" s="106">
        <v>0</v>
      </c>
      <c r="F76" s="106">
        <v>580</v>
      </c>
      <c r="G76" s="99"/>
      <c r="H76" s="84"/>
      <c r="I76" s="83"/>
      <c r="J76" s="83"/>
      <c r="K76" s="83"/>
      <c r="L76" s="83"/>
      <c r="M76" s="83"/>
      <c r="N76" s="83"/>
      <c r="O76" s="83"/>
    </row>
    <row r="77" spans="1:15" customFormat="1" ht="18.75" customHeight="1" x14ac:dyDescent="0.3">
      <c r="A77" s="88" t="s">
        <v>1022</v>
      </c>
      <c r="B77" s="106">
        <v>0</v>
      </c>
      <c r="C77" s="106">
        <v>0</v>
      </c>
      <c r="D77" s="106">
        <v>0</v>
      </c>
      <c r="E77" s="106">
        <v>150</v>
      </c>
      <c r="F77" s="106">
        <v>150</v>
      </c>
      <c r="G77" s="99"/>
      <c r="H77" s="84"/>
      <c r="I77" s="83"/>
      <c r="J77" s="83"/>
      <c r="K77" s="83"/>
      <c r="L77" s="83"/>
      <c r="M77" s="83"/>
      <c r="N77" s="83"/>
      <c r="O77" s="83"/>
    </row>
    <row r="78" spans="1:15" customFormat="1" ht="18.75" customHeight="1" x14ac:dyDescent="0.3">
      <c r="A78" s="88" t="s">
        <v>1104</v>
      </c>
      <c r="B78" s="106">
        <v>0</v>
      </c>
      <c r="C78" s="106">
        <v>0</v>
      </c>
      <c r="D78" s="106">
        <v>150</v>
      </c>
      <c r="E78" s="106">
        <v>0</v>
      </c>
      <c r="F78" s="106">
        <v>150</v>
      </c>
      <c r="G78" s="99"/>
      <c r="H78" s="84"/>
      <c r="I78" s="83"/>
      <c r="J78" s="83"/>
      <c r="K78" s="83"/>
      <c r="L78" s="83"/>
      <c r="M78" s="83"/>
      <c r="N78" s="83"/>
      <c r="O78" s="83"/>
    </row>
    <row r="79" spans="1:15" customFormat="1" ht="18.75" customHeight="1" x14ac:dyDescent="0.3">
      <c r="A79" s="85" t="s">
        <v>1023</v>
      </c>
      <c r="B79" s="85">
        <v>10</v>
      </c>
      <c r="C79" s="85">
        <v>11</v>
      </c>
      <c r="D79" s="85">
        <v>293</v>
      </c>
      <c r="E79" s="85">
        <v>821</v>
      </c>
      <c r="F79" s="85">
        <v>1135</v>
      </c>
      <c r="G79" s="99"/>
      <c r="H79" s="84"/>
      <c r="I79" s="83"/>
      <c r="J79" s="83"/>
      <c r="K79" s="83"/>
      <c r="L79" s="83"/>
      <c r="M79" s="83"/>
      <c r="N79" s="83"/>
      <c r="O79" s="83"/>
    </row>
    <row r="80" spans="1:15" customFormat="1" ht="18.75" customHeight="1" x14ac:dyDescent="0.3">
      <c r="A80" s="88" t="s">
        <v>1105</v>
      </c>
      <c r="B80" s="106">
        <v>0</v>
      </c>
      <c r="C80" s="106">
        <v>0</v>
      </c>
      <c r="D80" s="106">
        <v>29</v>
      </c>
      <c r="E80" s="106">
        <v>0</v>
      </c>
      <c r="F80" s="106">
        <v>29</v>
      </c>
      <c r="G80" s="99"/>
      <c r="H80" s="84"/>
      <c r="I80" s="83"/>
      <c r="J80" s="83"/>
      <c r="K80" s="83"/>
      <c r="L80" s="83"/>
      <c r="M80" s="83"/>
      <c r="N80" s="83"/>
      <c r="O80" s="83"/>
    </row>
    <row r="81" spans="1:15" customFormat="1" ht="18.75" customHeight="1" x14ac:dyDescent="0.3">
      <c r="A81" s="88" t="s">
        <v>1025</v>
      </c>
      <c r="B81" s="106">
        <v>0</v>
      </c>
      <c r="C81" s="106">
        <v>0</v>
      </c>
      <c r="D81" s="106">
        <v>16</v>
      </c>
      <c r="E81" s="106">
        <v>0</v>
      </c>
      <c r="F81" s="106">
        <v>16</v>
      </c>
      <c r="G81" s="99"/>
      <c r="H81" s="84"/>
      <c r="I81" s="83"/>
      <c r="J81" s="83"/>
      <c r="K81" s="83"/>
      <c r="L81" s="83"/>
      <c r="M81" s="83"/>
      <c r="N81" s="83"/>
      <c r="O81" s="83"/>
    </row>
    <row r="82" spans="1:15" customFormat="1" ht="18.75" customHeight="1" x14ac:dyDescent="0.3">
      <c r="A82" s="88" t="s">
        <v>1026</v>
      </c>
      <c r="B82" s="106">
        <v>0</v>
      </c>
      <c r="C82" s="106">
        <v>0</v>
      </c>
      <c r="D82" s="106">
        <v>50</v>
      </c>
      <c r="E82" s="106">
        <v>0</v>
      </c>
      <c r="F82" s="106">
        <v>50</v>
      </c>
      <c r="G82" s="99"/>
      <c r="H82" s="84"/>
      <c r="I82" s="83"/>
      <c r="J82" s="83"/>
      <c r="K82" s="83"/>
      <c r="L82" s="83"/>
      <c r="M82" s="83"/>
      <c r="N82" s="83"/>
      <c r="O82" s="83"/>
    </row>
    <row r="83" spans="1:15" customFormat="1" ht="18.75" customHeight="1" x14ac:dyDescent="0.3">
      <c r="A83" s="88" t="s">
        <v>1027</v>
      </c>
      <c r="B83" s="106">
        <v>0</v>
      </c>
      <c r="C83" s="106">
        <v>0</v>
      </c>
      <c r="D83" s="106">
        <v>0</v>
      </c>
      <c r="E83" s="106">
        <v>64</v>
      </c>
      <c r="F83" s="106">
        <v>64</v>
      </c>
      <c r="G83" s="99"/>
      <c r="H83" s="84"/>
      <c r="I83" s="83"/>
      <c r="J83" s="83"/>
      <c r="K83" s="83"/>
      <c r="L83" s="83"/>
      <c r="M83" s="83"/>
      <c r="N83" s="83"/>
      <c r="O83" s="83"/>
    </row>
    <row r="84" spans="1:15" customFormat="1" ht="18.75" customHeight="1" x14ac:dyDescent="0.3">
      <c r="A84" s="88" t="s">
        <v>1106</v>
      </c>
      <c r="B84" s="106">
        <v>0</v>
      </c>
      <c r="C84" s="106">
        <v>0</v>
      </c>
      <c r="D84" s="106">
        <v>0</v>
      </c>
      <c r="E84" s="106">
        <v>12</v>
      </c>
      <c r="F84" s="106">
        <v>12</v>
      </c>
      <c r="G84" s="99"/>
      <c r="H84" s="84"/>
      <c r="I84" s="83"/>
      <c r="J84" s="83"/>
      <c r="K84" s="83"/>
      <c r="L84" s="83"/>
      <c r="M84" s="83"/>
      <c r="N84" s="83"/>
      <c r="O84" s="83"/>
    </row>
    <row r="85" spans="1:15" customFormat="1" ht="18.75" customHeight="1" x14ac:dyDescent="0.3">
      <c r="A85" s="88" t="s">
        <v>1107</v>
      </c>
      <c r="B85" s="106">
        <v>0</v>
      </c>
      <c r="C85" s="106">
        <v>0</v>
      </c>
      <c r="D85" s="106">
        <v>0</v>
      </c>
      <c r="E85" s="106">
        <v>42</v>
      </c>
      <c r="F85" s="106">
        <v>42</v>
      </c>
      <c r="G85" s="99"/>
      <c r="H85" s="84"/>
      <c r="I85" s="83"/>
      <c r="J85" s="83"/>
      <c r="K85" s="83"/>
      <c r="L85" s="83"/>
      <c r="M85" s="83"/>
      <c r="N85" s="83"/>
      <c r="O85" s="83"/>
    </row>
    <row r="86" spans="1:15" customFormat="1" ht="18.75" customHeight="1" x14ac:dyDescent="0.3">
      <c r="A86" s="109" t="s">
        <v>1033</v>
      </c>
      <c r="B86" s="106">
        <v>0</v>
      </c>
      <c r="C86" s="106">
        <v>0</v>
      </c>
      <c r="D86" s="106">
        <v>0</v>
      </c>
      <c r="E86" s="106">
        <v>2</v>
      </c>
      <c r="F86" s="106">
        <v>2</v>
      </c>
      <c r="G86" s="99"/>
      <c r="H86" s="84"/>
      <c r="I86" s="83"/>
      <c r="J86" s="83"/>
      <c r="K86" s="83"/>
      <c r="L86" s="83"/>
      <c r="M86" s="83"/>
      <c r="N86" s="83"/>
      <c r="O86" s="83"/>
    </row>
    <row r="87" spans="1:15" customFormat="1" ht="18.75" customHeight="1" x14ac:dyDescent="0.3">
      <c r="A87" s="88" t="s">
        <v>1108</v>
      </c>
      <c r="B87" s="106">
        <v>0</v>
      </c>
      <c r="C87" s="106">
        <v>0</v>
      </c>
      <c r="D87" s="106">
        <v>0</v>
      </c>
      <c r="E87" s="106">
        <v>45</v>
      </c>
      <c r="F87" s="106">
        <v>45</v>
      </c>
      <c r="G87" s="99"/>
      <c r="H87" s="84"/>
      <c r="I87" s="83"/>
      <c r="J87" s="83"/>
      <c r="K87" s="83"/>
      <c r="L87" s="83"/>
      <c r="M87" s="83"/>
      <c r="N87" s="83"/>
      <c r="O87" s="83"/>
    </row>
    <row r="88" spans="1:15" customFormat="1" ht="18.75" customHeight="1" x14ac:dyDescent="0.3">
      <c r="A88" s="88" t="s">
        <v>1109</v>
      </c>
      <c r="B88" s="106">
        <v>0</v>
      </c>
      <c r="C88" s="106">
        <v>0</v>
      </c>
      <c r="D88" s="106">
        <v>0</v>
      </c>
      <c r="E88" s="106">
        <v>8</v>
      </c>
      <c r="F88" s="106">
        <v>8</v>
      </c>
      <c r="G88" s="99"/>
      <c r="H88" s="84"/>
      <c r="I88" s="83"/>
      <c r="J88" s="83"/>
      <c r="K88" s="83"/>
      <c r="L88" s="83"/>
      <c r="M88" s="83"/>
      <c r="N88" s="83"/>
      <c r="O88" s="83"/>
    </row>
    <row r="89" spans="1:15" customFormat="1" ht="18.75" customHeight="1" x14ac:dyDescent="0.3">
      <c r="A89" s="88" t="s">
        <v>599</v>
      </c>
      <c r="B89" s="106">
        <v>10</v>
      </c>
      <c r="C89" s="106">
        <v>0</v>
      </c>
      <c r="D89" s="106">
        <v>0</v>
      </c>
      <c r="E89" s="106">
        <v>0</v>
      </c>
      <c r="F89" s="106">
        <v>10</v>
      </c>
      <c r="G89" s="99"/>
      <c r="H89" s="84"/>
      <c r="I89" s="83"/>
      <c r="J89" s="83"/>
      <c r="K89" s="83"/>
      <c r="L89" s="83"/>
      <c r="M89" s="83"/>
      <c r="N89" s="83"/>
      <c r="O89" s="83"/>
    </row>
    <row r="90" spans="1:15" customFormat="1" ht="18.75" customHeight="1" x14ac:dyDescent="0.3">
      <c r="A90" s="88" t="s">
        <v>1110</v>
      </c>
      <c r="B90" s="106">
        <v>0</v>
      </c>
      <c r="C90" s="106">
        <v>0</v>
      </c>
      <c r="D90" s="106">
        <v>0</v>
      </c>
      <c r="E90" s="106">
        <v>4</v>
      </c>
      <c r="F90" s="106">
        <v>4</v>
      </c>
      <c r="G90" s="99"/>
      <c r="H90" s="84"/>
      <c r="I90" s="83"/>
      <c r="J90" s="83"/>
      <c r="K90" s="83"/>
      <c r="L90" s="83"/>
      <c r="M90" s="83"/>
      <c r="N90" s="83"/>
      <c r="O90" s="83"/>
    </row>
    <row r="91" spans="1:15" customFormat="1" ht="18.75" customHeight="1" x14ac:dyDescent="0.3">
      <c r="A91" s="88" t="s">
        <v>1111</v>
      </c>
      <c r="B91" s="106">
        <v>0</v>
      </c>
      <c r="C91" s="106">
        <v>11</v>
      </c>
      <c r="D91" s="106">
        <v>0</v>
      </c>
      <c r="E91" s="106">
        <v>14</v>
      </c>
      <c r="F91" s="106">
        <v>25</v>
      </c>
      <c r="G91" s="99"/>
      <c r="H91" s="84"/>
      <c r="I91" s="83"/>
      <c r="J91" s="83"/>
      <c r="K91" s="83"/>
      <c r="L91" s="83"/>
      <c r="M91" s="83"/>
      <c r="N91" s="83"/>
      <c r="O91" s="83"/>
    </row>
    <row r="92" spans="1:15" customFormat="1" ht="18.75" customHeight="1" x14ac:dyDescent="0.3">
      <c r="A92" s="88" t="s">
        <v>1112</v>
      </c>
      <c r="B92" s="106">
        <v>0</v>
      </c>
      <c r="C92" s="106">
        <v>0</v>
      </c>
      <c r="D92" s="106">
        <v>0</v>
      </c>
      <c r="E92" s="106">
        <v>41</v>
      </c>
      <c r="F92" s="106">
        <v>41</v>
      </c>
      <c r="G92" s="99"/>
      <c r="H92" s="84"/>
      <c r="I92" s="83"/>
      <c r="J92" s="83"/>
      <c r="K92" s="83"/>
      <c r="L92" s="83"/>
      <c r="M92" s="83"/>
      <c r="N92" s="83"/>
      <c r="O92" s="83"/>
    </row>
    <row r="93" spans="1:15" customFormat="1" ht="18.75" customHeight="1" x14ac:dyDescent="0.3">
      <c r="A93" s="88" t="s">
        <v>1113</v>
      </c>
      <c r="B93" s="106">
        <v>0</v>
      </c>
      <c r="C93" s="106">
        <v>0</v>
      </c>
      <c r="D93" s="106">
        <v>0</v>
      </c>
      <c r="E93" s="106">
        <v>31</v>
      </c>
      <c r="F93" s="106">
        <v>31</v>
      </c>
      <c r="G93" s="99"/>
      <c r="H93" s="84"/>
      <c r="I93" s="83"/>
      <c r="J93" s="83"/>
      <c r="K93" s="83"/>
      <c r="L93" s="83"/>
      <c r="M93" s="83"/>
      <c r="N93" s="83"/>
      <c r="O93" s="83"/>
    </row>
    <row r="94" spans="1:15" customFormat="1" ht="18.75" customHeight="1" x14ac:dyDescent="0.3">
      <c r="A94" s="88" t="s">
        <v>1114</v>
      </c>
      <c r="B94" s="106">
        <v>0</v>
      </c>
      <c r="C94" s="106">
        <v>0</v>
      </c>
      <c r="D94" s="106">
        <v>128</v>
      </c>
      <c r="E94" s="106">
        <v>0</v>
      </c>
      <c r="F94" s="106">
        <v>128</v>
      </c>
      <c r="G94" s="99"/>
      <c r="H94" s="84"/>
      <c r="I94" s="83"/>
      <c r="J94" s="83"/>
      <c r="K94" s="83"/>
      <c r="L94" s="83"/>
      <c r="M94" s="83"/>
      <c r="N94" s="83"/>
      <c r="O94" s="83"/>
    </row>
    <row r="95" spans="1:15" customFormat="1" ht="18.75" customHeight="1" x14ac:dyDescent="0.3">
      <c r="A95" s="88" t="s">
        <v>1115</v>
      </c>
      <c r="B95" s="106">
        <v>0</v>
      </c>
      <c r="C95" s="106">
        <v>0</v>
      </c>
      <c r="D95" s="106">
        <v>0</v>
      </c>
      <c r="E95" s="106">
        <v>110</v>
      </c>
      <c r="F95" s="106">
        <v>110</v>
      </c>
      <c r="G95" s="99"/>
      <c r="H95" s="84"/>
      <c r="I95" s="83"/>
      <c r="J95" s="83"/>
      <c r="K95" s="83"/>
      <c r="L95" s="83"/>
      <c r="M95" s="83"/>
      <c r="N95" s="83"/>
      <c r="O95" s="83"/>
    </row>
    <row r="96" spans="1:15" customFormat="1" ht="18.75" customHeight="1" x14ac:dyDescent="0.3">
      <c r="A96" s="88" t="s">
        <v>1116</v>
      </c>
      <c r="B96" s="106">
        <v>0</v>
      </c>
      <c r="C96" s="106">
        <v>0</v>
      </c>
      <c r="D96" s="106">
        <v>0</v>
      </c>
      <c r="E96" s="106">
        <v>10</v>
      </c>
      <c r="F96" s="106">
        <v>10</v>
      </c>
      <c r="G96" s="99"/>
      <c r="H96" s="84"/>
      <c r="I96" s="83"/>
      <c r="J96" s="83"/>
      <c r="K96" s="83"/>
      <c r="L96" s="83"/>
      <c r="M96" s="83"/>
      <c r="N96" s="83"/>
      <c r="O96" s="83"/>
    </row>
    <row r="97" spans="1:15" customFormat="1" ht="18.75" customHeight="1" x14ac:dyDescent="0.3">
      <c r="A97" s="88" t="s">
        <v>1117</v>
      </c>
      <c r="B97" s="106">
        <v>0</v>
      </c>
      <c r="C97" s="106">
        <v>0</v>
      </c>
      <c r="D97" s="106">
        <v>0</v>
      </c>
      <c r="E97" s="106">
        <v>4</v>
      </c>
      <c r="F97" s="106">
        <v>4</v>
      </c>
      <c r="G97" s="99"/>
      <c r="H97" s="84"/>
      <c r="I97" s="83"/>
      <c r="J97" s="83"/>
      <c r="K97" s="83"/>
      <c r="L97" s="83"/>
      <c r="M97" s="83"/>
      <c r="N97" s="83"/>
      <c r="O97" s="83"/>
    </row>
    <row r="98" spans="1:15" customFormat="1" ht="18.75" customHeight="1" x14ac:dyDescent="0.3">
      <c r="A98" s="88" t="s">
        <v>1118</v>
      </c>
      <c r="B98" s="106">
        <v>0</v>
      </c>
      <c r="C98" s="106">
        <v>0</v>
      </c>
      <c r="D98" s="106">
        <v>0</v>
      </c>
      <c r="E98" s="106">
        <v>14</v>
      </c>
      <c r="F98" s="106">
        <v>14</v>
      </c>
      <c r="G98" s="99"/>
      <c r="H98" s="84"/>
      <c r="I98" s="83"/>
      <c r="J98" s="83"/>
      <c r="K98" s="83"/>
      <c r="L98" s="83"/>
      <c r="M98" s="83"/>
      <c r="N98" s="83"/>
      <c r="O98" s="83"/>
    </row>
    <row r="99" spans="1:15" customFormat="1" ht="18.75" customHeight="1" x14ac:dyDescent="0.3">
      <c r="A99" s="88" t="s">
        <v>1119</v>
      </c>
      <c r="B99" s="106">
        <v>0</v>
      </c>
      <c r="C99" s="106">
        <v>0</v>
      </c>
      <c r="D99" s="106">
        <v>0</v>
      </c>
      <c r="E99" s="106">
        <v>18</v>
      </c>
      <c r="F99" s="106">
        <v>18</v>
      </c>
      <c r="G99" s="99"/>
      <c r="H99" s="84"/>
      <c r="I99" s="83"/>
      <c r="J99" s="83"/>
      <c r="K99" s="83"/>
      <c r="L99" s="83"/>
      <c r="M99" s="83"/>
      <c r="N99" s="83"/>
      <c r="O99" s="83"/>
    </row>
    <row r="100" spans="1:15" customFormat="1" ht="18.75" customHeight="1" x14ac:dyDescent="0.3">
      <c r="A100" s="88" t="s">
        <v>1120</v>
      </c>
      <c r="B100" s="106">
        <v>0</v>
      </c>
      <c r="C100" s="106">
        <v>0</v>
      </c>
      <c r="D100" s="106">
        <v>0</v>
      </c>
      <c r="E100" s="106">
        <v>21</v>
      </c>
      <c r="F100" s="106">
        <v>21</v>
      </c>
      <c r="G100" s="99"/>
      <c r="H100" s="84"/>
      <c r="I100" s="83"/>
      <c r="J100" s="83"/>
      <c r="K100" s="83"/>
      <c r="L100" s="83"/>
      <c r="M100" s="83"/>
      <c r="N100" s="83"/>
      <c r="O100" s="83"/>
    </row>
    <row r="101" spans="1:15" customFormat="1" ht="18.75" customHeight="1" x14ac:dyDescent="0.3">
      <c r="A101" s="88" t="s">
        <v>1121</v>
      </c>
      <c r="B101" s="106">
        <v>0</v>
      </c>
      <c r="C101" s="106">
        <v>0</v>
      </c>
      <c r="D101" s="106">
        <v>0</v>
      </c>
      <c r="E101" s="106">
        <v>362</v>
      </c>
      <c r="F101" s="106">
        <v>362</v>
      </c>
      <c r="G101" s="99"/>
      <c r="H101" s="84"/>
      <c r="I101" s="83"/>
      <c r="J101" s="83"/>
      <c r="K101" s="83"/>
      <c r="L101" s="83"/>
      <c r="M101" s="83"/>
      <c r="N101" s="83"/>
      <c r="O101" s="83"/>
    </row>
    <row r="102" spans="1:15" customFormat="1" ht="18.75" customHeight="1" x14ac:dyDescent="0.3">
      <c r="A102" s="88" t="s">
        <v>1122</v>
      </c>
      <c r="B102" s="106">
        <v>0</v>
      </c>
      <c r="C102" s="106">
        <v>0</v>
      </c>
      <c r="D102" s="106">
        <v>70</v>
      </c>
      <c r="E102" s="106">
        <v>0</v>
      </c>
      <c r="F102" s="106">
        <v>70</v>
      </c>
      <c r="G102" s="99"/>
      <c r="H102" s="84"/>
      <c r="I102" s="83"/>
      <c r="J102" s="83"/>
      <c r="K102" s="83"/>
      <c r="L102" s="83"/>
      <c r="M102" s="83"/>
      <c r="N102" s="83"/>
      <c r="O102" s="83"/>
    </row>
    <row r="103" spans="1:15" customFormat="1" ht="18.75" customHeight="1" x14ac:dyDescent="0.3">
      <c r="A103" s="88" t="s">
        <v>1123</v>
      </c>
      <c r="B103" s="106">
        <v>0</v>
      </c>
      <c r="C103" s="106">
        <v>0</v>
      </c>
      <c r="D103" s="106">
        <v>0</v>
      </c>
      <c r="E103" s="106">
        <v>19</v>
      </c>
      <c r="F103" s="106">
        <v>19</v>
      </c>
      <c r="G103" s="99"/>
      <c r="H103" s="84"/>
      <c r="I103" s="83"/>
      <c r="J103" s="83"/>
      <c r="K103" s="83"/>
      <c r="L103" s="83"/>
      <c r="M103" s="83"/>
      <c r="N103" s="83"/>
      <c r="O103" s="83"/>
    </row>
    <row r="104" spans="1:15" customFormat="1" ht="18.75" customHeight="1" x14ac:dyDescent="0.3">
      <c r="A104" s="85" t="s">
        <v>1041</v>
      </c>
      <c r="B104" s="85">
        <v>0</v>
      </c>
      <c r="C104" s="85">
        <v>50</v>
      </c>
      <c r="D104" s="85">
        <v>253</v>
      </c>
      <c r="E104" s="85">
        <v>22</v>
      </c>
      <c r="F104" s="85">
        <v>325</v>
      </c>
      <c r="G104" s="99"/>
      <c r="H104" s="84"/>
      <c r="I104" s="83"/>
      <c r="J104" s="83"/>
      <c r="K104" s="83"/>
      <c r="L104" s="83"/>
      <c r="M104" s="83"/>
      <c r="N104" s="83"/>
      <c r="O104" s="83"/>
    </row>
    <row r="105" spans="1:15" customFormat="1" ht="18.75" customHeight="1" x14ac:dyDescent="0.3">
      <c r="A105" s="88" t="s">
        <v>1124</v>
      </c>
      <c r="B105" s="106">
        <v>0</v>
      </c>
      <c r="C105" s="106">
        <v>0</v>
      </c>
      <c r="D105" s="106">
        <v>155</v>
      </c>
      <c r="E105" s="106">
        <v>0</v>
      </c>
      <c r="F105" s="106">
        <v>155</v>
      </c>
      <c r="G105" s="99"/>
      <c r="H105" s="84"/>
      <c r="I105" s="83"/>
      <c r="J105" s="83"/>
      <c r="K105" s="83"/>
      <c r="L105" s="83"/>
      <c r="M105" s="83"/>
      <c r="N105" s="83"/>
      <c r="O105" s="83"/>
    </row>
    <row r="106" spans="1:15" customFormat="1" ht="18.600000000000001" customHeight="1" x14ac:dyDescent="0.3">
      <c r="A106" s="88" t="s">
        <v>1125</v>
      </c>
      <c r="B106" s="106">
        <v>0</v>
      </c>
      <c r="C106" s="106">
        <v>0</v>
      </c>
      <c r="D106" s="106">
        <v>0</v>
      </c>
      <c r="E106" s="106">
        <v>8</v>
      </c>
      <c r="F106" s="106">
        <v>8</v>
      </c>
      <c r="G106" s="99"/>
      <c r="H106" s="84"/>
      <c r="I106" s="83"/>
      <c r="J106" s="83"/>
      <c r="K106" s="83"/>
      <c r="L106" s="83"/>
      <c r="M106" s="83"/>
      <c r="N106" s="83"/>
      <c r="O106" s="83"/>
    </row>
    <row r="107" spans="1:15" customFormat="1" ht="18.600000000000001" customHeight="1" x14ac:dyDescent="0.3">
      <c r="A107" s="88" t="s">
        <v>1126</v>
      </c>
      <c r="B107" s="106">
        <v>0</v>
      </c>
      <c r="C107" s="106">
        <v>0</v>
      </c>
      <c r="D107" s="106">
        <v>39</v>
      </c>
      <c r="E107" s="106">
        <v>0</v>
      </c>
      <c r="F107" s="106">
        <v>39</v>
      </c>
      <c r="G107" s="99"/>
      <c r="H107" s="84"/>
      <c r="I107" s="83"/>
      <c r="J107" s="83"/>
      <c r="K107" s="83"/>
      <c r="L107" s="83"/>
      <c r="M107" s="83"/>
      <c r="N107" s="83"/>
      <c r="O107" s="83"/>
    </row>
    <row r="108" spans="1:15" customFormat="1" ht="18.75" customHeight="1" x14ac:dyDescent="0.3">
      <c r="A108" s="88" t="s">
        <v>1127</v>
      </c>
      <c r="B108" s="106">
        <v>0</v>
      </c>
      <c r="C108" s="106">
        <v>0</v>
      </c>
      <c r="D108" s="106">
        <v>14</v>
      </c>
      <c r="E108" s="106">
        <v>0</v>
      </c>
      <c r="F108" s="106">
        <v>14</v>
      </c>
      <c r="G108" s="99"/>
      <c r="H108" s="84"/>
      <c r="I108" s="83"/>
      <c r="J108" s="83"/>
      <c r="K108" s="83"/>
      <c r="L108" s="83"/>
      <c r="M108" s="83"/>
      <c r="N108" s="83"/>
      <c r="O108" s="83"/>
    </row>
    <row r="109" spans="1:15" customFormat="1" ht="18.75" customHeight="1" x14ac:dyDescent="0.3">
      <c r="A109" s="88" t="s">
        <v>1128</v>
      </c>
      <c r="B109" s="106">
        <v>0</v>
      </c>
      <c r="C109" s="106">
        <v>0</v>
      </c>
      <c r="D109" s="106">
        <v>43</v>
      </c>
      <c r="E109" s="106">
        <v>0</v>
      </c>
      <c r="F109" s="106">
        <v>43</v>
      </c>
      <c r="G109" s="99"/>
      <c r="H109" s="84"/>
      <c r="I109" s="83"/>
      <c r="J109" s="83"/>
      <c r="K109" s="83"/>
      <c r="L109" s="83"/>
      <c r="M109" s="83"/>
      <c r="N109" s="83"/>
      <c r="O109" s="83"/>
    </row>
    <row r="110" spans="1:15" customFormat="1" ht="18.75" customHeight="1" x14ac:dyDescent="0.3">
      <c r="A110" s="88" t="s">
        <v>1129</v>
      </c>
      <c r="B110" s="106">
        <v>0</v>
      </c>
      <c r="C110" s="106">
        <v>0</v>
      </c>
      <c r="D110" s="106">
        <v>2</v>
      </c>
      <c r="E110" s="106">
        <v>0</v>
      </c>
      <c r="F110" s="106">
        <v>2</v>
      </c>
      <c r="G110" s="99"/>
      <c r="H110" s="84"/>
      <c r="I110" s="83"/>
      <c r="J110" s="83"/>
      <c r="K110" s="83"/>
      <c r="L110" s="83"/>
      <c r="M110" s="83"/>
      <c r="N110" s="83"/>
      <c r="O110" s="83"/>
    </row>
    <row r="111" spans="1:15" customFormat="1" ht="18.75" customHeight="1" x14ac:dyDescent="0.3">
      <c r="A111" s="88" t="s">
        <v>1130</v>
      </c>
      <c r="B111" s="106">
        <v>0</v>
      </c>
      <c r="C111" s="106">
        <v>50</v>
      </c>
      <c r="D111" s="106">
        <v>0</v>
      </c>
      <c r="E111" s="106">
        <v>0</v>
      </c>
      <c r="F111" s="106">
        <v>50</v>
      </c>
      <c r="G111" s="99"/>
      <c r="H111" s="84"/>
      <c r="I111" s="83"/>
      <c r="J111" s="83"/>
      <c r="K111" s="83"/>
      <c r="L111" s="83"/>
      <c r="M111" s="83"/>
      <c r="N111" s="83"/>
      <c r="O111" s="83"/>
    </row>
    <row r="112" spans="1:15" customFormat="1" ht="18.75" customHeight="1" x14ac:dyDescent="0.3">
      <c r="A112" s="88" t="s">
        <v>751</v>
      </c>
      <c r="B112" s="106">
        <v>0</v>
      </c>
      <c r="C112" s="106">
        <v>0</v>
      </c>
      <c r="D112" s="106">
        <v>0</v>
      </c>
      <c r="E112" s="106">
        <v>14</v>
      </c>
      <c r="F112" s="106">
        <v>14</v>
      </c>
      <c r="G112" s="99"/>
      <c r="H112" s="84"/>
      <c r="I112" s="83"/>
      <c r="J112" s="83"/>
      <c r="K112" s="83"/>
      <c r="L112" s="83"/>
      <c r="M112" s="83"/>
      <c r="N112" s="83"/>
      <c r="O112" s="83"/>
    </row>
    <row r="113" spans="1:15" customFormat="1" ht="18.75" customHeight="1" x14ac:dyDescent="0.3">
      <c r="A113" s="85" t="s">
        <v>1047</v>
      </c>
      <c r="B113" s="85">
        <v>0</v>
      </c>
      <c r="C113" s="85">
        <v>17</v>
      </c>
      <c r="D113" s="85">
        <v>8</v>
      </c>
      <c r="E113" s="85">
        <v>209</v>
      </c>
      <c r="F113" s="85">
        <v>234</v>
      </c>
      <c r="G113" s="99"/>
      <c r="H113" s="84"/>
      <c r="I113" s="83"/>
      <c r="J113" s="83"/>
      <c r="K113" s="83"/>
      <c r="L113" s="83"/>
      <c r="M113" s="83"/>
      <c r="N113" s="83"/>
      <c r="O113" s="83"/>
    </row>
    <row r="114" spans="1:15" customFormat="1" ht="18.600000000000001" customHeight="1" x14ac:dyDescent="0.3">
      <c r="A114" s="88" t="s">
        <v>1131</v>
      </c>
      <c r="B114" s="106">
        <v>0</v>
      </c>
      <c r="C114" s="106">
        <v>0</v>
      </c>
      <c r="D114" s="106">
        <v>0</v>
      </c>
      <c r="E114" s="106">
        <v>179</v>
      </c>
      <c r="F114" s="106">
        <v>179</v>
      </c>
      <c r="G114" s="99"/>
      <c r="H114" s="84"/>
      <c r="I114" s="83"/>
      <c r="J114" s="83"/>
      <c r="K114" s="83"/>
      <c r="L114" s="83"/>
      <c r="M114" s="83"/>
      <c r="N114" s="83"/>
      <c r="O114" s="83"/>
    </row>
    <row r="115" spans="1:15" customFormat="1" ht="18.600000000000001" customHeight="1" x14ac:dyDescent="0.3">
      <c r="A115" s="88" t="s">
        <v>1049</v>
      </c>
      <c r="B115" s="106">
        <v>0</v>
      </c>
      <c r="C115" s="106">
        <v>0</v>
      </c>
      <c r="D115" s="106">
        <v>0</v>
      </c>
      <c r="E115" s="106">
        <v>3</v>
      </c>
      <c r="F115" s="106">
        <v>3</v>
      </c>
      <c r="G115" s="99"/>
      <c r="H115" s="84"/>
      <c r="I115" s="83"/>
      <c r="J115" s="83"/>
      <c r="K115" s="83"/>
      <c r="L115" s="83"/>
      <c r="M115" s="83"/>
      <c r="N115" s="83"/>
      <c r="O115" s="83"/>
    </row>
    <row r="116" spans="1:15" customFormat="1" ht="18.600000000000001" customHeight="1" x14ac:dyDescent="0.3">
      <c r="A116" s="88" t="s">
        <v>1132</v>
      </c>
      <c r="B116" s="106">
        <v>0</v>
      </c>
      <c r="C116" s="106">
        <v>0</v>
      </c>
      <c r="D116" s="106">
        <v>0</v>
      </c>
      <c r="E116" s="106">
        <v>22</v>
      </c>
      <c r="F116" s="106">
        <v>22</v>
      </c>
      <c r="G116" s="99"/>
      <c r="H116" s="84"/>
      <c r="I116" s="83"/>
      <c r="J116" s="83"/>
      <c r="K116" s="83"/>
      <c r="L116" s="83"/>
      <c r="M116" s="83"/>
      <c r="N116" s="83"/>
      <c r="O116" s="83"/>
    </row>
    <row r="117" spans="1:15" customFormat="1" ht="18.600000000000001" customHeight="1" x14ac:dyDescent="0.3">
      <c r="A117" s="88" t="s">
        <v>1050</v>
      </c>
      <c r="B117" s="106">
        <v>0</v>
      </c>
      <c r="C117" s="106">
        <v>0</v>
      </c>
      <c r="D117" s="106">
        <v>8</v>
      </c>
      <c r="E117" s="106">
        <v>5</v>
      </c>
      <c r="F117" s="106">
        <v>13</v>
      </c>
      <c r="G117" s="99"/>
      <c r="H117" s="84"/>
      <c r="I117" s="83"/>
      <c r="J117" s="83"/>
      <c r="K117" s="83"/>
      <c r="L117" s="83"/>
      <c r="M117" s="83"/>
      <c r="N117" s="83"/>
      <c r="O117" s="83"/>
    </row>
    <row r="118" spans="1:15" customFormat="1" ht="18.600000000000001" customHeight="1" x14ac:dyDescent="0.3">
      <c r="A118" s="88" t="s">
        <v>1133</v>
      </c>
      <c r="B118" s="106">
        <v>0</v>
      </c>
      <c r="C118" s="106">
        <v>17</v>
      </c>
      <c r="D118" s="106">
        <v>0</v>
      </c>
      <c r="E118" s="106">
        <v>0</v>
      </c>
      <c r="F118" s="106">
        <v>17</v>
      </c>
      <c r="G118" s="99"/>
      <c r="H118" s="84"/>
      <c r="I118" s="83"/>
      <c r="J118" s="83"/>
      <c r="K118" s="83"/>
      <c r="L118" s="83"/>
      <c r="M118" s="83"/>
      <c r="N118" s="83"/>
      <c r="O118" s="83"/>
    </row>
    <row r="119" spans="1:15" customFormat="1" ht="18.600000000000001" customHeight="1" x14ac:dyDescent="0.3">
      <c r="A119" s="85" t="s">
        <v>1054</v>
      </c>
      <c r="B119" s="85">
        <v>0</v>
      </c>
      <c r="C119" s="85">
        <v>69</v>
      </c>
      <c r="D119" s="85">
        <v>159</v>
      </c>
      <c r="E119" s="85">
        <v>39</v>
      </c>
      <c r="F119" s="85">
        <v>267</v>
      </c>
      <c r="G119" s="99"/>
      <c r="H119" s="84"/>
      <c r="I119" s="83"/>
      <c r="J119" s="83"/>
      <c r="K119" s="83"/>
      <c r="L119" s="83"/>
      <c r="M119" s="83"/>
      <c r="N119" s="83"/>
      <c r="O119" s="83"/>
    </row>
    <row r="120" spans="1:15" customFormat="1" ht="18.600000000000001" customHeight="1" x14ac:dyDescent="0.3">
      <c r="A120" s="88" t="s">
        <v>1055</v>
      </c>
      <c r="B120" s="106">
        <v>0</v>
      </c>
      <c r="C120" s="106">
        <v>0</v>
      </c>
      <c r="D120" s="106">
        <v>0</v>
      </c>
      <c r="E120" s="106">
        <v>35</v>
      </c>
      <c r="F120" s="106">
        <v>35</v>
      </c>
      <c r="G120" s="99"/>
      <c r="H120" s="84"/>
      <c r="I120" s="83"/>
      <c r="J120" s="83"/>
      <c r="K120" s="83"/>
      <c r="L120" s="83"/>
      <c r="M120" s="83"/>
      <c r="N120" s="83"/>
      <c r="O120" s="83"/>
    </row>
    <row r="121" spans="1:15" customFormat="1" ht="18.600000000000001" customHeight="1" x14ac:dyDescent="0.3">
      <c r="A121" s="88" t="s">
        <v>1056</v>
      </c>
      <c r="B121" s="106">
        <v>0</v>
      </c>
      <c r="C121" s="106">
        <v>0</v>
      </c>
      <c r="D121" s="106">
        <v>21</v>
      </c>
      <c r="E121" s="106">
        <v>0</v>
      </c>
      <c r="F121" s="106">
        <v>21</v>
      </c>
      <c r="G121" s="99"/>
      <c r="H121" s="84"/>
      <c r="I121" s="83"/>
      <c r="J121" s="83"/>
      <c r="K121" s="83"/>
      <c r="L121" s="83"/>
      <c r="M121" s="83"/>
      <c r="N121" s="83"/>
      <c r="O121" s="83"/>
    </row>
    <row r="122" spans="1:15" customFormat="1" ht="18.600000000000001" customHeight="1" x14ac:dyDescent="0.3">
      <c r="A122" s="88" t="s">
        <v>1057</v>
      </c>
      <c r="B122" s="106">
        <v>0</v>
      </c>
      <c r="C122" s="106">
        <v>17</v>
      </c>
      <c r="D122" s="106">
        <v>75</v>
      </c>
      <c r="E122" s="106">
        <v>0</v>
      </c>
      <c r="F122" s="106">
        <v>92</v>
      </c>
      <c r="G122" s="99"/>
      <c r="H122" s="84"/>
      <c r="I122" s="83"/>
      <c r="J122" s="83"/>
      <c r="K122" s="83"/>
      <c r="L122" s="83"/>
      <c r="M122" s="83"/>
      <c r="N122" s="83"/>
      <c r="O122" s="83"/>
    </row>
    <row r="123" spans="1:15" customFormat="1" ht="18.600000000000001" customHeight="1" x14ac:dyDescent="0.3">
      <c r="A123" s="88" t="s">
        <v>1134</v>
      </c>
      <c r="B123" s="106">
        <v>0</v>
      </c>
      <c r="C123" s="106">
        <v>0</v>
      </c>
      <c r="D123" s="106">
        <v>22</v>
      </c>
      <c r="E123" s="106">
        <v>0</v>
      </c>
      <c r="F123" s="106">
        <v>22</v>
      </c>
      <c r="G123" s="99"/>
      <c r="H123" s="84"/>
      <c r="I123" s="83"/>
      <c r="J123" s="83"/>
      <c r="K123" s="83"/>
      <c r="L123" s="83"/>
      <c r="M123" s="83"/>
      <c r="N123" s="83"/>
      <c r="O123" s="83"/>
    </row>
    <row r="124" spans="1:15" customFormat="1" ht="18.75" customHeight="1" x14ac:dyDescent="0.3">
      <c r="A124" s="88" t="s">
        <v>1135</v>
      </c>
      <c r="B124" s="106">
        <v>0</v>
      </c>
      <c r="C124" s="106">
        <v>42</v>
      </c>
      <c r="D124" s="106">
        <v>0</v>
      </c>
      <c r="E124" s="106">
        <v>0</v>
      </c>
      <c r="F124" s="106">
        <v>42</v>
      </c>
      <c r="G124" s="99"/>
      <c r="H124" s="84"/>
      <c r="I124" s="83"/>
      <c r="J124" s="83"/>
      <c r="K124" s="83"/>
      <c r="L124" s="83"/>
      <c r="M124" s="83"/>
      <c r="N124" s="83"/>
      <c r="O124" s="83"/>
    </row>
    <row r="125" spans="1:15" customFormat="1" ht="18.75" customHeight="1" x14ac:dyDescent="0.3">
      <c r="A125" s="88" t="s">
        <v>843</v>
      </c>
      <c r="B125" s="106">
        <v>0</v>
      </c>
      <c r="C125" s="106">
        <v>0</v>
      </c>
      <c r="D125" s="106">
        <v>0</v>
      </c>
      <c r="E125" s="106">
        <v>4</v>
      </c>
      <c r="F125" s="106">
        <v>4</v>
      </c>
      <c r="G125" s="99"/>
      <c r="H125" s="84"/>
      <c r="I125" s="83"/>
      <c r="J125" s="83"/>
      <c r="K125" s="83"/>
      <c r="L125" s="83"/>
      <c r="M125" s="83"/>
      <c r="N125" s="83"/>
      <c r="O125" s="83"/>
    </row>
    <row r="126" spans="1:15" customFormat="1" ht="18.75" customHeight="1" x14ac:dyDescent="0.3">
      <c r="A126" s="88" t="s">
        <v>1136</v>
      </c>
      <c r="B126" s="106">
        <v>0</v>
      </c>
      <c r="C126" s="106">
        <v>10</v>
      </c>
      <c r="D126" s="106">
        <v>0</v>
      </c>
      <c r="E126" s="106">
        <v>0</v>
      </c>
      <c r="F126" s="106">
        <v>10</v>
      </c>
      <c r="G126" s="99"/>
      <c r="H126" s="84"/>
      <c r="I126" s="83"/>
      <c r="J126" s="83"/>
      <c r="K126" s="83"/>
      <c r="L126" s="83"/>
      <c r="M126" s="83"/>
      <c r="N126" s="83"/>
      <c r="O126" s="83"/>
    </row>
    <row r="127" spans="1:15" customFormat="1" ht="18.75" customHeight="1" x14ac:dyDescent="0.3">
      <c r="A127" s="88" t="s">
        <v>1137</v>
      </c>
      <c r="B127" s="106">
        <v>0</v>
      </c>
      <c r="C127" s="106">
        <v>0</v>
      </c>
      <c r="D127" s="106">
        <v>21</v>
      </c>
      <c r="E127" s="106">
        <v>0</v>
      </c>
      <c r="F127" s="106">
        <v>21</v>
      </c>
      <c r="G127" s="99"/>
      <c r="H127" s="84"/>
      <c r="I127" s="83"/>
      <c r="J127" s="83"/>
      <c r="K127" s="83"/>
      <c r="L127" s="83"/>
      <c r="M127" s="83"/>
      <c r="N127" s="83"/>
      <c r="O127" s="83"/>
    </row>
    <row r="128" spans="1:15" customFormat="1" ht="18.75" customHeight="1" x14ac:dyDescent="0.3">
      <c r="A128" s="88" t="s">
        <v>1059</v>
      </c>
      <c r="B128" s="106">
        <v>0</v>
      </c>
      <c r="C128" s="106">
        <v>0</v>
      </c>
      <c r="D128" s="106">
        <v>20</v>
      </c>
      <c r="E128" s="106">
        <v>0</v>
      </c>
      <c r="F128" s="106">
        <v>20</v>
      </c>
      <c r="G128" s="99"/>
      <c r="H128" s="84"/>
      <c r="I128" s="83"/>
      <c r="J128" s="83"/>
      <c r="K128" s="83"/>
      <c r="L128" s="83"/>
      <c r="M128" s="83"/>
      <c r="N128" s="83"/>
      <c r="O128" s="83"/>
    </row>
    <row r="129" spans="1:15" customFormat="1" ht="18.75" customHeight="1" x14ac:dyDescent="0.3">
      <c r="A129" s="85" t="s">
        <v>1138</v>
      </c>
      <c r="B129" s="85">
        <v>0</v>
      </c>
      <c r="C129" s="85">
        <v>0</v>
      </c>
      <c r="D129" s="85">
        <v>0</v>
      </c>
      <c r="E129" s="85">
        <v>140</v>
      </c>
      <c r="F129" s="85">
        <v>140</v>
      </c>
      <c r="G129" s="99"/>
      <c r="H129" s="84"/>
      <c r="I129" s="83"/>
      <c r="J129" s="83"/>
      <c r="K129" s="83"/>
      <c r="L129" s="83"/>
      <c r="M129" s="83"/>
      <c r="N129" s="83"/>
      <c r="O129" s="83"/>
    </row>
    <row r="130" spans="1:15" customFormat="1" ht="18.75" customHeight="1" x14ac:dyDescent="0.3">
      <c r="A130" s="88" t="s">
        <v>1139</v>
      </c>
      <c r="B130" s="106">
        <v>0</v>
      </c>
      <c r="C130" s="106">
        <v>0</v>
      </c>
      <c r="D130" s="106">
        <v>0</v>
      </c>
      <c r="E130" s="106">
        <v>137</v>
      </c>
      <c r="F130" s="106">
        <v>137</v>
      </c>
      <c r="G130" s="99"/>
      <c r="H130" s="84"/>
      <c r="I130" s="83"/>
      <c r="J130" s="83"/>
      <c r="K130" s="83"/>
      <c r="L130" s="83"/>
      <c r="M130" s="83"/>
      <c r="N130" s="83"/>
      <c r="O130" s="83"/>
    </row>
    <row r="131" spans="1:15" customFormat="1" ht="18.75" customHeight="1" x14ac:dyDescent="0.3">
      <c r="A131" s="88" t="s">
        <v>1140</v>
      </c>
      <c r="B131" s="106">
        <v>0</v>
      </c>
      <c r="C131" s="106">
        <v>0</v>
      </c>
      <c r="D131" s="106">
        <v>0</v>
      </c>
      <c r="E131" s="106">
        <v>3</v>
      </c>
      <c r="F131" s="106">
        <v>3</v>
      </c>
      <c r="G131" s="99"/>
      <c r="H131" s="84"/>
      <c r="I131" s="83"/>
      <c r="J131" s="83"/>
      <c r="K131" s="83"/>
      <c r="L131" s="83"/>
      <c r="M131" s="83"/>
      <c r="N131" s="83"/>
      <c r="O131" s="83"/>
    </row>
    <row r="132" spans="1:15" customFormat="1" ht="18.75" customHeight="1" x14ac:dyDescent="0.3">
      <c r="A132" s="96" t="s">
        <v>945</v>
      </c>
      <c r="B132" s="97">
        <f>SUM(B4,B10,B18,B23,B33,B43,B55,B79,B104,B113,B119,B129)</f>
        <v>58</v>
      </c>
      <c r="C132" s="97">
        <f>SUM(C4,C10,C18,C23,C33,C43,C55,C79,C104,C113,C119,C129)</f>
        <v>442</v>
      </c>
      <c r="D132" s="97">
        <f>SUM(D4,D10,D18,D23,D33,D43,D55,D79,D104,D113,D119,D129)</f>
        <v>6741</v>
      </c>
      <c r="E132" s="97">
        <f>SUM(E4,E10,E18,E23,E33,E43,E55,E79,E104,E113,E119,E129)</f>
        <v>3274</v>
      </c>
      <c r="F132" s="97">
        <f>SUM(F4,F10,F18,F23,F33,F43,F55,F79,F104,F113,F119,F129)</f>
        <v>10515</v>
      </c>
      <c r="G132" s="84"/>
      <c r="H132" s="83"/>
      <c r="I132" s="83"/>
      <c r="J132" s="83"/>
      <c r="K132" s="83"/>
      <c r="L132" s="83"/>
      <c r="M132" s="83"/>
      <c r="N132" s="83"/>
      <c r="O132" s="83"/>
    </row>
    <row r="133" spans="1:15" customFormat="1" ht="18.75" customHeight="1" x14ac:dyDescent="0.3">
      <c r="A133" s="83"/>
      <c r="B133" s="83"/>
      <c r="C133" s="83"/>
      <c r="D133" s="83"/>
      <c r="E133" s="83"/>
      <c r="F133" s="91"/>
      <c r="G133" s="84"/>
      <c r="H133" s="83"/>
      <c r="I133" s="83"/>
      <c r="J133" s="83"/>
      <c r="K133" s="83"/>
      <c r="L133" s="83"/>
      <c r="M133" s="83"/>
      <c r="N133" s="83"/>
      <c r="O133" s="83"/>
    </row>
    <row r="134" spans="1:15" customFormat="1" ht="18.75" customHeight="1" x14ac:dyDescent="0.3">
      <c r="A134" s="110"/>
      <c r="B134" s="83"/>
      <c r="C134" s="83"/>
      <c r="D134" s="83"/>
      <c r="E134" s="83"/>
      <c r="F134" s="83"/>
      <c r="G134" s="84"/>
      <c r="H134" s="83"/>
      <c r="I134" s="83"/>
      <c r="J134" s="83"/>
      <c r="K134" s="83"/>
      <c r="L134" s="83"/>
      <c r="M134" s="83"/>
      <c r="N134" s="83"/>
      <c r="O134" s="83"/>
    </row>
    <row r="135" spans="1:15" customFormat="1" ht="18.75" customHeight="1" x14ac:dyDescent="0.3">
      <c r="A135" s="111"/>
      <c r="B135" s="83"/>
      <c r="C135" s="83"/>
      <c r="D135" s="83"/>
      <c r="E135" s="83"/>
      <c r="F135" s="83"/>
      <c r="G135" s="84"/>
      <c r="H135" s="83"/>
      <c r="I135" s="83"/>
      <c r="J135" s="83"/>
      <c r="K135" s="83"/>
      <c r="L135" s="83"/>
      <c r="M135" s="83"/>
      <c r="N135" s="83"/>
      <c r="O135" s="83"/>
    </row>
    <row r="136" spans="1:15" customFormat="1" ht="18.75" customHeight="1" x14ac:dyDescent="0.3">
      <c r="A136" s="111"/>
      <c r="B136" s="83"/>
      <c r="C136" s="83"/>
      <c r="D136" s="83"/>
      <c r="E136" s="83"/>
      <c r="F136" s="83"/>
      <c r="G136" s="84"/>
      <c r="H136" s="83"/>
      <c r="I136" s="83"/>
      <c r="J136" s="83"/>
      <c r="K136" s="83"/>
      <c r="L136" s="83"/>
      <c r="M136" s="83"/>
      <c r="N136" s="83"/>
      <c r="O136" s="83"/>
    </row>
    <row r="137" spans="1:15" customFormat="1" ht="18.75" customHeight="1" x14ac:dyDescent="0.3">
      <c r="A137" s="106"/>
      <c r="B137" s="83"/>
      <c r="C137" s="83"/>
      <c r="D137" s="83"/>
      <c r="E137" s="83"/>
      <c r="F137" s="83"/>
      <c r="G137" s="84"/>
      <c r="H137" s="83"/>
      <c r="I137" s="83"/>
      <c r="J137" s="83"/>
      <c r="K137" s="83"/>
      <c r="L137" s="83"/>
      <c r="M137" s="83"/>
      <c r="N137" s="83"/>
      <c r="O137" s="83"/>
    </row>
    <row r="138" spans="1:15" customFormat="1" ht="18.75" customHeight="1" x14ac:dyDescent="0.3">
      <c r="A138" s="83"/>
      <c r="B138" s="83"/>
      <c r="C138" s="91"/>
      <c r="D138" s="83"/>
      <c r="E138" s="83"/>
      <c r="F138" s="83"/>
      <c r="G138" s="84"/>
      <c r="H138" s="83"/>
      <c r="I138" s="83"/>
      <c r="J138" s="83"/>
      <c r="K138" s="83"/>
      <c r="L138" s="83"/>
      <c r="M138" s="83"/>
      <c r="N138" s="83"/>
      <c r="O138" s="8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A9AC-8EF6-4083-ACDA-7A97EAF5F09A}">
  <dimension ref="A1:I132"/>
  <sheetViews>
    <sheetView workbookViewId="0"/>
  </sheetViews>
  <sheetFormatPr defaultColWidth="13.88671875" defaultRowHeight="18.75" customHeight="1" x14ac:dyDescent="0.3"/>
  <cols>
    <col min="1" max="1" width="56.33203125" style="83" customWidth="1"/>
    <col min="2" max="4" width="13.88671875" style="83" customWidth="1"/>
    <col min="5" max="5" width="12.44140625" style="83" customWidth="1"/>
    <col min="6" max="6" width="13.88671875" style="83" customWidth="1"/>
    <col min="7" max="7" width="13.88671875" style="84" customWidth="1"/>
    <col min="8" max="8" width="13.88671875" style="83" customWidth="1"/>
    <col min="9" max="16384" width="13.88671875" style="83"/>
  </cols>
  <sheetData>
    <row r="1" spans="1:8" customFormat="1" ht="18.75" customHeight="1" x14ac:dyDescent="0.35">
      <c r="A1" s="28" t="s">
        <v>1061</v>
      </c>
      <c r="B1" s="83"/>
      <c r="C1" s="83"/>
      <c r="D1" s="83"/>
      <c r="E1" s="83"/>
      <c r="F1" s="83"/>
      <c r="G1" s="84"/>
      <c r="H1" s="83"/>
    </row>
    <row r="2" spans="1:8" customFormat="1" ht="18.75" customHeight="1" x14ac:dyDescent="0.3">
      <c r="A2" s="30" t="s">
        <v>62</v>
      </c>
      <c r="B2" s="83"/>
      <c r="C2" s="83"/>
      <c r="D2" s="83"/>
      <c r="E2" s="83"/>
      <c r="F2" s="83"/>
      <c r="G2" s="84"/>
      <c r="H2" s="83"/>
    </row>
    <row r="3" spans="1:8" customFormat="1" ht="40.200000000000003" x14ac:dyDescent="0.3">
      <c r="A3" s="107" t="s">
        <v>938</v>
      </c>
      <c r="B3" s="87" t="s">
        <v>1062</v>
      </c>
      <c r="C3" s="87" t="s">
        <v>942</v>
      </c>
      <c r="D3" s="87" t="s">
        <v>943</v>
      </c>
      <c r="E3" s="87" t="s">
        <v>1063</v>
      </c>
      <c r="F3" s="87" t="s">
        <v>945</v>
      </c>
    </row>
    <row r="4" spans="1:8" customFormat="1" ht="18.75" customHeight="1" x14ac:dyDescent="0.3">
      <c r="A4" s="112" t="s">
        <v>946</v>
      </c>
      <c r="B4" s="98">
        <v>0</v>
      </c>
      <c r="C4" s="98">
        <v>444300</v>
      </c>
      <c r="D4" s="98">
        <v>816620</v>
      </c>
      <c r="E4" s="98">
        <v>340950</v>
      </c>
      <c r="F4" s="98">
        <v>1601870</v>
      </c>
      <c r="G4" s="113"/>
      <c r="H4" s="113"/>
    </row>
    <row r="5" spans="1:8" customFormat="1" ht="18.75" customHeight="1" x14ac:dyDescent="0.3">
      <c r="A5" s="88" t="s">
        <v>947</v>
      </c>
      <c r="B5" s="99">
        <v>0</v>
      </c>
      <c r="C5" s="99">
        <v>375000</v>
      </c>
      <c r="D5" s="99">
        <v>0</v>
      </c>
      <c r="E5" s="99">
        <v>92320</v>
      </c>
      <c r="F5" s="99">
        <v>467320</v>
      </c>
      <c r="G5" s="113"/>
      <c r="H5" s="113"/>
    </row>
    <row r="6" spans="1:8" customFormat="1" ht="18.75" customHeight="1" x14ac:dyDescent="0.3">
      <c r="A6" s="88" t="s">
        <v>1064</v>
      </c>
      <c r="B6" s="99">
        <v>0</v>
      </c>
      <c r="C6" s="99">
        <v>0</v>
      </c>
      <c r="D6" s="99">
        <v>96620</v>
      </c>
      <c r="E6" s="99">
        <v>222510</v>
      </c>
      <c r="F6" s="99">
        <v>319130</v>
      </c>
      <c r="G6" s="113"/>
      <c r="H6" s="113"/>
    </row>
    <row r="7" spans="1:8" customFormat="1" ht="18.75" customHeight="1" x14ac:dyDescent="0.3">
      <c r="A7" s="88" t="s">
        <v>948</v>
      </c>
      <c r="B7" s="99">
        <v>0</v>
      </c>
      <c r="C7" s="99">
        <v>0</v>
      </c>
      <c r="D7" s="99">
        <v>0</v>
      </c>
      <c r="E7" s="99">
        <v>26120</v>
      </c>
      <c r="F7" s="99">
        <v>26120</v>
      </c>
      <c r="G7" s="113"/>
      <c r="H7" s="113"/>
    </row>
    <row r="8" spans="1:8" customFormat="1" ht="18.75" customHeight="1" x14ac:dyDescent="0.3">
      <c r="A8" s="88" t="s">
        <v>1065</v>
      </c>
      <c r="B8" s="99">
        <v>0</v>
      </c>
      <c r="C8" s="99">
        <v>69300</v>
      </c>
      <c r="D8" s="99">
        <v>0</v>
      </c>
      <c r="E8" s="99">
        <v>0</v>
      </c>
      <c r="F8" s="99">
        <v>69300</v>
      </c>
      <c r="G8" s="113"/>
      <c r="H8" s="113"/>
    </row>
    <row r="9" spans="1:8" customFormat="1" ht="18.75" customHeight="1" x14ac:dyDescent="0.3">
      <c r="A9" s="88" t="s">
        <v>1066</v>
      </c>
      <c r="B9" s="99">
        <v>0</v>
      </c>
      <c r="C9" s="99">
        <v>0</v>
      </c>
      <c r="D9" s="99">
        <v>720000</v>
      </c>
      <c r="E9" s="99">
        <v>0</v>
      </c>
      <c r="F9" s="99">
        <v>720000</v>
      </c>
      <c r="G9" s="113"/>
      <c r="H9" s="113"/>
    </row>
    <row r="10" spans="1:8" customFormat="1" ht="18.75" customHeight="1" x14ac:dyDescent="0.3">
      <c r="A10" s="85" t="s">
        <v>949</v>
      </c>
      <c r="B10" s="98">
        <v>0</v>
      </c>
      <c r="C10" s="98">
        <v>0</v>
      </c>
      <c r="D10" s="98">
        <v>642150</v>
      </c>
      <c r="E10" s="98">
        <v>608150</v>
      </c>
      <c r="F10" s="98">
        <v>1250300</v>
      </c>
      <c r="G10" s="113"/>
      <c r="H10" s="113"/>
    </row>
    <row r="11" spans="1:8" customFormat="1" ht="18.75" customHeight="1" x14ac:dyDescent="0.3">
      <c r="A11" s="88" t="s">
        <v>1067</v>
      </c>
      <c r="B11" s="99">
        <v>0</v>
      </c>
      <c r="C11" s="99">
        <v>0</v>
      </c>
      <c r="D11" s="99">
        <v>0</v>
      </c>
      <c r="E11" s="99">
        <v>139270</v>
      </c>
      <c r="F11" s="99">
        <v>139270</v>
      </c>
      <c r="G11" s="113"/>
      <c r="H11" s="113"/>
    </row>
    <row r="12" spans="1:8" customFormat="1" ht="18.75" customHeight="1" x14ac:dyDescent="0.3">
      <c r="A12" s="88" t="s">
        <v>1068</v>
      </c>
      <c r="B12" s="99">
        <v>0</v>
      </c>
      <c r="C12" s="99">
        <v>0</v>
      </c>
      <c r="D12" s="99">
        <v>0</v>
      </c>
      <c r="E12" s="99">
        <v>151100</v>
      </c>
      <c r="F12" s="99">
        <v>151100</v>
      </c>
      <c r="G12" s="113"/>
      <c r="H12" s="113"/>
    </row>
    <row r="13" spans="1:8" customFormat="1" ht="18.75" customHeight="1" x14ac:dyDescent="0.3">
      <c r="A13" s="88" t="s">
        <v>956</v>
      </c>
      <c r="B13" s="99">
        <v>0</v>
      </c>
      <c r="C13" s="99">
        <v>0</v>
      </c>
      <c r="D13" s="99">
        <v>0</v>
      </c>
      <c r="E13" s="99">
        <v>317780</v>
      </c>
      <c r="F13" s="99">
        <v>317780</v>
      </c>
      <c r="G13" s="113"/>
      <c r="H13" s="113"/>
    </row>
    <row r="14" spans="1:8" customFormat="1" ht="18.75" customHeight="1" x14ac:dyDescent="0.3">
      <c r="A14" s="88" t="s">
        <v>1069</v>
      </c>
      <c r="B14" s="99">
        <v>0</v>
      </c>
      <c r="C14" s="99">
        <v>0</v>
      </c>
      <c r="D14" s="99">
        <v>142500</v>
      </c>
      <c r="E14" s="99">
        <v>0</v>
      </c>
      <c r="F14" s="99">
        <v>142500</v>
      </c>
      <c r="G14" s="113"/>
      <c r="H14" s="113"/>
    </row>
    <row r="15" spans="1:8" customFormat="1" ht="18.75" customHeight="1" x14ac:dyDescent="0.3">
      <c r="A15" s="88" t="s">
        <v>1070</v>
      </c>
      <c r="B15" s="99">
        <v>0</v>
      </c>
      <c r="C15" s="99">
        <v>0</v>
      </c>
      <c r="D15" s="99">
        <v>94650</v>
      </c>
      <c r="E15" s="99">
        <v>0</v>
      </c>
      <c r="F15" s="99">
        <v>94650</v>
      </c>
      <c r="G15" s="113"/>
      <c r="H15" s="113"/>
    </row>
    <row r="16" spans="1:8" customFormat="1" ht="18.75" customHeight="1" x14ac:dyDescent="0.3">
      <c r="A16" s="88" t="s">
        <v>957</v>
      </c>
      <c r="B16" s="99">
        <v>0</v>
      </c>
      <c r="C16" s="99">
        <v>0</v>
      </c>
      <c r="D16" s="99">
        <v>232500</v>
      </c>
      <c r="E16" s="99">
        <v>0</v>
      </c>
      <c r="F16" s="99">
        <v>232500</v>
      </c>
      <c r="G16" s="113"/>
      <c r="H16" s="113"/>
    </row>
    <row r="17" spans="1:8" customFormat="1" ht="18.75" customHeight="1" x14ac:dyDescent="0.3">
      <c r="A17" s="88" t="s">
        <v>1071</v>
      </c>
      <c r="B17" s="99">
        <v>0</v>
      </c>
      <c r="C17" s="99">
        <v>0</v>
      </c>
      <c r="D17" s="99">
        <v>172500</v>
      </c>
      <c r="E17" s="99">
        <v>0</v>
      </c>
      <c r="F17" s="99">
        <v>172500</v>
      </c>
      <c r="G17" s="113"/>
      <c r="H17" s="113"/>
    </row>
    <row r="18" spans="1:8" customFormat="1" ht="18.75" customHeight="1" x14ac:dyDescent="0.3">
      <c r="A18" s="85" t="s">
        <v>959</v>
      </c>
      <c r="B18" s="98">
        <v>0</v>
      </c>
      <c r="C18" s="98">
        <v>97500</v>
      </c>
      <c r="D18" s="98">
        <v>477590</v>
      </c>
      <c r="E18" s="98">
        <v>466890</v>
      </c>
      <c r="F18" s="98">
        <v>1041980</v>
      </c>
      <c r="G18" s="113"/>
      <c r="H18" s="113"/>
    </row>
    <row r="19" spans="1:8" customFormat="1" ht="18.75" customHeight="1" x14ac:dyDescent="0.3">
      <c r="A19" s="88" t="s">
        <v>1072</v>
      </c>
      <c r="B19" s="99">
        <v>0</v>
      </c>
      <c r="C19" s="99">
        <v>0</v>
      </c>
      <c r="D19" s="99">
        <v>330850</v>
      </c>
      <c r="E19" s="99">
        <v>0</v>
      </c>
      <c r="F19" s="99">
        <v>330850</v>
      </c>
      <c r="G19" s="113"/>
      <c r="H19" s="113"/>
    </row>
    <row r="20" spans="1:8" customFormat="1" ht="18.75" customHeight="1" x14ac:dyDescent="0.3">
      <c r="A20" s="88" t="s">
        <v>962</v>
      </c>
      <c r="B20" s="99">
        <v>0</v>
      </c>
      <c r="C20" s="99">
        <v>0</v>
      </c>
      <c r="D20" s="99">
        <v>146740</v>
      </c>
      <c r="E20" s="99">
        <v>0</v>
      </c>
      <c r="F20" s="99">
        <v>146740</v>
      </c>
      <c r="G20" s="113"/>
      <c r="H20" s="113"/>
    </row>
    <row r="21" spans="1:8" customFormat="1" ht="18.600000000000001" customHeight="1" x14ac:dyDescent="0.3">
      <c r="A21" s="88" t="s">
        <v>1073</v>
      </c>
      <c r="B21" s="99">
        <v>0</v>
      </c>
      <c r="C21" s="99">
        <v>97500</v>
      </c>
      <c r="D21" s="99">
        <v>0</v>
      </c>
      <c r="E21" s="99">
        <v>202500</v>
      </c>
      <c r="F21" s="99">
        <v>300000</v>
      </c>
      <c r="G21" s="113"/>
      <c r="H21" s="113"/>
    </row>
    <row r="22" spans="1:8" customFormat="1" ht="18.600000000000001" customHeight="1" x14ac:dyDescent="0.3">
      <c r="A22" s="88" t="s">
        <v>1074</v>
      </c>
      <c r="B22" s="99">
        <v>0</v>
      </c>
      <c r="C22" s="99">
        <v>0</v>
      </c>
      <c r="D22" s="99">
        <v>0</v>
      </c>
      <c r="E22" s="99">
        <v>264390</v>
      </c>
      <c r="F22" s="99">
        <v>264390</v>
      </c>
      <c r="G22" s="113"/>
      <c r="H22" s="113"/>
    </row>
    <row r="23" spans="1:8" customFormat="1" ht="18.75" customHeight="1" x14ac:dyDescent="0.3">
      <c r="A23" s="85" t="s">
        <v>966</v>
      </c>
      <c r="B23" s="98">
        <v>95340</v>
      </c>
      <c r="C23" s="98">
        <v>51000</v>
      </c>
      <c r="D23" s="98">
        <v>184360</v>
      </c>
      <c r="E23" s="98">
        <v>428300</v>
      </c>
      <c r="F23" s="98">
        <v>759000</v>
      </c>
      <c r="G23" s="113"/>
      <c r="H23" s="113"/>
    </row>
    <row r="24" spans="1:8" customFormat="1" ht="18.75" customHeight="1" x14ac:dyDescent="0.3">
      <c r="A24" s="88" t="s">
        <v>1075</v>
      </c>
      <c r="B24" s="99">
        <v>0</v>
      </c>
      <c r="C24" s="99">
        <v>0</v>
      </c>
      <c r="D24" s="99">
        <v>42490</v>
      </c>
      <c r="E24" s="99">
        <v>0</v>
      </c>
      <c r="F24" s="99">
        <v>42490</v>
      </c>
      <c r="G24" s="113"/>
      <c r="H24" s="113"/>
    </row>
    <row r="25" spans="1:8" customFormat="1" ht="18.75" customHeight="1" x14ac:dyDescent="0.3">
      <c r="A25" s="88" t="s">
        <v>1076</v>
      </c>
      <c r="B25" s="99">
        <v>0</v>
      </c>
      <c r="C25" s="99">
        <v>0</v>
      </c>
      <c r="D25" s="99">
        <v>60940</v>
      </c>
      <c r="E25" s="99">
        <v>0</v>
      </c>
      <c r="F25" s="99">
        <v>60940</v>
      </c>
      <c r="G25" s="113"/>
      <c r="H25" s="113"/>
    </row>
    <row r="26" spans="1:8" customFormat="1" ht="18.75" customHeight="1" x14ac:dyDescent="0.3">
      <c r="A26" s="88" t="s">
        <v>974</v>
      </c>
      <c r="B26" s="99">
        <v>0</v>
      </c>
      <c r="C26" s="99">
        <v>0</v>
      </c>
      <c r="D26" s="99">
        <v>0</v>
      </c>
      <c r="E26" s="99">
        <v>150000</v>
      </c>
      <c r="F26" s="99">
        <v>150000</v>
      </c>
      <c r="G26" s="113"/>
      <c r="H26" s="113"/>
    </row>
    <row r="27" spans="1:8" customFormat="1" ht="18.75" customHeight="1" x14ac:dyDescent="0.3">
      <c r="A27" s="88" t="s">
        <v>977</v>
      </c>
      <c r="B27" s="99">
        <v>0</v>
      </c>
      <c r="C27" s="99">
        <v>0</v>
      </c>
      <c r="D27" s="99">
        <v>0</v>
      </c>
      <c r="E27" s="99">
        <v>82500</v>
      </c>
      <c r="F27" s="99">
        <v>82500</v>
      </c>
      <c r="G27" s="113"/>
      <c r="H27" s="113"/>
    </row>
    <row r="28" spans="1:8" customFormat="1" ht="18.75" customHeight="1" x14ac:dyDescent="0.3">
      <c r="A28" s="88" t="s">
        <v>1077</v>
      </c>
      <c r="B28" s="99">
        <v>0</v>
      </c>
      <c r="C28" s="99">
        <v>0</v>
      </c>
      <c r="D28" s="99">
        <v>0</v>
      </c>
      <c r="E28" s="99">
        <v>30000</v>
      </c>
      <c r="F28" s="99">
        <v>30000</v>
      </c>
      <c r="G28" s="113"/>
      <c r="H28" s="113"/>
    </row>
    <row r="29" spans="1:8" customFormat="1" ht="18.75" customHeight="1" x14ac:dyDescent="0.3">
      <c r="A29" s="88" t="s">
        <v>1078</v>
      </c>
      <c r="B29" s="99">
        <v>95340</v>
      </c>
      <c r="C29" s="99">
        <v>0</v>
      </c>
      <c r="D29" s="99">
        <v>0</v>
      </c>
      <c r="E29" s="99">
        <v>0</v>
      </c>
      <c r="F29" s="99">
        <v>95340</v>
      </c>
      <c r="G29" s="113"/>
      <c r="H29" s="113"/>
    </row>
    <row r="30" spans="1:8" customFormat="1" ht="18.75" customHeight="1" x14ac:dyDescent="0.3">
      <c r="A30" s="88" t="s">
        <v>1079</v>
      </c>
      <c r="B30" s="99">
        <v>0</v>
      </c>
      <c r="C30" s="99">
        <v>51000</v>
      </c>
      <c r="D30" s="99">
        <v>0</v>
      </c>
      <c r="E30" s="99">
        <v>0</v>
      </c>
      <c r="F30" s="99">
        <v>51000</v>
      </c>
      <c r="G30" s="113"/>
      <c r="H30" s="113"/>
    </row>
    <row r="31" spans="1:8" customFormat="1" ht="18.75" customHeight="1" x14ac:dyDescent="0.3">
      <c r="A31" s="88" t="s">
        <v>1080</v>
      </c>
      <c r="B31" s="99">
        <v>0</v>
      </c>
      <c r="C31" s="99">
        <v>0</v>
      </c>
      <c r="D31" s="99">
        <v>80930</v>
      </c>
      <c r="E31" s="99">
        <v>98300</v>
      </c>
      <c r="F31" s="99">
        <v>179230</v>
      </c>
      <c r="G31" s="113"/>
      <c r="H31" s="113"/>
    </row>
    <row r="32" spans="1:8" customFormat="1" ht="18.75" customHeight="1" x14ac:dyDescent="0.3">
      <c r="A32" s="88" t="s">
        <v>1081</v>
      </c>
      <c r="B32" s="99">
        <v>0</v>
      </c>
      <c r="C32" s="99">
        <v>0</v>
      </c>
      <c r="D32" s="99">
        <v>0</v>
      </c>
      <c r="E32" s="99">
        <v>67500</v>
      </c>
      <c r="F32" s="99">
        <v>67500</v>
      </c>
      <c r="G32" s="113"/>
      <c r="H32" s="113"/>
    </row>
    <row r="33" spans="1:8" customFormat="1" ht="18.75" customHeight="1" x14ac:dyDescent="0.3">
      <c r="A33" s="85" t="s">
        <v>387</v>
      </c>
      <c r="B33" s="98">
        <v>37500</v>
      </c>
      <c r="C33" s="98">
        <v>0</v>
      </c>
      <c r="D33" s="98">
        <v>2149122</v>
      </c>
      <c r="E33" s="98">
        <v>1682580</v>
      </c>
      <c r="F33" s="98">
        <v>3869202</v>
      </c>
      <c r="G33" s="113"/>
      <c r="H33" s="113"/>
    </row>
    <row r="34" spans="1:8" customFormat="1" ht="18.75" customHeight="1" x14ac:dyDescent="0.3">
      <c r="A34" s="88" t="s">
        <v>987</v>
      </c>
      <c r="B34" s="99">
        <v>0</v>
      </c>
      <c r="C34" s="99">
        <v>0</v>
      </c>
      <c r="D34" s="99">
        <v>737542</v>
      </c>
      <c r="E34" s="99">
        <v>779640</v>
      </c>
      <c r="F34" s="99">
        <v>1517182</v>
      </c>
      <c r="G34" s="113"/>
      <c r="H34" s="113"/>
    </row>
    <row r="35" spans="1:8" customFormat="1" ht="18.75" customHeight="1" x14ac:dyDescent="0.3">
      <c r="A35" s="88" t="s">
        <v>1082</v>
      </c>
      <c r="B35" s="99">
        <v>0</v>
      </c>
      <c r="C35" s="99">
        <v>0</v>
      </c>
      <c r="D35" s="99">
        <v>316710</v>
      </c>
      <c r="E35" s="99">
        <v>0</v>
      </c>
      <c r="F35" s="99">
        <v>316710</v>
      </c>
      <c r="G35" s="113"/>
      <c r="H35" s="113"/>
    </row>
    <row r="36" spans="1:8" customFormat="1" ht="18.75" customHeight="1" x14ac:dyDescent="0.3">
      <c r="A36" s="88" t="s">
        <v>989</v>
      </c>
      <c r="B36" s="99">
        <v>0</v>
      </c>
      <c r="C36" s="99">
        <v>0</v>
      </c>
      <c r="D36" s="99">
        <v>75000</v>
      </c>
      <c r="E36" s="99">
        <v>0</v>
      </c>
      <c r="F36" s="99">
        <v>75000</v>
      </c>
      <c r="G36" s="113"/>
      <c r="H36" s="113"/>
    </row>
    <row r="37" spans="1:8" customFormat="1" ht="18.75" customHeight="1" x14ac:dyDescent="0.3">
      <c r="A37" s="109" t="s">
        <v>1083</v>
      </c>
      <c r="B37" s="99">
        <v>0</v>
      </c>
      <c r="C37" s="99">
        <v>0</v>
      </c>
      <c r="D37" s="37">
        <v>300430</v>
      </c>
      <c r="E37" s="37">
        <v>0</v>
      </c>
      <c r="F37" s="99">
        <v>300430</v>
      </c>
      <c r="G37" s="113"/>
      <c r="H37" s="113"/>
    </row>
    <row r="38" spans="1:8" customFormat="1" ht="18.75" customHeight="1" x14ac:dyDescent="0.3">
      <c r="A38" s="109" t="s">
        <v>1084</v>
      </c>
      <c r="B38" s="99">
        <v>0</v>
      </c>
      <c r="C38" s="99">
        <v>0</v>
      </c>
      <c r="D38" s="37">
        <v>89390</v>
      </c>
      <c r="E38" s="37">
        <v>902940</v>
      </c>
      <c r="F38" s="99">
        <v>992330</v>
      </c>
      <c r="G38" s="113"/>
      <c r="H38" s="113"/>
    </row>
    <row r="39" spans="1:8" customFormat="1" ht="18.75" customHeight="1" x14ac:dyDescent="0.3">
      <c r="A39" s="88" t="s">
        <v>1085</v>
      </c>
      <c r="B39" s="99">
        <v>0</v>
      </c>
      <c r="C39" s="99">
        <v>0</v>
      </c>
      <c r="D39" s="99">
        <v>96220</v>
      </c>
      <c r="E39" s="99">
        <v>0</v>
      </c>
      <c r="F39" s="99">
        <v>96220</v>
      </c>
      <c r="G39" s="113"/>
      <c r="H39" s="113"/>
    </row>
    <row r="40" spans="1:8" customFormat="1" ht="18.75" customHeight="1" x14ac:dyDescent="0.3">
      <c r="A40" s="109" t="s">
        <v>1086</v>
      </c>
      <c r="B40" s="99">
        <v>0</v>
      </c>
      <c r="C40" s="99">
        <v>0</v>
      </c>
      <c r="D40" s="37">
        <v>254040</v>
      </c>
      <c r="E40" s="37">
        <v>0</v>
      </c>
      <c r="F40" s="99">
        <v>254040</v>
      </c>
      <c r="G40" s="113"/>
      <c r="H40" s="113"/>
    </row>
    <row r="41" spans="1:8" customFormat="1" ht="18.75" customHeight="1" x14ac:dyDescent="0.3">
      <c r="A41" s="88" t="s">
        <v>401</v>
      </c>
      <c r="B41" s="99">
        <v>0</v>
      </c>
      <c r="C41" s="99">
        <v>0</v>
      </c>
      <c r="D41" s="99">
        <v>279790</v>
      </c>
      <c r="E41" s="99">
        <v>0</v>
      </c>
      <c r="F41" s="99">
        <v>279790</v>
      </c>
      <c r="G41" s="113"/>
      <c r="H41" s="113"/>
    </row>
    <row r="42" spans="1:8" customFormat="1" ht="18.75" customHeight="1" x14ac:dyDescent="0.3">
      <c r="A42" s="109" t="s">
        <v>1087</v>
      </c>
      <c r="B42" s="99">
        <v>37500</v>
      </c>
      <c r="C42" s="99">
        <v>0</v>
      </c>
      <c r="D42" s="37">
        <v>0</v>
      </c>
      <c r="E42" s="37">
        <v>0</v>
      </c>
      <c r="F42" s="99">
        <v>37500</v>
      </c>
      <c r="G42" s="113"/>
      <c r="H42" s="113"/>
    </row>
    <row r="43" spans="1:8" customFormat="1" ht="18.75" customHeight="1" x14ac:dyDescent="0.3">
      <c r="A43" s="85" t="s">
        <v>993</v>
      </c>
      <c r="B43" s="98">
        <v>0</v>
      </c>
      <c r="C43" s="98">
        <v>0</v>
      </c>
      <c r="D43" s="98">
        <v>309480</v>
      </c>
      <c r="E43" s="98">
        <v>1847890</v>
      </c>
      <c r="F43" s="98">
        <v>2157370</v>
      </c>
      <c r="G43" s="113"/>
      <c r="H43" s="113"/>
    </row>
    <row r="44" spans="1:8" customFormat="1" ht="18.75" customHeight="1" x14ac:dyDescent="0.3">
      <c r="A44" s="109" t="s">
        <v>1088</v>
      </c>
      <c r="B44" s="99">
        <v>0</v>
      </c>
      <c r="C44" s="99">
        <v>0</v>
      </c>
      <c r="D44" s="37">
        <v>0</v>
      </c>
      <c r="E44" s="37">
        <v>316310</v>
      </c>
      <c r="F44" s="99">
        <v>316310</v>
      </c>
      <c r="G44" s="113"/>
      <c r="H44" s="113"/>
    </row>
    <row r="45" spans="1:8" customFormat="1" ht="18.75" customHeight="1" x14ac:dyDescent="0.3">
      <c r="A45" s="109" t="s">
        <v>997</v>
      </c>
      <c r="B45" s="99">
        <v>0</v>
      </c>
      <c r="C45" s="99">
        <v>0</v>
      </c>
      <c r="D45" s="37">
        <v>133780</v>
      </c>
      <c r="E45" s="37">
        <v>0</v>
      </c>
      <c r="F45" s="99">
        <v>133780</v>
      </c>
      <c r="G45" s="113"/>
      <c r="H45" s="113"/>
    </row>
    <row r="46" spans="1:8" customFormat="1" ht="18.75" customHeight="1" x14ac:dyDescent="0.3">
      <c r="A46" s="88" t="s">
        <v>1089</v>
      </c>
      <c r="B46" s="99">
        <v>0</v>
      </c>
      <c r="C46" s="99">
        <v>0</v>
      </c>
      <c r="D46" s="99">
        <v>142500</v>
      </c>
      <c r="E46" s="99">
        <v>0</v>
      </c>
      <c r="F46" s="99">
        <v>142500</v>
      </c>
      <c r="G46" s="113"/>
      <c r="H46" s="113"/>
    </row>
    <row r="47" spans="1:8" customFormat="1" ht="18.75" customHeight="1" x14ac:dyDescent="0.3">
      <c r="A47" s="88" t="s">
        <v>1090</v>
      </c>
      <c r="B47" s="99">
        <v>0</v>
      </c>
      <c r="C47" s="99">
        <v>0</v>
      </c>
      <c r="D47" s="37">
        <v>0</v>
      </c>
      <c r="E47" s="37">
        <v>360000</v>
      </c>
      <c r="F47" s="99">
        <v>360000</v>
      </c>
      <c r="G47" s="113"/>
      <c r="H47" s="113"/>
    </row>
    <row r="48" spans="1:8" customFormat="1" ht="18.75" customHeight="1" x14ac:dyDescent="0.3">
      <c r="A48" s="88" t="s">
        <v>1091</v>
      </c>
      <c r="B48" s="99">
        <v>0</v>
      </c>
      <c r="C48" s="99">
        <v>0</v>
      </c>
      <c r="D48" s="99">
        <v>0</v>
      </c>
      <c r="E48" s="99">
        <v>60090</v>
      </c>
      <c r="F48" s="99">
        <v>60090</v>
      </c>
      <c r="G48" s="113"/>
      <c r="H48" s="113"/>
    </row>
    <row r="49" spans="1:8" customFormat="1" ht="18.75" customHeight="1" x14ac:dyDescent="0.3">
      <c r="A49" s="88" t="s">
        <v>1092</v>
      </c>
      <c r="B49" s="99">
        <v>0</v>
      </c>
      <c r="C49" s="99">
        <v>0</v>
      </c>
      <c r="D49" s="99">
        <v>0</v>
      </c>
      <c r="E49" s="99">
        <v>150360</v>
      </c>
      <c r="F49" s="99">
        <v>150360</v>
      </c>
      <c r="G49" s="113"/>
      <c r="H49" s="113"/>
    </row>
    <row r="50" spans="1:8" customFormat="1" ht="18.75" customHeight="1" x14ac:dyDescent="0.3">
      <c r="A50" s="88" t="s">
        <v>499</v>
      </c>
      <c r="B50" s="99">
        <v>0</v>
      </c>
      <c r="C50" s="99">
        <v>0</v>
      </c>
      <c r="D50" s="99">
        <v>0</v>
      </c>
      <c r="E50" s="99">
        <v>195000</v>
      </c>
      <c r="F50" s="99">
        <v>195000</v>
      </c>
      <c r="G50" s="113"/>
      <c r="H50" s="113"/>
    </row>
    <row r="51" spans="1:8" customFormat="1" ht="18.75" customHeight="1" x14ac:dyDescent="0.3">
      <c r="A51" s="88" t="s">
        <v>1002</v>
      </c>
      <c r="B51" s="99">
        <v>0</v>
      </c>
      <c r="C51" s="99">
        <v>0</v>
      </c>
      <c r="D51" s="99">
        <v>33200</v>
      </c>
      <c r="E51" s="99">
        <v>0</v>
      </c>
      <c r="F51" s="99">
        <v>33200</v>
      </c>
      <c r="G51" s="113"/>
      <c r="H51" s="113"/>
    </row>
    <row r="52" spans="1:8" customFormat="1" ht="18.75" customHeight="1" x14ac:dyDescent="0.3">
      <c r="A52" s="88" t="s">
        <v>1093</v>
      </c>
      <c r="B52" s="99">
        <v>0</v>
      </c>
      <c r="C52" s="99">
        <v>0</v>
      </c>
      <c r="D52" s="37">
        <v>0</v>
      </c>
      <c r="E52" s="37">
        <v>5780</v>
      </c>
      <c r="F52" s="99">
        <v>5780</v>
      </c>
      <c r="G52" s="113"/>
      <c r="H52" s="113"/>
    </row>
    <row r="53" spans="1:8" customFormat="1" ht="18.75" customHeight="1" x14ac:dyDescent="0.3">
      <c r="A53" s="88" t="s">
        <v>1094</v>
      </c>
      <c r="B53" s="99">
        <v>0</v>
      </c>
      <c r="C53" s="99">
        <v>0</v>
      </c>
      <c r="D53" s="99">
        <v>0</v>
      </c>
      <c r="E53" s="99">
        <v>65000</v>
      </c>
      <c r="F53" s="99">
        <v>65000</v>
      </c>
      <c r="G53" s="113"/>
      <c r="H53" s="113"/>
    </row>
    <row r="54" spans="1:8" customFormat="1" ht="18.75" customHeight="1" x14ac:dyDescent="0.3">
      <c r="A54" s="109" t="s">
        <v>1005</v>
      </c>
      <c r="B54" s="99">
        <v>0</v>
      </c>
      <c r="C54" s="99">
        <v>0</v>
      </c>
      <c r="D54" s="37">
        <v>0</v>
      </c>
      <c r="E54" s="37">
        <v>695350</v>
      </c>
      <c r="F54" s="99">
        <v>695350</v>
      </c>
      <c r="G54" s="113"/>
      <c r="H54" s="113"/>
    </row>
    <row r="55" spans="1:8" customFormat="1" ht="18.75" customHeight="1" x14ac:dyDescent="0.3">
      <c r="A55" s="85" t="s">
        <v>1008</v>
      </c>
      <c r="B55" s="98">
        <v>150000</v>
      </c>
      <c r="C55" s="98">
        <v>689450</v>
      </c>
      <c r="D55" s="98">
        <v>13803180</v>
      </c>
      <c r="E55" s="98">
        <v>2061070</v>
      </c>
      <c r="F55" s="98">
        <v>16703700</v>
      </c>
      <c r="G55" s="113"/>
      <c r="H55" s="113"/>
    </row>
    <row r="56" spans="1:8" customFormat="1" ht="18.75" customHeight="1" x14ac:dyDescent="0.3">
      <c r="A56" s="88" t="s">
        <v>1009</v>
      </c>
      <c r="B56" s="99">
        <v>0</v>
      </c>
      <c r="C56" s="99">
        <v>0</v>
      </c>
      <c r="D56" s="99">
        <v>0</v>
      </c>
      <c r="E56" s="99">
        <v>283800</v>
      </c>
      <c r="F56" s="99">
        <v>283800</v>
      </c>
      <c r="G56" s="113"/>
      <c r="H56" s="113"/>
    </row>
    <row r="57" spans="1:8" customFormat="1" ht="18.75" customHeight="1" x14ac:dyDescent="0.3">
      <c r="A57" s="88" t="s">
        <v>1095</v>
      </c>
      <c r="B57" s="99">
        <v>0</v>
      </c>
      <c r="C57" s="99">
        <v>0</v>
      </c>
      <c r="D57" s="99">
        <v>3549600</v>
      </c>
      <c r="E57" s="99">
        <v>0</v>
      </c>
      <c r="F57" s="99">
        <v>3549600</v>
      </c>
      <c r="G57" s="113"/>
      <c r="H57" s="113"/>
    </row>
    <row r="58" spans="1:8" customFormat="1" ht="18.75" customHeight="1" x14ac:dyDescent="0.3">
      <c r="A58" s="109" t="s">
        <v>1096</v>
      </c>
      <c r="B58" s="99">
        <v>150000</v>
      </c>
      <c r="C58" s="99">
        <v>0</v>
      </c>
      <c r="D58" s="37">
        <v>0</v>
      </c>
      <c r="E58" s="37">
        <v>0</v>
      </c>
      <c r="F58" s="99">
        <v>150000</v>
      </c>
      <c r="G58" s="113"/>
      <c r="H58" s="113"/>
    </row>
    <row r="59" spans="1:8" customFormat="1" ht="18.75" customHeight="1" x14ac:dyDescent="0.3">
      <c r="A59" s="109" t="s">
        <v>1010</v>
      </c>
      <c r="B59" s="99">
        <v>0</v>
      </c>
      <c r="C59" s="99">
        <v>0</v>
      </c>
      <c r="D59" s="37">
        <v>300000</v>
      </c>
      <c r="E59" s="37">
        <v>172500</v>
      </c>
      <c r="F59" s="99">
        <v>472500</v>
      </c>
      <c r="G59" s="113"/>
      <c r="H59" s="113"/>
    </row>
    <row r="60" spans="1:8" customFormat="1" ht="18.75" customHeight="1" x14ac:dyDescent="0.3">
      <c r="A60" s="88" t="s">
        <v>1011</v>
      </c>
      <c r="B60" s="99">
        <v>0</v>
      </c>
      <c r="C60" s="99">
        <v>293010</v>
      </c>
      <c r="D60" s="99">
        <v>209550</v>
      </c>
      <c r="E60" s="99">
        <v>0</v>
      </c>
      <c r="F60" s="99">
        <v>502560</v>
      </c>
      <c r="G60" s="113"/>
      <c r="H60" s="113"/>
    </row>
    <row r="61" spans="1:8" customFormat="1" ht="18.75" customHeight="1" x14ac:dyDescent="0.3">
      <c r="A61" s="88" t="s">
        <v>1097</v>
      </c>
      <c r="B61" s="99">
        <v>0</v>
      </c>
      <c r="C61" s="99">
        <v>0</v>
      </c>
      <c r="D61" s="99">
        <v>300000</v>
      </c>
      <c r="E61" s="99">
        <v>0</v>
      </c>
      <c r="F61" s="99">
        <v>300000</v>
      </c>
      <c r="G61" s="113"/>
      <c r="H61" s="113"/>
    </row>
    <row r="62" spans="1:8" customFormat="1" ht="18.75" customHeight="1" x14ac:dyDescent="0.3">
      <c r="A62" s="109" t="s">
        <v>1098</v>
      </c>
      <c r="B62" s="99">
        <v>0</v>
      </c>
      <c r="C62" s="99">
        <v>0</v>
      </c>
      <c r="D62" s="37">
        <v>255000</v>
      </c>
      <c r="E62" s="37">
        <v>0</v>
      </c>
      <c r="F62" s="99">
        <v>255000</v>
      </c>
      <c r="G62" s="113"/>
      <c r="H62" s="113"/>
    </row>
    <row r="63" spans="1:8" customFormat="1" ht="18.75" customHeight="1" x14ac:dyDescent="0.3">
      <c r="A63" s="88" t="s">
        <v>1012</v>
      </c>
      <c r="B63" s="99">
        <v>0</v>
      </c>
      <c r="C63" s="99">
        <v>0</v>
      </c>
      <c r="D63" s="99">
        <v>72000</v>
      </c>
      <c r="E63" s="99">
        <v>0</v>
      </c>
      <c r="F63" s="99">
        <v>72000</v>
      </c>
      <c r="G63" s="113"/>
      <c r="H63" s="113"/>
    </row>
    <row r="64" spans="1:8" customFormat="1" ht="18.75" customHeight="1" x14ac:dyDescent="0.3">
      <c r="A64" s="88" t="s">
        <v>1013</v>
      </c>
      <c r="B64" s="99">
        <v>0</v>
      </c>
      <c r="C64" s="99">
        <v>0</v>
      </c>
      <c r="D64" s="99">
        <v>4218750</v>
      </c>
      <c r="E64" s="99">
        <v>0</v>
      </c>
      <c r="F64" s="99">
        <v>4218750</v>
      </c>
      <c r="G64" s="113"/>
      <c r="H64" s="113"/>
    </row>
    <row r="65" spans="1:8" customFormat="1" ht="18.75" customHeight="1" x14ac:dyDescent="0.3">
      <c r="A65" s="88" t="s">
        <v>1014</v>
      </c>
      <c r="B65" s="99">
        <v>0</v>
      </c>
      <c r="C65" s="99">
        <v>0</v>
      </c>
      <c r="D65" s="99">
        <v>109900</v>
      </c>
      <c r="E65" s="99">
        <v>0</v>
      </c>
      <c r="F65" s="99">
        <v>109900</v>
      </c>
      <c r="G65" s="113"/>
      <c r="H65" s="113"/>
    </row>
    <row r="66" spans="1:8" customFormat="1" ht="18.75" customHeight="1" x14ac:dyDescent="0.3">
      <c r="A66" s="109" t="s">
        <v>1099</v>
      </c>
      <c r="B66" s="99">
        <v>0</v>
      </c>
      <c r="C66" s="99">
        <v>0</v>
      </c>
      <c r="D66" s="37">
        <v>346490</v>
      </c>
      <c r="E66" s="37">
        <v>0</v>
      </c>
      <c r="F66" s="99">
        <v>346490</v>
      </c>
      <c r="G66" s="113"/>
      <c r="H66" s="113"/>
    </row>
    <row r="67" spans="1:8" customFormat="1" ht="18.75" customHeight="1" x14ac:dyDescent="0.3">
      <c r="A67" s="88" t="s">
        <v>1016</v>
      </c>
      <c r="B67" s="99">
        <v>0</v>
      </c>
      <c r="C67" s="99">
        <v>0</v>
      </c>
      <c r="D67" s="99">
        <v>120000</v>
      </c>
      <c r="E67" s="99">
        <v>131380</v>
      </c>
      <c r="F67" s="99">
        <v>251380</v>
      </c>
      <c r="G67" s="113"/>
      <c r="H67" s="113"/>
    </row>
    <row r="68" spans="1:8" customFormat="1" ht="18.75" customHeight="1" x14ac:dyDescent="0.3">
      <c r="A68" s="88" t="s">
        <v>1100</v>
      </c>
      <c r="B68" s="99">
        <v>0</v>
      </c>
      <c r="C68" s="99">
        <v>69190</v>
      </c>
      <c r="D68" s="99">
        <v>0</v>
      </c>
      <c r="E68" s="99">
        <v>127590</v>
      </c>
      <c r="F68" s="99">
        <v>196780</v>
      </c>
      <c r="G68" s="113"/>
      <c r="H68" s="113"/>
    </row>
    <row r="69" spans="1:8" customFormat="1" ht="18.75" customHeight="1" x14ac:dyDescent="0.3">
      <c r="A69" s="88" t="s">
        <v>1101</v>
      </c>
      <c r="B69" s="99">
        <v>0</v>
      </c>
      <c r="C69" s="99">
        <v>157000</v>
      </c>
      <c r="D69" s="99">
        <v>753190</v>
      </c>
      <c r="E69" s="99">
        <v>0</v>
      </c>
      <c r="F69" s="99">
        <v>910190</v>
      </c>
      <c r="G69" s="113"/>
      <c r="H69" s="113"/>
    </row>
    <row r="70" spans="1:8" customFormat="1" ht="18.75" customHeight="1" x14ac:dyDescent="0.3">
      <c r="A70" s="88" t="s">
        <v>1102</v>
      </c>
      <c r="B70" s="99">
        <v>0</v>
      </c>
      <c r="C70" s="99">
        <v>0</v>
      </c>
      <c r="D70" s="99">
        <v>557610</v>
      </c>
      <c r="E70" s="99">
        <v>0</v>
      </c>
      <c r="F70" s="99">
        <v>557610</v>
      </c>
      <c r="G70" s="113"/>
      <c r="H70" s="113"/>
    </row>
    <row r="71" spans="1:8" customFormat="1" ht="18.75" customHeight="1" x14ac:dyDescent="0.3">
      <c r="A71" s="88" t="s">
        <v>1017</v>
      </c>
      <c r="B71" s="99">
        <v>0</v>
      </c>
      <c r="C71" s="99">
        <v>0</v>
      </c>
      <c r="D71" s="99">
        <v>300180</v>
      </c>
      <c r="E71" s="99">
        <v>0</v>
      </c>
      <c r="F71" s="99">
        <v>300180</v>
      </c>
      <c r="G71" s="113"/>
      <c r="H71" s="113"/>
    </row>
    <row r="72" spans="1:8" customFormat="1" ht="18.75" customHeight="1" x14ac:dyDescent="0.3">
      <c r="A72" s="88" t="s">
        <v>1018</v>
      </c>
      <c r="B72" s="99">
        <v>0</v>
      </c>
      <c r="C72" s="99">
        <v>0</v>
      </c>
      <c r="D72" s="99">
        <v>37440</v>
      </c>
      <c r="E72" s="99">
        <v>0</v>
      </c>
      <c r="F72" s="99">
        <v>37440</v>
      </c>
      <c r="G72" s="113"/>
      <c r="H72" s="113"/>
    </row>
    <row r="73" spans="1:8" customFormat="1" ht="18.75" customHeight="1" x14ac:dyDescent="0.3">
      <c r="A73" s="88" t="s">
        <v>1103</v>
      </c>
      <c r="B73" s="99">
        <v>0</v>
      </c>
      <c r="C73" s="99">
        <v>170250</v>
      </c>
      <c r="D73" s="99">
        <v>247840</v>
      </c>
      <c r="E73" s="99">
        <v>0</v>
      </c>
      <c r="F73" s="99">
        <v>418090</v>
      </c>
      <c r="G73" s="113"/>
      <c r="H73" s="113"/>
    </row>
    <row r="74" spans="1:8" customFormat="1" ht="18.75" customHeight="1" x14ac:dyDescent="0.3">
      <c r="A74" s="88" t="s">
        <v>1019</v>
      </c>
      <c r="B74" s="99">
        <v>0</v>
      </c>
      <c r="C74" s="99">
        <v>0</v>
      </c>
      <c r="D74" s="99">
        <v>0</v>
      </c>
      <c r="E74" s="99">
        <v>1042460</v>
      </c>
      <c r="F74" s="99">
        <v>1042460</v>
      </c>
      <c r="G74" s="113"/>
      <c r="H74" s="113"/>
    </row>
    <row r="75" spans="1:8" customFormat="1" ht="18.75" customHeight="1" x14ac:dyDescent="0.3">
      <c r="A75" s="88" t="s">
        <v>1020</v>
      </c>
      <c r="B75" s="99">
        <v>0</v>
      </c>
      <c r="C75" s="99">
        <v>0</v>
      </c>
      <c r="D75" s="99">
        <v>300170</v>
      </c>
      <c r="E75" s="99">
        <v>0</v>
      </c>
      <c r="F75" s="99">
        <v>300170</v>
      </c>
      <c r="G75" s="113"/>
      <c r="H75" s="113"/>
    </row>
    <row r="76" spans="1:8" customFormat="1" ht="18.75" customHeight="1" x14ac:dyDescent="0.3">
      <c r="A76" s="88" t="s">
        <v>1021</v>
      </c>
      <c r="B76" s="99">
        <v>0</v>
      </c>
      <c r="C76" s="99">
        <v>0</v>
      </c>
      <c r="D76" s="99">
        <v>1718500</v>
      </c>
      <c r="E76" s="99">
        <v>0</v>
      </c>
      <c r="F76" s="99">
        <v>1718500</v>
      </c>
      <c r="G76" s="113"/>
      <c r="H76" s="113"/>
    </row>
    <row r="77" spans="1:8" customFormat="1" ht="18.75" customHeight="1" x14ac:dyDescent="0.3">
      <c r="A77" s="88" t="s">
        <v>1022</v>
      </c>
      <c r="B77" s="99">
        <v>0</v>
      </c>
      <c r="C77" s="99">
        <v>0</v>
      </c>
      <c r="D77" s="99">
        <v>0</v>
      </c>
      <c r="E77" s="99">
        <v>303340</v>
      </c>
      <c r="F77" s="99">
        <v>303340</v>
      </c>
      <c r="G77" s="113"/>
      <c r="H77" s="113"/>
    </row>
    <row r="78" spans="1:8" customFormat="1" ht="18.75" customHeight="1" x14ac:dyDescent="0.3">
      <c r="A78" s="88" t="s">
        <v>1104</v>
      </c>
      <c r="B78" s="99">
        <v>0</v>
      </c>
      <c r="C78" s="99">
        <v>0</v>
      </c>
      <c r="D78" s="99">
        <v>406960</v>
      </c>
      <c r="E78" s="99">
        <v>0</v>
      </c>
      <c r="F78" s="99">
        <v>406960</v>
      </c>
      <c r="G78" s="113"/>
      <c r="H78" s="113"/>
    </row>
    <row r="79" spans="1:8" customFormat="1" ht="18.75" customHeight="1" x14ac:dyDescent="0.3">
      <c r="A79" s="85" t="s">
        <v>1023</v>
      </c>
      <c r="B79" s="98">
        <v>67500</v>
      </c>
      <c r="C79" s="98">
        <v>50300</v>
      </c>
      <c r="D79" s="98">
        <v>1449320</v>
      </c>
      <c r="E79" s="98">
        <v>4834520</v>
      </c>
      <c r="F79" s="98">
        <v>6401640</v>
      </c>
      <c r="G79" s="113"/>
      <c r="H79" s="113"/>
    </row>
    <row r="80" spans="1:8" customFormat="1" ht="18.75" customHeight="1" x14ac:dyDescent="0.3">
      <c r="A80" s="88" t="s">
        <v>1105</v>
      </c>
      <c r="B80" s="99">
        <v>0</v>
      </c>
      <c r="C80" s="99">
        <v>0</v>
      </c>
      <c r="D80" s="99">
        <v>174300</v>
      </c>
      <c r="E80" s="99">
        <v>0</v>
      </c>
      <c r="F80" s="99">
        <v>174300</v>
      </c>
      <c r="G80" s="113"/>
      <c r="H80" s="113"/>
    </row>
    <row r="81" spans="1:9" customFormat="1" ht="18.75" customHeight="1" x14ac:dyDescent="0.3">
      <c r="A81" s="88" t="s">
        <v>1025</v>
      </c>
      <c r="B81" s="99">
        <v>0</v>
      </c>
      <c r="C81" s="99">
        <v>0</v>
      </c>
      <c r="D81" s="99">
        <v>98620</v>
      </c>
      <c r="E81" s="99">
        <v>0</v>
      </c>
      <c r="F81" s="99">
        <v>98620</v>
      </c>
      <c r="G81" s="113"/>
      <c r="H81" s="113"/>
    </row>
    <row r="82" spans="1:9" customFormat="1" ht="18.75" customHeight="1" x14ac:dyDescent="0.3">
      <c r="A82" s="88" t="s">
        <v>1026</v>
      </c>
      <c r="B82" s="99">
        <v>0</v>
      </c>
      <c r="C82" s="99">
        <v>0</v>
      </c>
      <c r="D82" s="99">
        <v>144350</v>
      </c>
      <c r="E82" s="99">
        <v>0</v>
      </c>
      <c r="F82" s="99">
        <v>144350</v>
      </c>
      <c r="G82" s="113"/>
      <c r="H82" s="113"/>
    </row>
    <row r="83" spans="1:9" customFormat="1" ht="18.600000000000001" customHeight="1" x14ac:dyDescent="0.3">
      <c r="A83" s="88" t="s">
        <v>1027</v>
      </c>
      <c r="B83" s="99">
        <v>0</v>
      </c>
      <c r="C83" s="99">
        <v>0</v>
      </c>
      <c r="D83" s="99">
        <v>0</v>
      </c>
      <c r="E83" s="99">
        <v>406770</v>
      </c>
      <c r="F83" s="99">
        <v>406770</v>
      </c>
      <c r="G83" s="113"/>
      <c r="H83" s="113"/>
    </row>
    <row r="84" spans="1:9" customFormat="1" ht="18.75" customHeight="1" x14ac:dyDescent="0.3">
      <c r="A84" s="88" t="s">
        <v>1106</v>
      </c>
      <c r="B84" s="99">
        <v>0</v>
      </c>
      <c r="C84" s="99">
        <v>0</v>
      </c>
      <c r="D84" s="99">
        <v>0</v>
      </c>
      <c r="E84" s="99">
        <v>90000</v>
      </c>
      <c r="F84" s="99">
        <v>90000</v>
      </c>
      <c r="G84" s="113"/>
      <c r="H84" s="113"/>
    </row>
    <row r="85" spans="1:9" customFormat="1" ht="18.75" customHeight="1" x14ac:dyDescent="0.3">
      <c r="A85" s="88" t="s">
        <v>1107</v>
      </c>
      <c r="B85" s="99">
        <v>0</v>
      </c>
      <c r="C85" s="99">
        <v>0</v>
      </c>
      <c r="D85" s="99">
        <v>0</v>
      </c>
      <c r="E85" s="99">
        <v>300000</v>
      </c>
      <c r="F85" s="99">
        <v>300000</v>
      </c>
      <c r="G85" s="113"/>
      <c r="H85" s="113"/>
    </row>
    <row r="86" spans="1:9" customFormat="1" ht="18.75" customHeight="1" x14ac:dyDescent="0.3">
      <c r="A86" s="109" t="s">
        <v>1033</v>
      </c>
      <c r="B86" s="99">
        <v>0</v>
      </c>
      <c r="C86" s="99">
        <v>0</v>
      </c>
      <c r="D86" s="37">
        <v>0</v>
      </c>
      <c r="E86" s="37">
        <v>13620</v>
      </c>
      <c r="F86" s="99">
        <v>13620</v>
      </c>
      <c r="G86" s="113"/>
      <c r="H86" s="113"/>
    </row>
    <row r="87" spans="1:9" customFormat="1" ht="18.75" customHeight="1" x14ac:dyDescent="0.3">
      <c r="A87" s="88" t="s">
        <v>1108</v>
      </c>
      <c r="B87" s="99">
        <v>0</v>
      </c>
      <c r="C87" s="99">
        <v>0</v>
      </c>
      <c r="D87" s="99">
        <v>0</v>
      </c>
      <c r="E87" s="99">
        <v>238000</v>
      </c>
      <c r="F87" s="99">
        <v>238000</v>
      </c>
      <c r="G87" s="113"/>
      <c r="H87" s="113"/>
    </row>
    <row r="88" spans="1:9" customFormat="1" ht="18.75" customHeight="1" x14ac:dyDescent="0.3">
      <c r="A88" s="88" t="s">
        <v>1109</v>
      </c>
      <c r="B88" s="99">
        <v>0</v>
      </c>
      <c r="C88" s="99">
        <v>0</v>
      </c>
      <c r="D88" s="99">
        <v>0</v>
      </c>
      <c r="E88" s="99">
        <v>60000</v>
      </c>
      <c r="F88" s="99">
        <v>60000</v>
      </c>
      <c r="G88" s="113"/>
      <c r="H88" s="113"/>
    </row>
    <row r="89" spans="1:9" customFormat="1" ht="18.75" customHeight="1" x14ac:dyDescent="0.3">
      <c r="A89" s="88" t="s">
        <v>599</v>
      </c>
      <c r="B89" s="99">
        <v>67500</v>
      </c>
      <c r="C89" s="99">
        <v>0</v>
      </c>
      <c r="D89" s="99">
        <v>0</v>
      </c>
      <c r="E89" s="99">
        <v>0</v>
      </c>
      <c r="F89" s="99">
        <v>67500</v>
      </c>
      <c r="G89" s="113"/>
      <c r="H89" s="113"/>
    </row>
    <row r="90" spans="1:9" customFormat="1" ht="18.75" customHeight="1" x14ac:dyDescent="0.3">
      <c r="A90" s="88" t="s">
        <v>1110</v>
      </c>
      <c r="B90" s="99">
        <v>0</v>
      </c>
      <c r="C90" s="99">
        <v>0</v>
      </c>
      <c r="D90" s="99">
        <v>0</v>
      </c>
      <c r="E90" s="99">
        <v>23900</v>
      </c>
      <c r="F90" s="99">
        <v>23900</v>
      </c>
      <c r="G90" s="113"/>
      <c r="H90" s="113"/>
    </row>
    <row r="91" spans="1:9" customFormat="1" ht="18.75" customHeight="1" x14ac:dyDescent="0.3">
      <c r="A91" s="88" t="s">
        <v>1111</v>
      </c>
      <c r="B91" s="99">
        <v>0</v>
      </c>
      <c r="C91" s="99">
        <v>50300</v>
      </c>
      <c r="D91" s="99">
        <v>0</v>
      </c>
      <c r="E91" s="99">
        <v>129720</v>
      </c>
      <c r="F91" s="99">
        <v>180020</v>
      </c>
      <c r="G91" s="113"/>
      <c r="H91" s="113"/>
    </row>
    <row r="92" spans="1:9" customFormat="1" ht="18.75" customHeight="1" x14ac:dyDescent="0.3">
      <c r="A92" s="88" t="s">
        <v>1112</v>
      </c>
      <c r="B92" s="99">
        <v>0</v>
      </c>
      <c r="C92" s="99">
        <v>0</v>
      </c>
      <c r="D92" s="99">
        <v>0</v>
      </c>
      <c r="E92" s="99">
        <v>184650</v>
      </c>
      <c r="F92" s="99">
        <v>184650</v>
      </c>
      <c r="G92" s="113"/>
      <c r="H92" s="113"/>
    </row>
    <row r="93" spans="1:9" customFormat="1" ht="18.75" customHeight="1" x14ac:dyDescent="0.3">
      <c r="A93" s="88" t="s">
        <v>1113</v>
      </c>
      <c r="B93" s="99">
        <v>0</v>
      </c>
      <c r="C93" s="99">
        <v>0</v>
      </c>
      <c r="D93" s="99">
        <v>0</v>
      </c>
      <c r="E93" s="99">
        <v>210190</v>
      </c>
      <c r="F93" s="99">
        <v>210190</v>
      </c>
      <c r="G93" s="113"/>
      <c r="H93" s="113"/>
    </row>
    <row r="94" spans="1:9" customFormat="1" ht="18.75" customHeight="1" x14ac:dyDescent="0.3">
      <c r="A94" s="88" t="s">
        <v>1114</v>
      </c>
      <c r="B94" s="99">
        <v>0</v>
      </c>
      <c r="C94" s="99">
        <v>0</v>
      </c>
      <c r="D94" s="99">
        <v>865960</v>
      </c>
      <c r="E94" s="99">
        <v>0</v>
      </c>
      <c r="F94" s="99">
        <v>865960</v>
      </c>
      <c r="G94" s="113"/>
      <c r="H94" s="113"/>
    </row>
    <row r="95" spans="1:9" s="93" customFormat="1" ht="18.75" customHeight="1" x14ac:dyDescent="0.3">
      <c r="A95" s="88" t="s">
        <v>1115</v>
      </c>
      <c r="B95" s="99">
        <v>0</v>
      </c>
      <c r="C95" s="99">
        <v>0</v>
      </c>
      <c r="D95" s="99">
        <v>0</v>
      </c>
      <c r="E95" s="99">
        <v>482250</v>
      </c>
      <c r="F95" s="99">
        <v>482250</v>
      </c>
      <c r="G95" s="113"/>
      <c r="H95" s="113"/>
      <c r="I95"/>
    </row>
    <row r="96" spans="1:9" customFormat="1" ht="18.75" customHeight="1" x14ac:dyDescent="0.3">
      <c r="A96" s="88" t="s">
        <v>1116</v>
      </c>
      <c r="B96" s="99">
        <v>0</v>
      </c>
      <c r="C96" s="99">
        <v>0</v>
      </c>
      <c r="D96" s="99">
        <v>0</v>
      </c>
      <c r="E96" s="99">
        <v>106560</v>
      </c>
      <c r="F96" s="99">
        <v>106560</v>
      </c>
      <c r="G96" s="113"/>
      <c r="H96" s="113"/>
    </row>
    <row r="97" spans="1:8" customFormat="1" ht="18.75" customHeight="1" x14ac:dyDescent="0.3">
      <c r="A97" s="88" t="s">
        <v>1117</v>
      </c>
      <c r="B97" s="99">
        <v>0</v>
      </c>
      <c r="C97" s="99">
        <v>0</v>
      </c>
      <c r="D97" s="99">
        <v>0</v>
      </c>
      <c r="E97" s="99">
        <v>41700</v>
      </c>
      <c r="F97" s="99">
        <v>41700</v>
      </c>
      <c r="G97" s="113"/>
      <c r="H97" s="113"/>
    </row>
    <row r="98" spans="1:8" customFormat="1" ht="18.75" customHeight="1" x14ac:dyDescent="0.3">
      <c r="A98" s="88" t="s">
        <v>1118</v>
      </c>
      <c r="B98" s="99">
        <v>0</v>
      </c>
      <c r="C98" s="99">
        <v>0</v>
      </c>
      <c r="D98" s="99">
        <v>0</v>
      </c>
      <c r="E98" s="99">
        <v>105000</v>
      </c>
      <c r="F98" s="99">
        <v>105000</v>
      </c>
      <c r="G98" s="113"/>
      <c r="H98" s="113"/>
    </row>
    <row r="99" spans="1:8" customFormat="1" ht="18.75" customHeight="1" x14ac:dyDescent="0.3">
      <c r="A99" s="88" t="s">
        <v>1119</v>
      </c>
      <c r="B99" s="99">
        <v>0</v>
      </c>
      <c r="C99" s="99">
        <v>0</v>
      </c>
      <c r="D99" s="99">
        <v>0</v>
      </c>
      <c r="E99" s="99">
        <v>100220</v>
      </c>
      <c r="F99" s="99">
        <v>100220</v>
      </c>
      <c r="G99" s="113"/>
      <c r="H99" s="113"/>
    </row>
    <row r="100" spans="1:8" customFormat="1" ht="18.75" customHeight="1" x14ac:dyDescent="0.3">
      <c r="A100" s="88" t="s">
        <v>1120</v>
      </c>
      <c r="B100" s="99">
        <v>0</v>
      </c>
      <c r="C100" s="99">
        <v>0</v>
      </c>
      <c r="D100" s="99">
        <v>0</v>
      </c>
      <c r="E100" s="99">
        <v>156800</v>
      </c>
      <c r="F100" s="99">
        <v>156800</v>
      </c>
      <c r="G100" s="113"/>
      <c r="H100" s="113"/>
    </row>
    <row r="101" spans="1:8" customFormat="1" ht="18.75" customHeight="1" x14ac:dyDescent="0.3">
      <c r="A101" s="88" t="s">
        <v>1121</v>
      </c>
      <c r="B101" s="99">
        <v>0</v>
      </c>
      <c r="C101" s="99">
        <v>0</v>
      </c>
      <c r="D101" s="99">
        <v>0</v>
      </c>
      <c r="E101" s="99">
        <v>2011640</v>
      </c>
      <c r="F101" s="99">
        <v>2011640</v>
      </c>
      <c r="G101" s="113"/>
      <c r="H101" s="113"/>
    </row>
    <row r="102" spans="1:8" customFormat="1" ht="18.75" customHeight="1" x14ac:dyDescent="0.3">
      <c r="A102" s="88" t="s">
        <v>1122</v>
      </c>
      <c r="B102" s="99">
        <v>0</v>
      </c>
      <c r="C102" s="99">
        <v>0</v>
      </c>
      <c r="D102" s="99">
        <v>166090</v>
      </c>
      <c r="E102" s="99">
        <v>0</v>
      </c>
      <c r="F102" s="99">
        <v>166090</v>
      </c>
      <c r="G102" s="113"/>
      <c r="H102" s="113"/>
    </row>
    <row r="103" spans="1:8" customFormat="1" ht="18.75" customHeight="1" x14ac:dyDescent="0.3">
      <c r="A103" s="88" t="s">
        <v>1123</v>
      </c>
      <c r="B103" s="99">
        <v>0</v>
      </c>
      <c r="C103" s="99">
        <v>0</v>
      </c>
      <c r="D103" s="99">
        <v>0</v>
      </c>
      <c r="E103" s="99">
        <v>173500</v>
      </c>
      <c r="F103" s="99">
        <v>173500</v>
      </c>
      <c r="G103" s="113"/>
      <c r="H103" s="113"/>
    </row>
    <row r="104" spans="1:8" customFormat="1" ht="18.75" customHeight="1" x14ac:dyDescent="0.3">
      <c r="A104" s="85" t="s">
        <v>1041</v>
      </c>
      <c r="B104" s="98">
        <v>0</v>
      </c>
      <c r="C104" s="98">
        <v>338600</v>
      </c>
      <c r="D104" s="98">
        <v>1006800</v>
      </c>
      <c r="E104" s="98">
        <v>242000</v>
      </c>
      <c r="F104" s="98">
        <v>1587400</v>
      </c>
      <c r="G104" s="113"/>
      <c r="H104" s="113"/>
    </row>
    <row r="105" spans="1:8" customFormat="1" ht="18.75" customHeight="1" x14ac:dyDescent="0.3">
      <c r="A105" s="88" t="s">
        <v>1124</v>
      </c>
      <c r="B105" s="99">
        <v>0</v>
      </c>
      <c r="C105" s="99">
        <v>0</v>
      </c>
      <c r="D105" s="99">
        <v>284000</v>
      </c>
      <c r="E105" s="99">
        <v>0</v>
      </c>
      <c r="F105" s="99">
        <v>284000</v>
      </c>
      <c r="G105" s="113"/>
      <c r="H105" s="113"/>
    </row>
    <row r="106" spans="1:8" customFormat="1" ht="18.75" customHeight="1" x14ac:dyDescent="0.3">
      <c r="A106" s="88" t="s">
        <v>1125</v>
      </c>
      <c r="B106" s="99">
        <v>0</v>
      </c>
      <c r="C106" s="99">
        <v>0</v>
      </c>
      <c r="D106" s="99">
        <v>0</v>
      </c>
      <c r="E106" s="99">
        <v>60000</v>
      </c>
      <c r="F106" s="99">
        <v>60000</v>
      </c>
      <c r="G106" s="113"/>
      <c r="H106" s="113"/>
    </row>
    <row r="107" spans="1:8" customFormat="1" ht="18.75" customHeight="1" x14ac:dyDescent="0.3">
      <c r="A107" s="88" t="s">
        <v>1126</v>
      </c>
      <c r="B107" s="99">
        <v>0</v>
      </c>
      <c r="C107" s="99">
        <v>0</v>
      </c>
      <c r="D107" s="99">
        <v>253500</v>
      </c>
      <c r="E107" s="99">
        <v>0</v>
      </c>
      <c r="F107" s="99">
        <v>253500</v>
      </c>
      <c r="G107" s="113"/>
      <c r="H107" s="113"/>
    </row>
    <row r="108" spans="1:8" customFormat="1" ht="18.75" customHeight="1" x14ac:dyDescent="0.3">
      <c r="A108" s="88" t="s">
        <v>1127</v>
      </c>
      <c r="B108" s="99">
        <v>0</v>
      </c>
      <c r="C108" s="99">
        <v>0</v>
      </c>
      <c r="D108" s="99">
        <v>125080</v>
      </c>
      <c r="E108" s="99">
        <v>0</v>
      </c>
      <c r="F108" s="99">
        <v>125080</v>
      </c>
      <c r="G108" s="113"/>
      <c r="H108" s="113"/>
    </row>
    <row r="109" spans="1:8" customFormat="1" ht="18.75" customHeight="1" x14ac:dyDescent="0.3">
      <c r="A109" s="88" t="s">
        <v>1128</v>
      </c>
      <c r="B109" s="99">
        <v>0</v>
      </c>
      <c r="C109" s="99">
        <v>0</v>
      </c>
      <c r="D109" s="99">
        <v>322500</v>
      </c>
      <c r="E109" s="99">
        <v>0</v>
      </c>
      <c r="F109" s="99">
        <v>322500</v>
      </c>
      <c r="G109" s="113"/>
      <c r="H109" s="113"/>
    </row>
    <row r="110" spans="1:8" customFormat="1" ht="18.75" customHeight="1" x14ac:dyDescent="0.3">
      <c r="A110" s="88" t="s">
        <v>1129</v>
      </c>
      <c r="B110" s="99">
        <v>0</v>
      </c>
      <c r="C110" s="99">
        <v>0</v>
      </c>
      <c r="D110" s="99">
        <v>21720</v>
      </c>
      <c r="E110" s="99">
        <v>0</v>
      </c>
      <c r="F110" s="99">
        <v>21720</v>
      </c>
      <c r="G110" s="113"/>
      <c r="H110" s="113"/>
    </row>
    <row r="111" spans="1:8" customFormat="1" ht="18.75" customHeight="1" x14ac:dyDescent="0.3">
      <c r="A111" s="88" t="s">
        <v>1130</v>
      </c>
      <c r="B111" s="99">
        <v>0</v>
      </c>
      <c r="C111" s="99">
        <v>338600</v>
      </c>
      <c r="D111" s="99">
        <v>0</v>
      </c>
      <c r="E111" s="99">
        <v>0</v>
      </c>
      <c r="F111" s="99">
        <v>338600</v>
      </c>
      <c r="G111" s="113"/>
      <c r="H111" s="113"/>
    </row>
    <row r="112" spans="1:8" customFormat="1" ht="18.75" customHeight="1" x14ac:dyDescent="0.3">
      <c r="A112" s="88" t="s">
        <v>751</v>
      </c>
      <c r="B112" s="99">
        <v>0</v>
      </c>
      <c r="C112" s="99">
        <v>0</v>
      </c>
      <c r="D112" s="99">
        <v>0</v>
      </c>
      <c r="E112" s="99">
        <v>182000</v>
      </c>
      <c r="F112" s="99">
        <v>182000</v>
      </c>
      <c r="G112" s="113"/>
      <c r="H112" s="113"/>
    </row>
    <row r="113" spans="1:8" customFormat="1" ht="18.75" customHeight="1" x14ac:dyDescent="0.3">
      <c r="A113" s="85" t="s">
        <v>1047</v>
      </c>
      <c r="B113" s="98">
        <v>0</v>
      </c>
      <c r="C113" s="98">
        <v>107590</v>
      </c>
      <c r="D113" s="98">
        <v>57400</v>
      </c>
      <c r="E113" s="98">
        <v>1998310</v>
      </c>
      <c r="F113" s="98">
        <v>2163300</v>
      </c>
      <c r="G113" s="113"/>
      <c r="H113" s="113"/>
    </row>
    <row r="114" spans="1:8" customFormat="1" ht="18.75" customHeight="1" x14ac:dyDescent="0.3">
      <c r="A114" s="88" t="s">
        <v>1131</v>
      </c>
      <c r="B114" s="99">
        <v>0</v>
      </c>
      <c r="C114" s="99">
        <v>0</v>
      </c>
      <c r="D114" s="99">
        <v>0</v>
      </c>
      <c r="E114" s="99">
        <v>1738800</v>
      </c>
      <c r="F114" s="99">
        <v>1738800</v>
      </c>
      <c r="G114" s="113"/>
      <c r="H114" s="113"/>
    </row>
    <row r="115" spans="1:8" customFormat="1" ht="18.75" customHeight="1" x14ac:dyDescent="0.3">
      <c r="A115" s="88" t="s">
        <v>1049</v>
      </c>
      <c r="B115" s="99">
        <v>0</v>
      </c>
      <c r="C115" s="99">
        <v>0</v>
      </c>
      <c r="D115" s="99">
        <v>0</v>
      </c>
      <c r="E115" s="99">
        <v>28280</v>
      </c>
      <c r="F115" s="99">
        <v>28280</v>
      </c>
      <c r="G115" s="113"/>
      <c r="H115" s="113"/>
    </row>
    <row r="116" spans="1:8" customFormat="1" ht="18.75" customHeight="1" x14ac:dyDescent="0.3">
      <c r="A116" s="88" t="s">
        <v>1132</v>
      </c>
      <c r="B116" s="99">
        <v>0</v>
      </c>
      <c r="C116" s="99">
        <v>0</v>
      </c>
      <c r="D116" s="99">
        <v>0</v>
      </c>
      <c r="E116" s="99">
        <v>204880</v>
      </c>
      <c r="F116" s="99">
        <v>204880</v>
      </c>
      <c r="G116" s="113"/>
      <c r="H116" s="113"/>
    </row>
    <row r="117" spans="1:8" customFormat="1" ht="18.75" customHeight="1" x14ac:dyDescent="0.3">
      <c r="A117" s="88" t="s">
        <v>1050</v>
      </c>
      <c r="B117" s="99">
        <v>0</v>
      </c>
      <c r="C117" s="99">
        <v>0</v>
      </c>
      <c r="D117" s="99">
        <v>57400</v>
      </c>
      <c r="E117" s="99">
        <v>26350</v>
      </c>
      <c r="F117" s="99">
        <v>83750</v>
      </c>
      <c r="G117" s="113"/>
      <c r="H117" s="113"/>
    </row>
    <row r="118" spans="1:8" customFormat="1" ht="18.75" customHeight="1" x14ac:dyDescent="0.3">
      <c r="A118" s="88" t="s">
        <v>1133</v>
      </c>
      <c r="B118" s="99">
        <v>0</v>
      </c>
      <c r="C118" s="99">
        <v>107590</v>
      </c>
      <c r="D118" s="99">
        <v>0</v>
      </c>
      <c r="E118" s="99">
        <v>0</v>
      </c>
      <c r="F118" s="99">
        <v>107590</v>
      </c>
      <c r="G118" s="113"/>
      <c r="H118" s="113"/>
    </row>
    <row r="119" spans="1:8" customFormat="1" ht="18.75" customHeight="1" x14ac:dyDescent="0.3">
      <c r="A119" s="85" t="s">
        <v>1054</v>
      </c>
      <c r="B119" s="98">
        <v>0</v>
      </c>
      <c r="C119" s="98">
        <v>384680</v>
      </c>
      <c r="D119" s="98">
        <v>1112880</v>
      </c>
      <c r="E119" s="98">
        <v>241270</v>
      </c>
      <c r="F119" s="98">
        <v>1738830</v>
      </c>
      <c r="G119" s="113"/>
      <c r="H119" s="113"/>
    </row>
    <row r="120" spans="1:8" customFormat="1" ht="18.75" customHeight="1" x14ac:dyDescent="0.3">
      <c r="A120" s="88" t="s">
        <v>1055</v>
      </c>
      <c r="B120" s="99">
        <v>0</v>
      </c>
      <c r="C120" s="99">
        <v>0</v>
      </c>
      <c r="D120" s="99">
        <v>0</v>
      </c>
      <c r="E120" s="99">
        <v>211270</v>
      </c>
      <c r="F120" s="99">
        <v>211270</v>
      </c>
      <c r="G120" s="113"/>
      <c r="H120" s="113"/>
    </row>
    <row r="121" spans="1:8" customFormat="1" ht="18.75" customHeight="1" x14ac:dyDescent="0.3">
      <c r="A121" s="88" t="s">
        <v>1056</v>
      </c>
      <c r="B121" s="99">
        <v>0</v>
      </c>
      <c r="C121" s="99">
        <v>0</v>
      </c>
      <c r="D121" s="99">
        <v>180910</v>
      </c>
      <c r="E121" s="99">
        <v>0</v>
      </c>
      <c r="F121" s="99">
        <v>180910</v>
      </c>
      <c r="G121" s="113"/>
      <c r="H121" s="113"/>
    </row>
    <row r="122" spans="1:8" customFormat="1" ht="18.75" customHeight="1" x14ac:dyDescent="0.3">
      <c r="A122" s="88" t="s">
        <v>1057</v>
      </c>
      <c r="B122" s="99">
        <v>0</v>
      </c>
      <c r="C122" s="99">
        <v>100000</v>
      </c>
      <c r="D122" s="99">
        <v>536430</v>
      </c>
      <c r="E122" s="99">
        <v>0</v>
      </c>
      <c r="F122" s="99">
        <v>636430</v>
      </c>
      <c r="G122" s="113"/>
      <c r="H122" s="113"/>
    </row>
    <row r="123" spans="1:8" customFormat="1" ht="18.75" customHeight="1" x14ac:dyDescent="0.3">
      <c r="A123" s="88" t="s">
        <v>1134</v>
      </c>
      <c r="B123" s="99">
        <v>0</v>
      </c>
      <c r="C123" s="99">
        <v>0</v>
      </c>
      <c r="D123" s="99">
        <v>147760</v>
      </c>
      <c r="E123" s="99">
        <v>0</v>
      </c>
      <c r="F123" s="99">
        <v>147760</v>
      </c>
      <c r="G123" s="113"/>
      <c r="H123" s="113"/>
    </row>
    <row r="124" spans="1:8" customFormat="1" ht="18.75" customHeight="1" x14ac:dyDescent="0.3">
      <c r="A124" s="88" t="s">
        <v>1135</v>
      </c>
      <c r="B124" s="99">
        <v>0</v>
      </c>
      <c r="C124" s="99">
        <v>223360</v>
      </c>
      <c r="D124" s="99">
        <v>0</v>
      </c>
      <c r="E124" s="99">
        <v>0</v>
      </c>
      <c r="F124" s="99">
        <v>223360</v>
      </c>
      <c r="G124" s="113"/>
      <c r="H124" s="113"/>
    </row>
    <row r="125" spans="1:8" customFormat="1" ht="18.75" customHeight="1" x14ac:dyDescent="0.3">
      <c r="A125" s="88" t="s">
        <v>843</v>
      </c>
      <c r="B125" s="99">
        <v>0</v>
      </c>
      <c r="C125" s="99">
        <v>0</v>
      </c>
      <c r="D125" s="99">
        <v>0</v>
      </c>
      <c r="E125" s="99">
        <v>30000</v>
      </c>
      <c r="F125" s="99">
        <v>30000</v>
      </c>
      <c r="G125" s="113"/>
      <c r="H125" s="113"/>
    </row>
    <row r="126" spans="1:8" customFormat="1" ht="18.75" customHeight="1" x14ac:dyDescent="0.3">
      <c r="A126" s="88" t="s">
        <v>1136</v>
      </c>
      <c r="B126" s="99">
        <v>0</v>
      </c>
      <c r="C126" s="99">
        <v>61320</v>
      </c>
      <c r="D126" s="99">
        <v>0</v>
      </c>
      <c r="E126" s="99">
        <v>0</v>
      </c>
      <c r="F126" s="99">
        <v>61320</v>
      </c>
      <c r="G126" s="113"/>
      <c r="H126" s="113"/>
    </row>
    <row r="127" spans="1:8" customFormat="1" ht="18.75" customHeight="1" x14ac:dyDescent="0.3">
      <c r="A127" s="88" t="s">
        <v>1137</v>
      </c>
      <c r="B127" s="99">
        <v>0</v>
      </c>
      <c r="C127" s="99">
        <v>0</v>
      </c>
      <c r="D127" s="99">
        <v>118070</v>
      </c>
      <c r="E127" s="99">
        <v>0</v>
      </c>
      <c r="F127" s="99">
        <v>118070</v>
      </c>
      <c r="G127" s="113"/>
      <c r="H127" s="113"/>
    </row>
    <row r="128" spans="1:8" customFormat="1" ht="18.75" customHeight="1" x14ac:dyDescent="0.3">
      <c r="A128" s="88" t="s">
        <v>1059</v>
      </c>
      <c r="B128" s="99">
        <v>0</v>
      </c>
      <c r="C128" s="99">
        <v>0</v>
      </c>
      <c r="D128" s="99">
        <v>129710</v>
      </c>
      <c r="E128" s="99">
        <v>0</v>
      </c>
      <c r="F128" s="99">
        <v>129710</v>
      </c>
      <c r="G128" s="113"/>
      <c r="H128" s="113"/>
    </row>
    <row r="129" spans="1:8" customFormat="1" ht="18.75" customHeight="1" x14ac:dyDescent="0.3">
      <c r="A129" s="85" t="s">
        <v>1138</v>
      </c>
      <c r="B129" s="98">
        <v>0</v>
      </c>
      <c r="C129" s="98">
        <v>0</v>
      </c>
      <c r="D129" s="98">
        <v>0</v>
      </c>
      <c r="E129" s="98">
        <v>1380230</v>
      </c>
      <c r="F129" s="98">
        <v>1380230</v>
      </c>
      <c r="G129" s="113"/>
      <c r="H129" s="113"/>
    </row>
    <row r="130" spans="1:8" customFormat="1" ht="18.75" customHeight="1" x14ac:dyDescent="0.3">
      <c r="A130" s="88" t="s">
        <v>1139</v>
      </c>
      <c r="B130" s="99">
        <v>0</v>
      </c>
      <c r="C130" s="99">
        <v>0</v>
      </c>
      <c r="D130" s="99">
        <v>0</v>
      </c>
      <c r="E130" s="99">
        <v>1348370</v>
      </c>
      <c r="F130" s="99">
        <v>1348370</v>
      </c>
      <c r="G130" s="113"/>
      <c r="H130" s="113"/>
    </row>
    <row r="131" spans="1:8" customFormat="1" ht="18.75" customHeight="1" x14ac:dyDescent="0.3">
      <c r="A131" s="88" t="s">
        <v>1140</v>
      </c>
      <c r="B131" s="99">
        <v>0</v>
      </c>
      <c r="C131" s="99">
        <v>0</v>
      </c>
      <c r="D131" s="99">
        <v>0</v>
      </c>
      <c r="E131" s="99">
        <v>31860</v>
      </c>
      <c r="F131" s="99">
        <v>31860</v>
      </c>
      <c r="G131" s="113"/>
      <c r="H131" s="113"/>
    </row>
    <row r="132" spans="1:8" customFormat="1" ht="18.75" customHeight="1" x14ac:dyDescent="0.3">
      <c r="A132" s="96" t="s">
        <v>945</v>
      </c>
      <c r="B132" s="114">
        <f>SUM(B129,B119,B113,B104,B79,B55,B43,B33,B23,B18,B10,B4)</f>
        <v>350340</v>
      </c>
      <c r="C132" s="114">
        <f>SUM(C129,C119,C113,C104,C79,C55,C43,C33,C23,C18,C10,C4)</f>
        <v>2163420</v>
      </c>
      <c r="D132" s="114">
        <f>SUM(D129,D119,D113,D104,D79,D55,D43,D33,D23,D18,D10,D4)</f>
        <v>22008902</v>
      </c>
      <c r="E132" s="114">
        <f>SUM(E129,E119,E113,E104,E79,E55,E43,E33,E23,E18,E10,E4)</f>
        <v>16132160</v>
      </c>
      <c r="F132" s="114">
        <f>SUM(F129,F119,F113,F104,F79,F55,F43,F33,F23,F18,F10,F4)</f>
        <v>40654822</v>
      </c>
      <c r="G132" s="84"/>
      <c r="H132" s="8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9E52-5153-4ADC-A3CD-541738F38CF5}">
  <dimension ref="A1:D114"/>
  <sheetViews>
    <sheetView workbookViewId="0"/>
  </sheetViews>
  <sheetFormatPr defaultRowHeight="16.5" customHeight="1" x14ac:dyDescent="0.3"/>
  <cols>
    <col min="1" max="1" width="20.5546875" style="31" customWidth="1"/>
    <col min="2" max="2" width="29.44140625" style="31" customWidth="1"/>
    <col min="3" max="3" width="26.6640625" style="32" customWidth="1"/>
    <col min="4" max="4" width="8.88671875" style="31" customWidth="1"/>
    <col min="5" max="16384" width="8.88671875" style="31"/>
  </cols>
  <sheetData>
    <row r="1" spans="1:4" customFormat="1" ht="19.2" x14ac:dyDescent="0.35">
      <c r="A1" s="28" t="s">
        <v>1141</v>
      </c>
      <c r="B1" s="29"/>
    </row>
    <row r="2" spans="1:4" customFormat="1" ht="16.5" customHeight="1" x14ac:dyDescent="0.3">
      <c r="A2" s="30" t="s">
        <v>62</v>
      </c>
      <c r="B2" s="31"/>
      <c r="C2" s="32"/>
    </row>
    <row r="3" spans="1:4" customFormat="1" ht="14.4" x14ac:dyDescent="0.3">
      <c r="A3" s="33" t="s">
        <v>1142</v>
      </c>
      <c r="B3" s="33" t="s">
        <v>1143</v>
      </c>
      <c r="C3" s="34" t="s">
        <v>77</v>
      </c>
      <c r="D3" s="115"/>
    </row>
    <row r="4" spans="1:4" customFormat="1" ht="16.5" customHeight="1" x14ac:dyDescent="0.3">
      <c r="A4" s="45">
        <v>41883</v>
      </c>
      <c r="B4" s="68">
        <v>770</v>
      </c>
      <c r="C4" s="37">
        <v>686436.89</v>
      </c>
    </row>
    <row r="5" spans="1:4" customFormat="1" ht="16.5" customHeight="1" x14ac:dyDescent="0.3">
      <c r="A5" s="45">
        <v>41913</v>
      </c>
      <c r="B5" s="68">
        <v>892</v>
      </c>
      <c r="C5" s="37">
        <v>778657.59</v>
      </c>
    </row>
    <row r="6" spans="1:4" customFormat="1" ht="16.5" customHeight="1" x14ac:dyDescent="0.3">
      <c r="A6" s="45">
        <v>41944</v>
      </c>
      <c r="B6" s="68">
        <v>902</v>
      </c>
      <c r="C6" s="37">
        <v>804939.06</v>
      </c>
    </row>
    <row r="7" spans="1:4" customFormat="1" ht="16.5" customHeight="1" x14ac:dyDescent="0.3">
      <c r="A7" s="45">
        <v>41974</v>
      </c>
      <c r="B7" s="68">
        <v>814</v>
      </c>
      <c r="C7" s="37">
        <v>726618.52</v>
      </c>
    </row>
    <row r="8" spans="1:4" customFormat="1" ht="16.5" customHeight="1" x14ac:dyDescent="0.3">
      <c r="A8" s="45">
        <v>42005</v>
      </c>
      <c r="B8" s="68">
        <v>1055</v>
      </c>
      <c r="C8" s="37">
        <v>939106.97</v>
      </c>
    </row>
    <row r="9" spans="1:4" customFormat="1" ht="16.5" customHeight="1" x14ac:dyDescent="0.3">
      <c r="A9" s="45">
        <v>42036</v>
      </c>
      <c r="B9" s="68">
        <v>1048</v>
      </c>
      <c r="C9" s="37">
        <v>934964.69</v>
      </c>
    </row>
    <row r="10" spans="1:4" customFormat="1" ht="16.5" customHeight="1" x14ac:dyDescent="0.3">
      <c r="A10" s="45">
        <v>42064</v>
      </c>
      <c r="B10" s="68">
        <v>1719</v>
      </c>
      <c r="C10" s="37">
        <v>1537024.68</v>
      </c>
    </row>
    <row r="11" spans="1:4" customFormat="1" ht="16.5" customHeight="1" x14ac:dyDescent="0.3">
      <c r="A11" s="45">
        <v>42095</v>
      </c>
      <c r="B11" s="68">
        <v>1368</v>
      </c>
      <c r="C11" s="37">
        <v>1125778.92</v>
      </c>
    </row>
    <row r="12" spans="1:4" customFormat="1" ht="16.5" customHeight="1" x14ac:dyDescent="0.3">
      <c r="A12" s="45">
        <v>42125</v>
      </c>
      <c r="B12" s="68">
        <v>718</v>
      </c>
      <c r="C12" s="37">
        <v>503126.6</v>
      </c>
    </row>
    <row r="13" spans="1:4" customFormat="1" ht="16.5" customHeight="1" x14ac:dyDescent="0.3">
      <c r="A13" s="47" t="s">
        <v>1144</v>
      </c>
      <c r="B13" s="68">
        <v>984</v>
      </c>
      <c r="C13" s="37">
        <v>688390.16</v>
      </c>
    </row>
    <row r="14" spans="1:4" customFormat="1" ht="16.5" customHeight="1" x14ac:dyDescent="0.3">
      <c r="A14" s="45" t="s">
        <v>1145</v>
      </c>
      <c r="B14" s="68">
        <v>833</v>
      </c>
      <c r="C14" s="37">
        <v>582986.59</v>
      </c>
    </row>
    <row r="15" spans="1:4" customFormat="1" ht="16.5" customHeight="1" x14ac:dyDescent="0.3">
      <c r="A15" s="45">
        <v>42217</v>
      </c>
      <c r="B15" s="68">
        <v>725</v>
      </c>
      <c r="C15" s="37">
        <v>507145</v>
      </c>
    </row>
    <row r="16" spans="1:4" customFormat="1" ht="16.5" customHeight="1" x14ac:dyDescent="0.3">
      <c r="A16" s="45">
        <v>42248</v>
      </c>
      <c r="B16" s="68">
        <v>1021</v>
      </c>
      <c r="C16" s="37">
        <v>716340.2</v>
      </c>
    </row>
    <row r="17" spans="1:3" customFormat="1" ht="16.5" customHeight="1" x14ac:dyDescent="0.3">
      <c r="A17" s="45">
        <v>42278</v>
      </c>
      <c r="B17" s="68">
        <v>1018</v>
      </c>
      <c r="C17" s="37">
        <v>715875.74</v>
      </c>
    </row>
    <row r="18" spans="1:3" customFormat="1" ht="16.5" customHeight="1" x14ac:dyDescent="0.3">
      <c r="A18" s="45">
        <v>42309</v>
      </c>
      <c r="B18" s="68">
        <v>1035</v>
      </c>
      <c r="C18" s="37">
        <v>726201.16</v>
      </c>
    </row>
    <row r="19" spans="1:3" customFormat="1" ht="16.5" customHeight="1" x14ac:dyDescent="0.3">
      <c r="A19" s="45">
        <v>42339</v>
      </c>
      <c r="B19" s="68">
        <v>924</v>
      </c>
      <c r="C19" s="37">
        <v>648864.25</v>
      </c>
    </row>
    <row r="20" spans="1:3" customFormat="1" ht="16.5" customHeight="1" x14ac:dyDescent="0.3">
      <c r="A20" s="45">
        <v>42370</v>
      </c>
      <c r="B20" s="68">
        <v>1056</v>
      </c>
      <c r="C20" s="37">
        <v>739132</v>
      </c>
    </row>
    <row r="21" spans="1:3" customFormat="1" ht="16.5" customHeight="1" x14ac:dyDescent="0.3">
      <c r="A21" s="45">
        <v>42401</v>
      </c>
      <c r="B21" s="68">
        <v>2002</v>
      </c>
      <c r="C21" s="37">
        <v>1399733.75</v>
      </c>
    </row>
    <row r="22" spans="1:3" customFormat="1" ht="16.5" customHeight="1" x14ac:dyDescent="0.3">
      <c r="A22" s="45">
        <v>42430</v>
      </c>
      <c r="B22" s="68">
        <v>1016</v>
      </c>
      <c r="C22" s="37">
        <v>509600</v>
      </c>
    </row>
    <row r="23" spans="1:3" customFormat="1" ht="16.5" customHeight="1" x14ac:dyDescent="0.3">
      <c r="A23" s="45">
        <v>42461</v>
      </c>
      <c r="B23" s="68">
        <v>1000</v>
      </c>
      <c r="C23" s="37">
        <v>500200</v>
      </c>
    </row>
    <row r="24" spans="1:3" customFormat="1" ht="16.5" customHeight="1" x14ac:dyDescent="0.3">
      <c r="A24" s="45">
        <v>42491</v>
      </c>
      <c r="B24" s="68">
        <v>771</v>
      </c>
      <c r="C24" s="37">
        <v>386100</v>
      </c>
    </row>
    <row r="25" spans="1:3" customFormat="1" ht="16.5" customHeight="1" x14ac:dyDescent="0.3">
      <c r="A25" s="47" t="s">
        <v>1146</v>
      </c>
      <c r="B25" s="68">
        <v>797</v>
      </c>
      <c r="C25" s="37">
        <v>399700</v>
      </c>
    </row>
    <row r="26" spans="1:3" customFormat="1" ht="16.5" customHeight="1" x14ac:dyDescent="0.3">
      <c r="A26" s="45" t="s">
        <v>1147</v>
      </c>
      <c r="B26" s="68">
        <v>879</v>
      </c>
      <c r="C26" s="37">
        <v>440388.28</v>
      </c>
    </row>
    <row r="27" spans="1:3" customFormat="1" ht="16.5" customHeight="1" x14ac:dyDescent="0.3">
      <c r="A27" s="45">
        <v>42583</v>
      </c>
      <c r="B27" s="68">
        <v>879</v>
      </c>
      <c r="C27" s="37">
        <v>439433.09</v>
      </c>
    </row>
    <row r="28" spans="1:3" customFormat="1" ht="16.5" customHeight="1" x14ac:dyDescent="0.3">
      <c r="A28" s="45">
        <v>42614</v>
      </c>
      <c r="B28" s="68">
        <v>998</v>
      </c>
      <c r="C28" s="37">
        <v>499101.59</v>
      </c>
    </row>
    <row r="29" spans="1:3" customFormat="1" ht="16.5" customHeight="1" x14ac:dyDescent="0.3">
      <c r="A29" s="45">
        <v>42644</v>
      </c>
      <c r="B29" s="68">
        <v>1073</v>
      </c>
      <c r="C29" s="37">
        <v>537133.06000000006</v>
      </c>
    </row>
    <row r="30" spans="1:3" customFormat="1" ht="16.5" customHeight="1" x14ac:dyDescent="0.3">
      <c r="A30" s="45">
        <v>42675</v>
      </c>
      <c r="B30" s="68">
        <v>1363</v>
      </c>
      <c r="C30" s="37">
        <v>681683</v>
      </c>
    </row>
    <row r="31" spans="1:3" customFormat="1" ht="16.5" customHeight="1" x14ac:dyDescent="0.3">
      <c r="A31" s="45">
        <v>42705</v>
      </c>
      <c r="B31" s="68">
        <v>1009</v>
      </c>
      <c r="C31" s="37">
        <v>506162.79</v>
      </c>
    </row>
    <row r="32" spans="1:3" customFormat="1" ht="16.5" customHeight="1" x14ac:dyDescent="0.3">
      <c r="A32" s="45">
        <v>42736</v>
      </c>
      <c r="B32" s="68">
        <v>1215</v>
      </c>
      <c r="C32" s="37">
        <v>607305.28</v>
      </c>
    </row>
    <row r="33" spans="1:3" customFormat="1" ht="16.5" customHeight="1" x14ac:dyDescent="0.3">
      <c r="A33" s="45">
        <v>42767</v>
      </c>
      <c r="B33" s="68">
        <v>1167</v>
      </c>
      <c r="C33" s="37">
        <v>585432.51</v>
      </c>
    </row>
    <row r="34" spans="1:3" customFormat="1" ht="16.5" customHeight="1" x14ac:dyDescent="0.3">
      <c r="A34" s="45">
        <v>42795</v>
      </c>
      <c r="B34" s="68">
        <v>1609</v>
      </c>
      <c r="C34" s="37">
        <v>803833.47</v>
      </c>
    </row>
    <row r="35" spans="1:3" customFormat="1" ht="16.5" customHeight="1" x14ac:dyDescent="0.3">
      <c r="A35" s="45">
        <v>42826</v>
      </c>
      <c r="B35" s="68">
        <v>1400</v>
      </c>
      <c r="C35" s="37">
        <v>698850</v>
      </c>
    </row>
    <row r="36" spans="1:3" customFormat="1" ht="16.5" customHeight="1" x14ac:dyDescent="0.3">
      <c r="A36" s="45">
        <v>42856</v>
      </c>
      <c r="B36" s="68">
        <v>1493</v>
      </c>
      <c r="C36" s="37">
        <v>746586</v>
      </c>
    </row>
    <row r="37" spans="1:3" customFormat="1" ht="16.5" customHeight="1" x14ac:dyDescent="0.3">
      <c r="A37" s="47" t="s">
        <v>78</v>
      </c>
      <c r="B37" s="68">
        <v>1495</v>
      </c>
      <c r="C37" s="37">
        <v>746912.09</v>
      </c>
    </row>
    <row r="38" spans="1:3" customFormat="1" ht="16.5" customHeight="1" x14ac:dyDescent="0.3">
      <c r="A38" s="45" t="s">
        <v>79</v>
      </c>
      <c r="B38" s="68">
        <v>1443</v>
      </c>
      <c r="C38" s="37">
        <v>721462.75</v>
      </c>
    </row>
    <row r="39" spans="1:3" customFormat="1" ht="16.5" customHeight="1" x14ac:dyDescent="0.3">
      <c r="A39" s="45">
        <v>42948</v>
      </c>
      <c r="B39" s="68">
        <v>1701</v>
      </c>
      <c r="C39" s="37">
        <v>850459.72</v>
      </c>
    </row>
    <row r="40" spans="1:3" customFormat="1" ht="16.5" customHeight="1" x14ac:dyDescent="0.3">
      <c r="A40" s="45">
        <v>42979</v>
      </c>
      <c r="B40" s="68">
        <v>1718</v>
      </c>
      <c r="C40" s="37">
        <v>858816.62</v>
      </c>
    </row>
    <row r="41" spans="1:3" customFormat="1" ht="16.5" customHeight="1" x14ac:dyDescent="0.3">
      <c r="A41" s="45">
        <v>43009</v>
      </c>
      <c r="B41" s="68">
        <v>1760</v>
      </c>
      <c r="C41" s="37">
        <v>879838.58</v>
      </c>
    </row>
    <row r="42" spans="1:3" customFormat="1" ht="16.5" customHeight="1" x14ac:dyDescent="0.3">
      <c r="A42" s="45">
        <v>43040</v>
      </c>
      <c r="B42" s="68">
        <v>1789</v>
      </c>
      <c r="C42" s="37">
        <v>894503.75</v>
      </c>
    </row>
    <row r="43" spans="1:3" customFormat="1" ht="16.5" customHeight="1" x14ac:dyDescent="0.3">
      <c r="A43" s="45">
        <v>43070</v>
      </c>
      <c r="B43" s="68">
        <v>1262</v>
      </c>
      <c r="C43" s="37">
        <v>630799.06000000006</v>
      </c>
    </row>
    <row r="44" spans="1:3" customFormat="1" ht="16.5" customHeight="1" x14ac:dyDescent="0.3">
      <c r="A44" s="45">
        <v>43101</v>
      </c>
      <c r="B44" s="68">
        <v>1578</v>
      </c>
      <c r="C44" s="37">
        <v>788739.34900000005</v>
      </c>
    </row>
    <row r="45" spans="1:3" customFormat="1" ht="16.5" customHeight="1" x14ac:dyDescent="0.3">
      <c r="A45" s="45">
        <v>43132</v>
      </c>
      <c r="B45" s="68">
        <v>1518</v>
      </c>
      <c r="C45" s="37">
        <v>758843.82200000004</v>
      </c>
    </row>
    <row r="46" spans="1:3" customFormat="1" ht="16.5" customHeight="1" x14ac:dyDescent="0.3">
      <c r="A46" s="45">
        <v>43160</v>
      </c>
      <c r="B46" s="68">
        <v>1686</v>
      </c>
      <c r="C46" s="37">
        <v>842788.53700000001</v>
      </c>
    </row>
    <row r="47" spans="1:3" customFormat="1" ht="16.5" customHeight="1" x14ac:dyDescent="0.3">
      <c r="A47" s="45">
        <v>43191</v>
      </c>
      <c r="B47" s="68">
        <v>1883</v>
      </c>
      <c r="C47" s="37">
        <v>941318.22699999996</v>
      </c>
    </row>
    <row r="48" spans="1:3" customFormat="1" ht="16.5" customHeight="1" x14ac:dyDescent="0.3">
      <c r="A48" s="45">
        <v>43221</v>
      </c>
      <c r="B48" s="68">
        <v>1970</v>
      </c>
      <c r="C48" s="37">
        <v>984566.96600000001</v>
      </c>
    </row>
    <row r="49" spans="1:3" customFormat="1" ht="16.5" customHeight="1" x14ac:dyDescent="0.3">
      <c r="A49" s="47" t="s">
        <v>80</v>
      </c>
      <c r="B49" s="68">
        <v>1853</v>
      </c>
      <c r="C49" s="37">
        <v>926152.82299999997</v>
      </c>
    </row>
    <row r="50" spans="1:3" customFormat="1" ht="16.5" customHeight="1" x14ac:dyDescent="0.3">
      <c r="A50" s="45" t="s">
        <v>81</v>
      </c>
      <c r="B50" s="68">
        <v>1717</v>
      </c>
      <c r="C50" s="37">
        <v>858087.54299999995</v>
      </c>
    </row>
    <row r="51" spans="1:3" customFormat="1" ht="16.5" customHeight="1" x14ac:dyDescent="0.3">
      <c r="A51" s="45">
        <v>43313</v>
      </c>
      <c r="B51" s="68">
        <v>1644</v>
      </c>
      <c r="C51" s="37">
        <v>821319.39899999998</v>
      </c>
    </row>
    <row r="52" spans="1:3" customFormat="1" ht="16.5" customHeight="1" x14ac:dyDescent="0.3">
      <c r="A52" s="45">
        <v>43344</v>
      </c>
      <c r="B52" s="68">
        <v>1796</v>
      </c>
      <c r="C52" s="37">
        <v>897228.16399999999</v>
      </c>
    </row>
    <row r="53" spans="1:3" customFormat="1" ht="16.5" customHeight="1" x14ac:dyDescent="0.3">
      <c r="A53" s="45">
        <v>43374</v>
      </c>
      <c r="B53" s="68">
        <v>2254</v>
      </c>
      <c r="C53" s="37">
        <v>1126329.0009999999</v>
      </c>
    </row>
    <row r="54" spans="1:3" customFormat="1" ht="16.5" customHeight="1" x14ac:dyDescent="0.3">
      <c r="A54" s="45">
        <v>43405</v>
      </c>
      <c r="B54" s="68">
        <v>2219</v>
      </c>
      <c r="C54" s="37">
        <v>1109048.8700000001</v>
      </c>
    </row>
    <row r="55" spans="1:3" customFormat="1" ht="16.5" customHeight="1" x14ac:dyDescent="0.3">
      <c r="A55" s="45">
        <v>43435</v>
      </c>
      <c r="B55" s="68">
        <v>1496</v>
      </c>
      <c r="C55" s="37">
        <v>747543.77500000002</v>
      </c>
    </row>
    <row r="56" spans="1:3" customFormat="1" ht="16.5" customHeight="1" x14ac:dyDescent="0.3">
      <c r="A56" s="45">
        <v>43466</v>
      </c>
      <c r="B56" s="68">
        <v>1702</v>
      </c>
      <c r="C56" s="37">
        <v>850890.88800000004</v>
      </c>
    </row>
    <row r="57" spans="1:3" customFormat="1" ht="16.5" customHeight="1" x14ac:dyDescent="0.3">
      <c r="A57" s="45">
        <v>43497</v>
      </c>
      <c r="B57" s="68">
        <v>1660</v>
      </c>
      <c r="C57" s="37">
        <v>829962.00899999996</v>
      </c>
    </row>
    <row r="58" spans="1:3" customFormat="1" ht="16.5" customHeight="1" x14ac:dyDescent="0.3">
      <c r="A58" s="45">
        <v>43525</v>
      </c>
      <c r="B58" s="68">
        <v>1917</v>
      </c>
      <c r="C58" s="37">
        <v>958460.53300000005</v>
      </c>
    </row>
    <row r="59" spans="1:3" customFormat="1" ht="16.5" customHeight="1" x14ac:dyDescent="0.3">
      <c r="A59" s="45">
        <v>43556</v>
      </c>
      <c r="B59" s="68">
        <v>1806</v>
      </c>
      <c r="C59" s="37">
        <v>902690.65</v>
      </c>
    </row>
    <row r="60" spans="1:3" customFormat="1" ht="16.5" customHeight="1" x14ac:dyDescent="0.3">
      <c r="A60" s="45">
        <v>43586</v>
      </c>
      <c r="B60" s="68">
        <v>2022</v>
      </c>
      <c r="C60" s="37">
        <v>1010799.093</v>
      </c>
    </row>
    <row r="61" spans="1:3" customFormat="1" ht="16.5" customHeight="1" x14ac:dyDescent="0.3">
      <c r="A61" s="47" t="s">
        <v>82</v>
      </c>
      <c r="B61" s="68">
        <v>2032</v>
      </c>
      <c r="C61" s="37">
        <v>1015939.026</v>
      </c>
    </row>
    <row r="62" spans="1:3" customFormat="1" ht="16.5" customHeight="1" x14ac:dyDescent="0.3">
      <c r="A62" s="45" t="s">
        <v>83</v>
      </c>
      <c r="B62" s="68">
        <v>1811</v>
      </c>
      <c r="C62" s="37">
        <v>905500</v>
      </c>
    </row>
    <row r="63" spans="1:3" customFormat="1" ht="16.5" customHeight="1" x14ac:dyDescent="0.3">
      <c r="A63" s="45">
        <v>43678</v>
      </c>
      <c r="B63" s="68">
        <v>2059</v>
      </c>
      <c r="C63" s="37">
        <v>1028863.653</v>
      </c>
    </row>
    <row r="64" spans="1:3" customFormat="1" ht="16.5" customHeight="1" x14ac:dyDescent="0.3">
      <c r="A64" s="45">
        <v>43709</v>
      </c>
      <c r="B64" s="68">
        <v>2468</v>
      </c>
      <c r="C64" s="37">
        <v>1233485</v>
      </c>
    </row>
    <row r="65" spans="1:3" customFormat="1" ht="16.5" customHeight="1" x14ac:dyDescent="0.3">
      <c r="A65" s="45">
        <v>43739</v>
      </c>
      <c r="B65" s="68">
        <v>3014</v>
      </c>
      <c r="C65" s="37">
        <v>1507000</v>
      </c>
    </row>
    <row r="66" spans="1:3" customFormat="1" ht="16.5" customHeight="1" x14ac:dyDescent="0.3">
      <c r="A66" s="45">
        <v>43770</v>
      </c>
      <c r="B66" s="68">
        <v>2997</v>
      </c>
      <c r="C66" s="37">
        <v>1498299.5</v>
      </c>
    </row>
    <row r="67" spans="1:3" customFormat="1" ht="16.5" customHeight="1" x14ac:dyDescent="0.3">
      <c r="A67" s="45">
        <v>43800</v>
      </c>
      <c r="B67" s="68">
        <v>2506</v>
      </c>
      <c r="C67" s="37">
        <v>1252803.6000000001</v>
      </c>
    </row>
    <row r="68" spans="1:3" customFormat="1" ht="16.5" customHeight="1" x14ac:dyDescent="0.3">
      <c r="A68" s="45">
        <v>43831</v>
      </c>
      <c r="B68" s="68">
        <v>3132</v>
      </c>
      <c r="C68" s="37">
        <v>1562194.577</v>
      </c>
    </row>
    <row r="69" spans="1:3" customFormat="1" ht="16.5" customHeight="1" x14ac:dyDescent="0.3">
      <c r="A69" s="45">
        <v>43862</v>
      </c>
      <c r="B69" s="68">
        <v>3587</v>
      </c>
      <c r="C69" s="37">
        <v>1790833.8</v>
      </c>
    </row>
    <row r="70" spans="1:3" customFormat="1" ht="16.5" customHeight="1" x14ac:dyDescent="0.3">
      <c r="A70" s="45">
        <v>43891</v>
      </c>
      <c r="B70" s="68">
        <v>4303</v>
      </c>
      <c r="C70" s="37">
        <v>2146930.3925000001</v>
      </c>
    </row>
    <row r="71" spans="1:3" customFormat="1" ht="16.5" customHeight="1" x14ac:dyDescent="0.3">
      <c r="A71" s="45">
        <v>43922</v>
      </c>
      <c r="B71" s="68">
        <v>1528</v>
      </c>
      <c r="C71" s="37">
        <v>683165.86</v>
      </c>
    </row>
    <row r="72" spans="1:3" customFormat="1" ht="16.5" customHeight="1" x14ac:dyDescent="0.3">
      <c r="A72" s="45">
        <v>43952</v>
      </c>
      <c r="B72" s="68">
        <v>2499</v>
      </c>
      <c r="C72" s="37">
        <v>1065123.355</v>
      </c>
    </row>
    <row r="73" spans="1:3" customFormat="1" ht="16.5" customHeight="1" x14ac:dyDescent="0.3">
      <c r="A73" s="47" t="s">
        <v>84</v>
      </c>
      <c r="B73" s="68">
        <v>4295</v>
      </c>
      <c r="C73" s="37">
        <v>1647020</v>
      </c>
    </row>
    <row r="74" spans="1:3" customFormat="1" ht="16.5" customHeight="1" x14ac:dyDescent="0.3">
      <c r="A74" s="45" t="s">
        <v>85</v>
      </c>
      <c r="B74" s="68">
        <v>5130</v>
      </c>
      <c r="C74" s="37">
        <v>1870185.42</v>
      </c>
    </row>
    <row r="75" spans="1:3" customFormat="1" ht="16.5" customHeight="1" x14ac:dyDescent="0.3">
      <c r="A75" s="45">
        <v>44044</v>
      </c>
      <c r="B75" s="68">
        <v>4452</v>
      </c>
      <c r="C75" s="37">
        <v>1588542.5</v>
      </c>
    </row>
    <row r="76" spans="1:3" customFormat="1" ht="16.5" customHeight="1" x14ac:dyDescent="0.3">
      <c r="A76" s="45">
        <v>44075</v>
      </c>
      <c r="B76" s="68">
        <v>5990</v>
      </c>
      <c r="C76" s="37">
        <v>2111942.5</v>
      </c>
    </row>
    <row r="77" spans="1:3" customFormat="1" ht="16.5" customHeight="1" x14ac:dyDescent="0.3">
      <c r="A77" s="45">
        <v>44105</v>
      </c>
      <c r="B77" s="68">
        <v>6649</v>
      </c>
      <c r="C77" s="37">
        <v>2339677.4474999998</v>
      </c>
    </row>
    <row r="78" spans="1:3" customFormat="1" ht="16.5" customHeight="1" x14ac:dyDescent="0.3">
      <c r="A78" s="45">
        <v>44136</v>
      </c>
      <c r="B78" s="68">
        <v>7017</v>
      </c>
      <c r="C78" s="37">
        <v>2464404.1625000001</v>
      </c>
    </row>
    <row r="79" spans="1:3" customFormat="1" ht="16.5" customHeight="1" x14ac:dyDescent="0.3">
      <c r="A79" s="45">
        <v>44166</v>
      </c>
      <c r="B79" s="68">
        <v>5631</v>
      </c>
      <c r="C79" s="37">
        <v>1974134.0075000001</v>
      </c>
    </row>
    <row r="80" spans="1:3" customFormat="1" ht="16.5" customHeight="1" x14ac:dyDescent="0.3">
      <c r="A80" s="45">
        <v>44197</v>
      </c>
      <c r="B80" s="68">
        <v>6775</v>
      </c>
      <c r="C80" s="37">
        <v>2353756.7925</v>
      </c>
    </row>
    <row r="81" spans="1:3" customFormat="1" ht="16.5" customHeight="1" x14ac:dyDescent="0.3">
      <c r="A81" s="45">
        <v>44228</v>
      </c>
      <c r="B81" s="68">
        <v>6911</v>
      </c>
      <c r="C81" s="37">
        <v>2414716.41</v>
      </c>
    </row>
    <row r="82" spans="1:3" customFormat="1" ht="16.5" customHeight="1" x14ac:dyDescent="0.3">
      <c r="A82" s="45">
        <v>44256</v>
      </c>
      <c r="B82" s="68">
        <v>8492</v>
      </c>
      <c r="C82" s="37">
        <v>2969825.56</v>
      </c>
    </row>
    <row r="83" spans="1:3" customFormat="1" ht="16.5" customHeight="1" x14ac:dyDescent="0.3">
      <c r="A83" s="45">
        <v>44287</v>
      </c>
      <c r="B83" s="68">
        <v>8019</v>
      </c>
      <c r="C83" s="37">
        <v>2800023.2574999998</v>
      </c>
    </row>
    <row r="84" spans="1:3" customFormat="1" ht="16.5" customHeight="1" x14ac:dyDescent="0.3">
      <c r="A84" s="45">
        <v>44317</v>
      </c>
      <c r="B84" s="68">
        <v>8135</v>
      </c>
      <c r="C84" s="37">
        <v>2844616.86</v>
      </c>
    </row>
    <row r="85" spans="1:3" customFormat="1" ht="16.5" customHeight="1" x14ac:dyDescent="0.3">
      <c r="A85" s="47" t="s">
        <v>86</v>
      </c>
      <c r="B85" s="68">
        <v>9625</v>
      </c>
      <c r="C85" s="37">
        <v>3363968.0175000001</v>
      </c>
    </row>
    <row r="86" spans="1:3" customFormat="1" ht="15.75" customHeight="1" x14ac:dyDescent="0.3">
      <c r="A86" s="45" t="s">
        <v>87</v>
      </c>
      <c r="B86" s="68">
        <v>9628</v>
      </c>
      <c r="C86" s="37">
        <v>3367612.4750000001</v>
      </c>
    </row>
    <row r="87" spans="1:3" customFormat="1" ht="15.75" customHeight="1" x14ac:dyDescent="0.3">
      <c r="A87" s="45">
        <v>44409</v>
      </c>
      <c r="B87" s="68">
        <v>8913</v>
      </c>
      <c r="C87" s="37">
        <v>3119249.5724999998</v>
      </c>
    </row>
    <row r="88" spans="1:3" customFormat="1" ht="15.75" customHeight="1" x14ac:dyDescent="0.3">
      <c r="A88" s="45">
        <v>44440</v>
      </c>
      <c r="B88" s="68">
        <v>11144</v>
      </c>
      <c r="C88" s="37">
        <v>3900030.906</v>
      </c>
    </row>
    <row r="89" spans="1:3" customFormat="1" ht="15.75" customHeight="1" x14ac:dyDescent="0.3">
      <c r="A89" s="45">
        <v>44470</v>
      </c>
      <c r="B89" s="68">
        <v>12654</v>
      </c>
      <c r="C89" s="37">
        <v>4427273.1500000004</v>
      </c>
    </row>
    <row r="90" spans="1:3" customFormat="1" ht="16.5" customHeight="1" x14ac:dyDescent="0.3">
      <c r="A90" s="45">
        <v>44501</v>
      </c>
      <c r="B90" s="68">
        <v>14633</v>
      </c>
      <c r="C90" s="37">
        <v>5121228.6449999996</v>
      </c>
    </row>
    <row r="91" spans="1:3" customFormat="1" ht="16.5" customHeight="1" x14ac:dyDescent="0.3">
      <c r="A91" s="45">
        <v>44531</v>
      </c>
      <c r="B91" s="68">
        <v>12412</v>
      </c>
      <c r="C91" s="37">
        <v>4343661.76</v>
      </c>
    </row>
    <row r="92" spans="1:3" customFormat="1" ht="16.5" customHeight="1" x14ac:dyDescent="0.3">
      <c r="A92" s="45">
        <v>44562</v>
      </c>
      <c r="B92" s="68">
        <v>16590</v>
      </c>
      <c r="C92" s="37">
        <v>5802152.5499999998</v>
      </c>
    </row>
    <row r="93" spans="1:3" customFormat="1" ht="16.5" customHeight="1" x14ac:dyDescent="0.3">
      <c r="A93" s="45">
        <v>44593</v>
      </c>
      <c r="B93" s="68">
        <v>20255</v>
      </c>
      <c r="C93" s="37">
        <v>7086107.9175000004</v>
      </c>
    </row>
    <row r="94" spans="1:3" customFormat="1" ht="16.5" customHeight="1" x14ac:dyDescent="0.3">
      <c r="A94" s="45">
        <v>44621</v>
      </c>
      <c r="B94" s="68">
        <v>34304</v>
      </c>
      <c r="C94" s="37">
        <v>12002300.7675</v>
      </c>
    </row>
    <row r="95" spans="1:3" customFormat="1" ht="16.5" customHeight="1" x14ac:dyDescent="0.3">
      <c r="A95" s="45">
        <v>44652</v>
      </c>
      <c r="B95" s="68">
        <v>20</v>
      </c>
      <c r="C95" s="37">
        <v>7000</v>
      </c>
    </row>
    <row r="96" spans="1:3" customFormat="1" ht="16.5" customHeight="1" x14ac:dyDescent="0.3">
      <c r="A96" s="45">
        <v>44682</v>
      </c>
      <c r="B96" s="68">
        <v>5</v>
      </c>
      <c r="C96" s="37">
        <v>1750</v>
      </c>
    </row>
    <row r="97" spans="1:3" customFormat="1" ht="16.5" customHeight="1" x14ac:dyDescent="0.3">
      <c r="A97" s="47" t="s">
        <v>88</v>
      </c>
      <c r="B97" s="68">
        <v>9</v>
      </c>
      <c r="C97" s="37">
        <v>3150</v>
      </c>
    </row>
    <row r="98" spans="1:3" customFormat="1" ht="16.5" customHeight="1" x14ac:dyDescent="0.3">
      <c r="A98" s="45" t="s">
        <v>89</v>
      </c>
      <c r="B98" s="68">
        <v>11</v>
      </c>
      <c r="C98" s="37">
        <v>3850</v>
      </c>
    </row>
    <row r="99" spans="1:3" customFormat="1" ht="16.5" customHeight="1" x14ac:dyDescent="0.3">
      <c r="A99" s="45">
        <v>44774</v>
      </c>
      <c r="B99" s="68">
        <v>10</v>
      </c>
      <c r="C99" s="37">
        <v>3500</v>
      </c>
    </row>
    <row r="100" spans="1:3" customFormat="1" ht="16.5" customHeight="1" x14ac:dyDescent="0.3">
      <c r="A100" s="45">
        <v>44805</v>
      </c>
      <c r="B100" s="68">
        <v>12</v>
      </c>
      <c r="C100" s="37">
        <v>4200</v>
      </c>
    </row>
    <row r="101" spans="1:3" customFormat="1" ht="16.5" customHeight="1" x14ac:dyDescent="0.3">
      <c r="A101" s="45">
        <v>44835</v>
      </c>
      <c r="B101" s="68">
        <v>19</v>
      </c>
      <c r="C101" s="37">
        <v>6650</v>
      </c>
    </row>
    <row r="102" spans="1:3" customFormat="1" ht="16.5" customHeight="1" x14ac:dyDescent="0.3">
      <c r="A102" s="45">
        <v>44866</v>
      </c>
      <c r="B102" s="68">
        <v>121</v>
      </c>
      <c r="C102" s="37">
        <v>42350</v>
      </c>
    </row>
    <row r="103" spans="1:3" customFormat="1" ht="16.5" customHeight="1" x14ac:dyDescent="0.3">
      <c r="A103" s="45">
        <v>44896</v>
      </c>
      <c r="B103" s="68">
        <v>35</v>
      </c>
      <c r="C103" s="37">
        <v>12250</v>
      </c>
    </row>
    <row r="104" spans="1:3" customFormat="1" ht="16.5" customHeight="1" x14ac:dyDescent="0.3">
      <c r="A104" s="45" t="s">
        <v>1148</v>
      </c>
      <c r="B104" s="68">
        <v>52</v>
      </c>
      <c r="C104" s="37">
        <v>10953.09</v>
      </c>
    </row>
    <row r="105" spans="1:3" customFormat="1" ht="16.5" customHeight="1" x14ac:dyDescent="0.3">
      <c r="A105" s="116" t="s">
        <v>72</v>
      </c>
      <c r="B105" s="71">
        <f>SUM(B4:B104)</f>
        <v>337326</v>
      </c>
      <c r="C105" s="81">
        <f>SUM(C4:C104)</f>
        <v>139738616.59099999</v>
      </c>
    </row>
    <row r="106" spans="1:3" customFormat="1" ht="16.5" customHeight="1" x14ac:dyDescent="0.3">
      <c r="A106" s="106"/>
      <c r="B106" s="31"/>
      <c r="C106" s="32"/>
    </row>
    <row r="107" spans="1:3" customFormat="1" ht="16.5" customHeight="1" x14ac:dyDescent="0.3">
      <c r="A107" s="111"/>
      <c r="B107" s="31"/>
      <c r="C107" s="32"/>
    </row>
    <row r="108" spans="1:3" customFormat="1" ht="16.5" customHeight="1" x14ac:dyDescent="0.3">
      <c r="A108" s="111"/>
      <c r="B108" s="31"/>
      <c r="C108" s="32"/>
    </row>
    <row r="110" spans="1:3" customFormat="1" ht="16.5" customHeight="1" x14ac:dyDescent="0.3">
      <c r="A110" s="31"/>
      <c r="B110" s="117"/>
      <c r="C110" s="32"/>
    </row>
    <row r="112" spans="1:3" customFormat="1" ht="16.5" customHeight="1" x14ac:dyDescent="0.3">
      <c r="A112" s="36"/>
      <c r="B112" s="31"/>
      <c r="C112" s="32"/>
    </row>
    <row r="113" spans="1:3" customFormat="1" ht="16.5" customHeight="1" x14ac:dyDescent="0.3">
      <c r="A113" s="36"/>
      <c r="B113" s="31"/>
      <c r="C113" s="32"/>
    </row>
    <row r="114" spans="1:3" customFormat="1" ht="16.5" customHeight="1" x14ac:dyDescent="0.3">
      <c r="A114" s="36"/>
      <c r="B114" s="31"/>
      <c r="C114" s="32"/>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7CBB-0CD6-4EB3-AAB6-72A42FFDA102}">
  <dimension ref="A1:L439"/>
  <sheetViews>
    <sheetView workbookViewId="0"/>
  </sheetViews>
  <sheetFormatPr defaultColWidth="8.44140625" defaultRowHeight="17.25" customHeight="1" x14ac:dyDescent="0.25"/>
  <cols>
    <col min="1" max="1" width="18.6640625" style="36" customWidth="1"/>
    <col min="2" max="2" width="36.109375" style="36" bestFit="1" customWidth="1"/>
    <col min="3" max="3" width="18.33203125" style="118" customWidth="1"/>
    <col min="4" max="8" width="8.44140625" style="118" customWidth="1"/>
    <col min="9" max="10" width="9.44140625" style="118" customWidth="1"/>
    <col min="11" max="11" width="13.77734375" style="118" bestFit="1" customWidth="1"/>
    <col min="12" max="12" width="13.21875" style="36" customWidth="1"/>
    <col min="13" max="13" width="8.44140625" style="36" customWidth="1"/>
    <col min="14" max="16384" width="8.44140625" style="36"/>
  </cols>
  <sheetData>
    <row r="1" spans="1:12" customFormat="1" ht="19.2" x14ac:dyDescent="0.35">
      <c r="A1" s="28" t="s">
        <v>1149</v>
      </c>
      <c r="B1" s="29"/>
    </row>
    <row r="2" spans="1:12" customFormat="1" ht="17.25" customHeight="1" x14ac:dyDescent="0.3">
      <c r="A2" s="30" t="s">
        <v>62</v>
      </c>
      <c r="B2" s="36"/>
      <c r="C2" s="118"/>
      <c r="D2" s="118"/>
      <c r="E2" s="118"/>
      <c r="F2" s="118"/>
      <c r="G2" s="118"/>
      <c r="H2" s="118"/>
      <c r="I2" s="118"/>
      <c r="J2" s="118"/>
      <c r="K2" s="118"/>
      <c r="L2" s="36"/>
    </row>
    <row r="3" spans="1:12" customFormat="1" ht="27" x14ac:dyDescent="0.3">
      <c r="A3" s="52" t="s">
        <v>91</v>
      </c>
      <c r="B3" s="52" t="s">
        <v>92</v>
      </c>
      <c r="C3" s="87" t="s">
        <v>1150</v>
      </c>
      <c r="D3" s="53" t="s">
        <v>1151</v>
      </c>
      <c r="E3" s="53" t="s">
        <v>1152</v>
      </c>
      <c r="F3" s="87" t="s">
        <v>1153</v>
      </c>
      <c r="G3" s="87" t="s">
        <v>1154</v>
      </c>
      <c r="H3" s="87" t="s">
        <v>1155</v>
      </c>
      <c r="I3" s="87" t="s">
        <v>1156</v>
      </c>
      <c r="J3" s="87" t="s">
        <v>1157</v>
      </c>
      <c r="K3" s="87" t="s">
        <v>1148</v>
      </c>
      <c r="L3" s="87" t="s">
        <v>945</v>
      </c>
    </row>
    <row r="4" spans="1:12" customFormat="1" ht="17.25" customHeight="1" x14ac:dyDescent="0.3">
      <c r="A4" s="54" t="s">
        <v>94</v>
      </c>
      <c r="B4" s="54" t="s">
        <v>95</v>
      </c>
      <c r="C4" s="55">
        <v>15826</v>
      </c>
      <c r="D4" s="55">
        <v>12843</v>
      </c>
      <c r="E4" s="55">
        <v>18052</v>
      </c>
      <c r="F4" s="55">
        <v>21614</v>
      </c>
      <c r="G4" s="55">
        <v>25994</v>
      </c>
      <c r="H4" s="55">
        <v>54213</v>
      </c>
      <c r="I4" s="55">
        <v>117341</v>
      </c>
      <c r="J4" s="55">
        <v>71391</v>
      </c>
      <c r="K4" s="55">
        <v>52</v>
      </c>
      <c r="L4" s="55">
        <v>337326</v>
      </c>
    </row>
    <row r="5" spans="1:12" customFormat="1" ht="17.25" customHeight="1" x14ac:dyDescent="0.3">
      <c r="A5" s="54" t="s">
        <v>96</v>
      </c>
      <c r="B5" s="56" t="s">
        <v>97</v>
      </c>
      <c r="C5" s="55">
        <v>15385</v>
      </c>
      <c r="D5" s="55">
        <v>12572</v>
      </c>
      <c r="E5" s="55">
        <v>17623</v>
      </c>
      <c r="F5" s="55">
        <v>21126</v>
      </c>
      <c r="G5" s="55">
        <v>25268</v>
      </c>
      <c r="H5" s="55">
        <v>52632</v>
      </c>
      <c r="I5" s="55">
        <v>114368</v>
      </c>
      <c r="J5" s="55">
        <v>69161</v>
      </c>
      <c r="K5" s="55">
        <v>21</v>
      </c>
      <c r="L5" s="55">
        <v>328156</v>
      </c>
    </row>
    <row r="6" spans="1:12" customFormat="1" ht="17.25" customHeight="1" x14ac:dyDescent="0.3">
      <c r="A6" s="57" t="s">
        <v>98</v>
      </c>
      <c r="B6" s="58" t="s">
        <v>99</v>
      </c>
      <c r="C6" s="59">
        <v>13639</v>
      </c>
      <c r="D6" s="59">
        <v>11267</v>
      </c>
      <c r="E6" s="59">
        <v>15623</v>
      </c>
      <c r="F6" s="59">
        <v>18736</v>
      </c>
      <c r="G6" s="59">
        <v>22543</v>
      </c>
      <c r="H6" s="59">
        <v>46917</v>
      </c>
      <c r="I6" s="59">
        <v>101173</v>
      </c>
      <c r="J6" s="59">
        <v>60265</v>
      </c>
      <c r="K6" s="59">
        <v>20</v>
      </c>
      <c r="L6" s="59">
        <v>290183</v>
      </c>
    </row>
    <row r="7" spans="1:12" customFormat="1" ht="17.25" customHeight="1" x14ac:dyDescent="0.3">
      <c r="A7" s="54" t="s">
        <v>100</v>
      </c>
      <c r="B7" s="56" t="s">
        <v>101</v>
      </c>
      <c r="C7" s="55">
        <v>903</v>
      </c>
      <c r="D7" s="55">
        <v>530</v>
      </c>
      <c r="E7" s="55">
        <v>719</v>
      </c>
      <c r="F7" s="55">
        <v>690</v>
      </c>
      <c r="G7" s="55">
        <v>681</v>
      </c>
      <c r="H7" s="55">
        <v>2188</v>
      </c>
      <c r="I7" s="55">
        <v>4897</v>
      </c>
      <c r="J7" s="55">
        <v>2567</v>
      </c>
      <c r="K7" s="55">
        <v>1</v>
      </c>
      <c r="L7" s="71">
        <v>13176</v>
      </c>
    </row>
    <row r="8" spans="1:12" customFormat="1" ht="17.25" customHeight="1" x14ac:dyDescent="0.3">
      <c r="A8" s="60" t="s">
        <v>102</v>
      </c>
      <c r="B8" s="61" t="s">
        <v>103</v>
      </c>
      <c r="C8" s="62">
        <v>214</v>
      </c>
      <c r="D8" s="62">
        <v>118</v>
      </c>
      <c r="E8" s="62">
        <v>110</v>
      </c>
      <c r="F8" s="62">
        <v>142</v>
      </c>
      <c r="G8" s="62">
        <v>152</v>
      </c>
      <c r="H8" s="62">
        <v>366</v>
      </c>
      <c r="I8" s="62">
        <v>983</v>
      </c>
      <c r="J8" s="62">
        <v>519</v>
      </c>
      <c r="K8" s="62">
        <v>0</v>
      </c>
      <c r="L8" s="68">
        <v>2604</v>
      </c>
    </row>
    <row r="9" spans="1:12" customFormat="1" ht="17.25" customHeight="1" x14ac:dyDescent="0.3">
      <c r="A9" s="60" t="s">
        <v>104</v>
      </c>
      <c r="B9" s="61" t="s">
        <v>105</v>
      </c>
      <c r="C9" s="62">
        <v>27</v>
      </c>
      <c r="D9" s="62">
        <v>15</v>
      </c>
      <c r="E9" s="62">
        <v>28</v>
      </c>
      <c r="F9" s="62">
        <v>26</v>
      </c>
      <c r="G9" s="62">
        <v>32</v>
      </c>
      <c r="H9" s="62">
        <v>82</v>
      </c>
      <c r="I9" s="62">
        <v>195</v>
      </c>
      <c r="J9" s="62">
        <v>100</v>
      </c>
      <c r="K9" s="62">
        <v>0</v>
      </c>
      <c r="L9" s="68">
        <v>505</v>
      </c>
    </row>
    <row r="10" spans="1:12" customFormat="1" ht="17.25" customHeight="1" x14ac:dyDescent="0.3">
      <c r="A10" s="60" t="s">
        <v>106</v>
      </c>
      <c r="B10" s="61" t="s">
        <v>107</v>
      </c>
      <c r="C10" s="62">
        <v>12</v>
      </c>
      <c r="D10" s="62">
        <v>11</v>
      </c>
      <c r="E10" s="62">
        <v>20</v>
      </c>
      <c r="F10" s="62">
        <v>20</v>
      </c>
      <c r="G10" s="62">
        <v>21</v>
      </c>
      <c r="H10" s="62">
        <v>63</v>
      </c>
      <c r="I10" s="62">
        <v>158</v>
      </c>
      <c r="J10" s="62">
        <v>69</v>
      </c>
      <c r="K10" s="62">
        <v>0</v>
      </c>
      <c r="L10" s="68">
        <v>374</v>
      </c>
    </row>
    <row r="11" spans="1:12" customFormat="1" ht="17.25" customHeight="1" x14ac:dyDescent="0.3">
      <c r="A11" s="60" t="s">
        <v>108</v>
      </c>
      <c r="B11" s="61" t="s">
        <v>109</v>
      </c>
      <c r="C11" s="62">
        <v>15</v>
      </c>
      <c r="D11" s="62">
        <v>5</v>
      </c>
      <c r="E11" s="62">
        <v>16</v>
      </c>
      <c r="F11" s="62">
        <v>19</v>
      </c>
      <c r="G11" s="62">
        <v>15</v>
      </c>
      <c r="H11" s="62">
        <v>67</v>
      </c>
      <c r="I11" s="62">
        <v>171</v>
      </c>
      <c r="J11" s="62">
        <v>97</v>
      </c>
      <c r="K11" s="62">
        <v>0</v>
      </c>
      <c r="L11" s="68">
        <v>405</v>
      </c>
    </row>
    <row r="12" spans="1:12" customFormat="1" ht="17.25" customHeight="1" x14ac:dyDescent="0.3">
      <c r="A12" s="60" t="s">
        <v>110</v>
      </c>
      <c r="B12" s="61" t="s">
        <v>111</v>
      </c>
      <c r="C12" s="62">
        <v>162</v>
      </c>
      <c r="D12" s="62">
        <v>101</v>
      </c>
      <c r="E12" s="62">
        <v>164</v>
      </c>
      <c r="F12" s="62">
        <v>143</v>
      </c>
      <c r="G12" s="62">
        <v>136</v>
      </c>
      <c r="H12" s="62">
        <v>462</v>
      </c>
      <c r="I12" s="62">
        <v>862</v>
      </c>
      <c r="J12" s="62">
        <v>461</v>
      </c>
      <c r="K12" s="62">
        <v>0</v>
      </c>
      <c r="L12" s="68">
        <v>2491</v>
      </c>
    </row>
    <row r="13" spans="1:12" customFormat="1" ht="17.25" customHeight="1" x14ac:dyDescent="0.3">
      <c r="A13" s="60" t="s">
        <v>112</v>
      </c>
      <c r="B13" s="61" t="s">
        <v>113</v>
      </c>
      <c r="C13" s="62">
        <v>23</v>
      </c>
      <c r="D13" s="62">
        <v>10</v>
      </c>
      <c r="E13" s="62">
        <v>22</v>
      </c>
      <c r="F13" s="62">
        <v>24</v>
      </c>
      <c r="G13" s="62">
        <v>20</v>
      </c>
      <c r="H13" s="62">
        <v>66</v>
      </c>
      <c r="I13" s="62">
        <v>178</v>
      </c>
      <c r="J13" s="62">
        <v>109</v>
      </c>
      <c r="K13" s="62">
        <v>0</v>
      </c>
      <c r="L13" s="68">
        <v>452</v>
      </c>
    </row>
    <row r="14" spans="1:12" customFormat="1" ht="17.25" customHeight="1" x14ac:dyDescent="0.3">
      <c r="A14" s="60" t="s">
        <v>114</v>
      </c>
      <c r="B14" s="61" t="s">
        <v>115</v>
      </c>
      <c r="C14" s="62">
        <v>52</v>
      </c>
      <c r="D14" s="62">
        <v>38</v>
      </c>
      <c r="E14" s="62">
        <v>47</v>
      </c>
      <c r="F14" s="62">
        <v>52</v>
      </c>
      <c r="G14" s="62">
        <v>47</v>
      </c>
      <c r="H14" s="62">
        <v>184</v>
      </c>
      <c r="I14" s="62">
        <v>454</v>
      </c>
      <c r="J14" s="62">
        <v>250</v>
      </c>
      <c r="K14" s="62">
        <v>1</v>
      </c>
      <c r="L14" s="68">
        <v>1125</v>
      </c>
    </row>
    <row r="15" spans="1:12" customFormat="1" ht="17.25" customHeight="1" x14ac:dyDescent="0.3">
      <c r="A15" s="60" t="s">
        <v>116</v>
      </c>
      <c r="B15" s="56" t="s">
        <v>117</v>
      </c>
      <c r="C15" s="55">
        <v>398</v>
      </c>
      <c r="D15" s="55">
        <v>232</v>
      </c>
      <c r="E15" s="55">
        <v>312</v>
      </c>
      <c r="F15" s="55">
        <v>264</v>
      </c>
      <c r="G15" s="55">
        <v>258</v>
      </c>
      <c r="H15" s="55">
        <v>898</v>
      </c>
      <c r="I15" s="55">
        <v>1896</v>
      </c>
      <c r="J15" s="55">
        <v>962</v>
      </c>
      <c r="K15" s="55">
        <v>0</v>
      </c>
      <c r="L15" s="71">
        <v>5220</v>
      </c>
    </row>
    <row r="16" spans="1:12" customFormat="1" ht="17.25" customHeight="1" x14ac:dyDescent="0.3">
      <c r="A16" s="60" t="s">
        <v>118</v>
      </c>
      <c r="B16" s="61" t="s">
        <v>119</v>
      </c>
      <c r="C16" s="62">
        <v>82</v>
      </c>
      <c r="D16" s="62">
        <v>39</v>
      </c>
      <c r="E16" s="62">
        <v>40</v>
      </c>
      <c r="F16" s="62">
        <v>45</v>
      </c>
      <c r="G16" s="62">
        <v>46</v>
      </c>
      <c r="H16" s="62">
        <v>142</v>
      </c>
      <c r="I16" s="62">
        <v>297</v>
      </c>
      <c r="J16" s="62">
        <v>157</v>
      </c>
      <c r="K16" s="62">
        <v>0</v>
      </c>
      <c r="L16" s="68">
        <v>848</v>
      </c>
    </row>
    <row r="17" spans="1:12" customFormat="1" ht="17.25" customHeight="1" x14ac:dyDescent="0.3">
      <c r="A17" s="60" t="s">
        <v>120</v>
      </c>
      <c r="B17" s="61" t="s">
        <v>121</v>
      </c>
      <c r="C17" s="62">
        <v>80</v>
      </c>
      <c r="D17" s="62">
        <v>55</v>
      </c>
      <c r="E17" s="62">
        <v>93</v>
      </c>
      <c r="F17" s="62">
        <v>75</v>
      </c>
      <c r="G17" s="62">
        <v>93</v>
      </c>
      <c r="H17" s="62">
        <v>255</v>
      </c>
      <c r="I17" s="62">
        <v>496</v>
      </c>
      <c r="J17" s="62">
        <v>237</v>
      </c>
      <c r="K17" s="62">
        <v>0</v>
      </c>
      <c r="L17" s="68">
        <v>1384</v>
      </c>
    </row>
    <row r="18" spans="1:12" customFormat="1" ht="17.25" customHeight="1" x14ac:dyDescent="0.3">
      <c r="A18" s="60" t="s">
        <v>122</v>
      </c>
      <c r="B18" s="61" t="s">
        <v>123</v>
      </c>
      <c r="C18" s="62">
        <v>77</v>
      </c>
      <c r="D18" s="62">
        <v>50</v>
      </c>
      <c r="E18" s="62">
        <v>73</v>
      </c>
      <c r="F18" s="62">
        <v>52</v>
      </c>
      <c r="G18" s="62">
        <v>52</v>
      </c>
      <c r="H18" s="62">
        <v>246</v>
      </c>
      <c r="I18" s="62">
        <v>501</v>
      </c>
      <c r="J18" s="62">
        <v>239</v>
      </c>
      <c r="K18" s="62">
        <v>0</v>
      </c>
      <c r="L18" s="68">
        <v>1290</v>
      </c>
    </row>
    <row r="19" spans="1:12" customFormat="1" ht="17.25" customHeight="1" x14ac:dyDescent="0.3">
      <c r="A19" s="60" t="s">
        <v>124</v>
      </c>
      <c r="B19" s="61" t="s">
        <v>125</v>
      </c>
      <c r="C19" s="62">
        <v>54</v>
      </c>
      <c r="D19" s="62">
        <v>34</v>
      </c>
      <c r="E19" s="62">
        <v>39</v>
      </c>
      <c r="F19" s="62">
        <v>31</v>
      </c>
      <c r="G19" s="62">
        <v>18</v>
      </c>
      <c r="H19" s="62">
        <v>97</v>
      </c>
      <c r="I19" s="62">
        <v>220</v>
      </c>
      <c r="J19" s="62">
        <v>99</v>
      </c>
      <c r="K19" s="62">
        <v>0</v>
      </c>
      <c r="L19" s="68">
        <v>592</v>
      </c>
    </row>
    <row r="20" spans="1:12" customFormat="1" ht="17.25" customHeight="1" x14ac:dyDescent="0.3">
      <c r="A20" s="119" t="s">
        <v>126</v>
      </c>
      <c r="B20" s="64" t="s">
        <v>127</v>
      </c>
      <c r="C20" s="65">
        <v>105</v>
      </c>
      <c r="D20" s="65">
        <v>54</v>
      </c>
      <c r="E20" s="65">
        <v>67</v>
      </c>
      <c r="F20" s="65">
        <v>61</v>
      </c>
      <c r="G20" s="65">
        <v>49</v>
      </c>
      <c r="H20" s="65">
        <v>158</v>
      </c>
      <c r="I20" s="65">
        <v>382</v>
      </c>
      <c r="J20" s="65">
        <v>230</v>
      </c>
      <c r="K20" s="65">
        <v>0</v>
      </c>
      <c r="L20" s="67">
        <v>1106</v>
      </c>
    </row>
    <row r="21" spans="1:12" customFormat="1" ht="17.25" customHeight="1" x14ac:dyDescent="0.3">
      <c r="A21" s="54" t="s">
        <v>128</v>
      </c>
      <c r="B21" s="66" t="s">
        <v>129</v>
      </c>
      <c r="C21" s="55">
        <v>1512</v>
      </c>
      <c r="D21" s="55">
        <v>1227</v>
      </c>
      <c r="E21" s="55">
        <v>1773</v>
      </c>
      <c r="F21" s="55">
        <v>1982</v>
      </c>
      <c r="G21" s="55">
        <v>2199</v>
      </c>
      <c r="H21" s="55">
        <v>6007</v>
      </c>
      <c r="I21" s="55">
        <v>13217</v>
      </c>
      <c r="J21" s="55">
        <v>8336</v>
      </c>
      <c r="K21" s="55">
        <v>0</v>
      </c>
      <c r="L21" s="71">
        <v>36253</v>
      </c>
    </row>
    <row r="22" spans="1:12" customFormat="1" ht="17.25" customHeight="1" x14ac:dyDescent="0.3">
      <c r="A22" s="60" t="s">
        <v>130</v>
      </c>
      <c r="B22" s="61" t="s">
        <v>131</v>
      </c>
      <c r="C22" s="62">
        <v>25</v>
      </c>
      <c r="D22" s="62">
        <v>15</v>
      </c>
      <c r="E22" s="62">
        <v>32</v>
      </c>
      <c r="F22" s="62">
        <v>26</v>
      </c>
      <c r="G22" s="62">
        <v>26</v>
      </c>
      <c r="H22" s="62">
        <v>84</v>
      </c>
      <c r="I22" s="62">
        <v>213</v>
      </c>
      <c r="J22" s="62">
        <v>129</v>
      </c>
      <c r="K22" s="62">
        <v>0</v>
      </c>
      <c r="L22" s="68">
        <v>550</v>
      </c>
    </row>
    <row r="23" spans="1:12" customFormat="1" ht="17.25" customHeight="1" x14ac:dyDescent="0.3">
      <c r="A23" s="60" t="s">
        <v>132</v>
      </c>
      <c r="B23" s="61" t="s">
        <v>133</v>
      </c>
      <c r="C23" s="62">
        <v>20</v>
      </c>
      <c r="D23" s="62">
        <v>15</v>
      </c>
      <c r="E23" s="62">
        <v>24</v>
      </c>
      <c r="F23" s="62">
        <v>16</v>
      </c>
      <c r="G23" s="62">
        <v>21</v>
      </c>
      <c r="H23" s="62">
        <v>42</v>
      </c>
      <c r="I23" s="62">
        <v>96</v>
      </c>
      <c r="J23" s="62">
        <v>58</v>
      </c>
      <c r="K23" s="62">
        <v>0</v>
      </c>
      <c r="L23" s="68">
        <v>292</v>
      </c>
    </row>
    <row r="24" spans="1:12" customFormat="1" ht="17.25" customHeight="1" x14ac:dyDescent="0.3">
      <c r="A24" s="60" t="s">
        <v>134</v>
      </c>
      <c r="B24" s="61" t="s">
        <v>135</v>
      </c>
      <c r="C24" s="62">
        <v>137</v>
      </c>
      <c r="D24" s="62">
        <v>130</v>
      </c>
      <c r="E24" s="62">
        <v>166</v>
      </c>
      <c r="F24" s="62">
        <v>226</v>
      </c>
      <c r="G24" s="62">
        <v>273</v>
      </c>
      <c r="H24" s="62">
        <v>636</v>
      </c>
      <c r="I24" s="62">
        <v>1417</v>
      </c>
      <c r="J24" s="62">
        <v>918</v>
      </c>
      <c r="K24" s="62">
        <v>0</v>
      </c>
      <c r="L24" s="68">
        <v>3903</v>
      </c>
    </row>
    <row r="25" spans="1:12" customFormat="1" ht="17.25" customHeight="1" x14ac:dyDescent="0.3">
      <c r="A25" s="60" t="s">
        <v>136</v>
      </c>
      <c r="B25" s="61" t="s">
        <v>137</v>
      </c>
      <c r="C25" s="62">
        <v>101</v>
      </c>
      <c r="D25" s="62">
        <v>85</v>
      </c>
      <c r="E25" s="62">
        <v>153</v>
      </c>
      <c r="F25" s="62">
        <v>182</v>
      </c>
      <c r="G25" s="62">
        <v>155</v>
      </c>
      <c r="H25" s="62">
        <v>472</v>
      </c>
      <c r="I25" s="62">
        <v>1032</v>
      </c>
      <c r="J25" s="62">
        <v>635</v>
      </c>
      <c r="K25" s="62">
        <v>0</v>
      </c>
      <c r="L25" s="68">
        <v>2815</v>
      </c>
    </row>
    <row r="26" spans="1:12" customFormat="1" ht="17.25" customHeight="1" x14ac:dyDescent="0.3">
      <c r="A26" s="60" t="s">
        <v>138</v>
      </c>
      <c r="B26" s="61" t="s">
        <v>139</v>
      </c>
      <c r="C26" s="62">
        <v>24</v>
      </c>
      <c r="D26" s="62">
        <v>33</v>
      </c>
      <c r="E26" s="62">
        <v>27</v>
      </c>
      <c r="F26" s="62">
        <v>25</v>
      </c>
      <c r="G26" s="62">
        <v>39</v>
      </c>
      <c r="H26" s="62">
        <v>107</v>
      </c>
      <c r="I26" s="62">
        <v>260</v>
      </c>
      <c r="J26" s="62">
        <v>139</v>
      </c>
      <c r="K26" s="62">
        <v>0</v>
      </c>
      <c r="L26" s="68">
        <v>654</v>
      </c>
    </row>
    <row r="27" spans="1:12" customFormat="1" ht="17.25" customHeight="1" x14ac:dyDescent="0.3">
      <c r="A27" s="60" t="s">
        <v>140</v>
      </c>
      <c r="B27" s="61" t="s">
        <v>141</v>
      </c>
      <c r="C27" s="62">
        <v>88</v>
      </c>
      <c r="D27" s="62">
        <v>46</v>
      </c>
      <c r="E27" s="62">
        <v>82</v>
      </c>
      <c r="F27" s="62">
        <v>74</v>
      </c>
      <c r="G27" s="62">
        <v>100</v>
      </c>
      <c r="H27" s="62">
        <v>271</v>
      </c>
      <c r="I27" s="62">
        <v>642</v>
      </c>
      <c r="J27" s="62">
        <v>391</v>
      </c>
      <c r="K27" s="62">
        <v>0</v>
      </c>
      <c r="L27" s="68">
        <v>1694</v>
      </c>
    </row>
    <row r="28" spans="1:12" customFormat="1" ht="17.25" customHeight="1" x14ac:dyDescent="0.3">
      <c r="A28" s="60" t="s">
        <v>142</v>
      </c>
      <c r="B28" s="56" t="s">
        <v>143</v>
      </c>
      <c r="C28" s="55">
        <v>107</v>
      </c>
      <c r="D28" s="55">
        <v>72</v>
      </c>
      <c r="E28" s="55">
        <v>84</v>
      </c>
      <c r="F28" s="55">
        <v>133</v>
      </c>
      <c r="G28" s="55">
        <v>108</v>
      </c>
      <c r="H28" s="55">
        <v>256</v>
      </c>
      <c r="I28" s="55">
        <v>629</v>
      </c>
      <c r="J28" s="55">
        <v>410</v>
      </c>
      <c r="K28" s="55">
        <v>0</v>
      </c>
      <c r="L28" s="71">
        <v>1799</v>
      </c>
    </row>
    <row r="29" spans="1:12" customFormat="1" ht="17.25" customHeight="1" x14ac:dyDescent="0.3">
      <c r="A29" s="60" t="s">
        <v>144</v>
      </c>
      <c r="B29" s="61" t="s">
        <v>145</v>
      </c>
      <c r="C29" s="62">
        <v>22</v>
      </c>
      <c r="D29" s="62">
        <v>14</v>
      </c>
      <c r="E29" s="62">
        <v>12</v>
      </c>
      <c r="F29" s="62">
        <v>23</v>
      </c>
      <c r="G29" s="62">
        <v>12</v>
      </c>
      <c r="H29" s="62">
        <v>46</v>
      </c>
      <c r="I29" s="62">
        <v>107</v>
      </c>
      <c r="J29" s="62">
        <v>64</v>
      </c>
      <c r="K29" s="62">
        <v>0</v>
      </c>
      <c r="L29" s="68">
        <v>300</v>
      </c>
    </row>
    <row r="30" spans="1:12" customFormat="1" ht="17.25" customHeight="1" x14ac:dyDescent="0.3">
      <c r="A30" s="60" t="s">
        <v>146</v>
      </c>
      <c r="B30" s="61" t="s">
        <v>147</v>
      </c>
      <c r="C30" s="62">
        <v>15</v>
      </c>
      <c r="D30" s="62">
        <v>3</v>
      </c>
      <c r="E30" s="62">
        <v>11</v>
      </c>
      <c r="F30" s="62">
        <v>12</v>
      </c>
      <c r="G30" s="62">
        <v>9</v>
      </c>
      <c r="H30" s="62">
        <v>17</v>
      </c>
      <c r="I30" s="62">
        <v>53</v>
      </c>
      <c r="J30" s="62">
        <v>31</v>
      </c>
      <c r="K30" s="62">
        <v>0</v>
      </c>
      <c r="L30" s="68">
        <v>151</v>
      </c>
    </row>
    <row r="31" spans="1:12" customFormat="1" ht="17.25" customHeight="1" x14ac:dyDescent="0.3">
      <c r="A31" s="60" t="s">
        <v>148</v>
      </c>
      <c r="B31" s="61" t="s">
        <v>149</v>
      </c>
      <c r="C31" s="62">
        <v>19</v>
      </c>
      <c r="D31" s="62">
        <v>10</v>
      </c>
      <c r="E31" s="62">
        <v>11</v>
      </c>
      <c r="F31" s="62">
        <v>20</v>
      </c>
      <c r="G31" s="62">
        <v>17</v>
      </c>
      <c r="H31" s="62">
        <v>51</v>
      </c>
      <c r="I31" s="62">
        <v>126</v>
      </c>
      <c r="J31" s="62">
        <v>104</v>
      </c>
      <c r="K31" s="62">
        <v>0</v>
      </c>
      <c r="L31" s="68">
        <v>358</v>
      </c>
    </row>
    <row r="32" spans="1:12" customFormat="1" ht="17.25" customHeight="1" x14ac:dyDescent="0.3">
      <c r="A32" s="60" t="s">
        <v>150</v>
      </c>
      <c r="B32" s="61" t="s">
        <v>151</v>
      </c>
      <c r="C32" s="62">
        <v>14</v>
      </c>
      <c r="D32" s="62">
        <v>14</v>
      </c>
      <c r="E32" s="62">
        <v>11</v>
      </c>
      <c r="F32" s="62">
        <v>11</v>
      </c>
      <c r="G32" s="62">
        <v>7</v>
      </c>
      <c r="H32" s="62">
        <v>17</v>
      </c>
      <c r="I32" s="62">
        <v>61</v>
      </c>
      <c r="J32" s="62">
        <v>48</v>
      </c>
      <c r="K32" s="62">
        <v>0</v>
      </c>
      <c r="L32" s="68">
        <v>183</v>
      </c>
    </row>
    <row r="33" spans="1:12" customFormat="1" ht="17.25" customHeight="1" x14ac:dyDescent="0.3">
      <c r="A33" s="60" t="s">
        <v>152</v>
      </c>
      <c r="B33" s="61" t="s">
        <v>153</v>
      </c>
      <c r="C33" s="62">
        <v>10</v>
      </c>
      <c r="D33" s="62">
        <v>9</v>
      </c>
      <c r="E33" s="62">
        <v>13</v>
      </c>
      <c r="F33" s="62">
        <v>12</v>
      </c>
      <c r="G33" s="62">
        <v>16</v>
      </c>
      <c r="H33" s="62">
        <v>42</v>
      </c>
      <c r="I33" s="62">
        <v>76</v>
      </c>
      <c r="J33" s="62">
        <v>38</v>
      </c>
      <c r="K33" s="62">
        <v>0</v>
      </c>
      <c r="L33" s="68">
        <v>216</v>
      </c>
    </row>
    <row r="34" spans="1:12" customFormat="1" ht="17.25" customHeight="1" x14ac:dyDescent="0.3">
      <c r="A34" s="60" t="s">
        <v>154</v>
      </c>
      <c r="B34" s="61" t="s">
        <v>155</v>
      </c>
      <c r="C34" s="62">
        <v>27</v>
      </c>
      <c r="D34" s="62">
        <v>22</v>
      </c>
      <c r="E34" s="62">
        <v>26</v>
      </c>
      <c r="F34" s="62">
        <v>55</v>
      </c>
      <c r="G34" s="62">
        <v>47</v>
      </c>
      <c r="H34" s="62">
        <v>83</v>
      </c>
      <c r="I34" s="62">
        <v>206</v>
      </c>
      <c r="J34" s="62">
        <v>125</v>
      </c>
      <c r="K34" s="62">
        <v>0</v>
      </c>
      <c r="L34" s="68">
        <v>591</v>
      </c>
    </row>
    <row r="35" spans="1:12" customFormat="1" ht="17.25" customHeight="1" x14ac:dyDescent="0.3">
      <c r="A35" s="60" t="s">
        <v>156</v>
      </c>
      <c r="B35" s="66" t="s">
        <v>157</v>
      </c>
      <c r="C35" s="55">
        <v>479</v>
      </c>
      <c r="D35" s="55">
        <v>422</v>
      </c>
      <c r="E35" s="55">
        <v>609</v>
      </c>
      <c r="F35" s="55">
        <v>663</v>
      </c>
      <c r="G35" s="55">
        <v>763</v>
      </c>
      <c r="H35" s="55">
        <v>2020</v>
      </c>
      <c r="I35" s="55">
        <v>4409</v>
      </c>
      <c r="J35" s="55">
        <v>2898</v>
      </c>
      <c r="K35" s="55">
        <v>0</v>
      </c>
      <c r="L35" s="71">
        <v>12263</v>
      </c>
    </row>
    <row r="36" spans="1:12" customFormat="1" ht="17.25" customHeight="1" x14ac:dyDescent="0.3">
      <c r="A36" s="60" t="s">
        <v>158</v>
      </c>
      <c r="B36" s="61" t="s">
        <v>159</v>
      </c>
      <c r="C36" s="62">
        <v>47</v>
      </c>
      <c r="D36" s="62">
        <v>40</v>
      </c>
      <c r="E36" s="62">
        <v>47</v>
      </c>
      <c r="F36" s="62">
        <v>52</v>
      </c>
      <c r="G36" s="62">
        <v>48</v>
      </c>
      <c r="H36" s="62">
        <v>201</v>
      </c>
      <c r="I36" s="62">
        <v>407</v>
      </c>
      <c r="J36" s="62">
        <v>265</v>
      </c>
      <c r="K36" s="62">
        <v>0</v>
      </c>
      <c r="L36" s="68">
        <v>1107</v>
      </c>
    </row>
    <row r="37" spans="1:12" customFormat="1" ht="17.25" customHeight="1" x14ac:dyDescent="0.3">
      <c r="A37" s="60" t="s">
        <v>160</v>
      </c>
      <c r="B37" s="61" t="s">
        <v>161</v>
      </c>
      <c r="C37" s="62">
        <v>41</v>
      </c>
      <c r="D37" s="62">
        <v>30</v>
      </c>
      <c r="E37" s="62">
        <v>46</v>
      </c>
      <c r="F37" s="62">
        <v>65</v>
      </c>
      <c r="G37" s="62">
        <v>66</v>
      </c>
      <c r="H37" s="62">
        <v>150</v>
      </c>
      <c r="I37" s="62">
        <v>351</v>
      </c>
      <c r="J37" s="62">
        <v>268</v>
      </c>
      <c r="K37" s="62">
        <v>0</v>
      </c>
      <c r="L37" s="68">
        <v>1017</v>
      </c>
    </row>
    <row r="38" spans="1:12" customFormat="1" ht="17.25" customHeight="1" x14ac:dyDescent="0.3">
      <c r="A38" s="60" t="s">
        <v>162</v>
      </c>
      <c r="B38" s="61" t="s">
        <v>163</v>
      </c>
      <c r="C38" s="62">
        <v>42</v>
      </c>
      <c r="D38" s="62">
        <v>35</v>
      </c>
      <c r="E38" s="62">
        <v>55</v>
      </c>
      <c r="F38" s="62">
        <v>59</v>
      </c>
      <c r="G38" s="62">
        <v>93</v>
      </c>
      <c r="H38" s="62">
        <v>221</v>
      </c>
      <c r="I38" s="62">
        <v>390</v>
      </c>
      <c r="J38" s="62">
        <v>239</v>
      </c>
      <c r="K38" s="62">
        <v>0</v>
      </c>
      <c r="L38" s="68">
        <v>1134</v>
      </c>
    </row>
    <row r="39" spans="1:12" customFormat="1" ht="17.25" customHeight="1" x14ac:dyDescent="0.3">
      <c r="A39" s="60" t="s">
        <v>164</v>
      </c>
      <c r="B39" s="61" t="s">
        <v>165</v>
      </c>
      <c r="C39" s="62">
        <v>35</v>
      </c>
      <c r="D39" s="62">
        <v>23</v>
      </c>
      <c r="E39" s="62">
        <v>34</v>
      </c>
      <c r="F39" s="62">
        <v>34</v>
      </c>
      <c r="G39" s="62">
        <v>40</v>
      </c>
      <c r="H39" s="62">
        <v>113</v>
      </c>
      <c r="I39" s="62">
        <v>242</v>
      </c>
      <c r="J39" s="62">
        <v>172</v>
      </c>
      <c r="K39" s="62">
        <v>0</v>
      </c>
      <c r="L39" s="68">
        <v>693</v>
      </c>
    </row>
    <row r="40" spans="1:12" customFormat="1" ht="17.25" customHeight="1" x14ac:dyDescent="0.3">
      <c r="A40" s="60" t="s">
        <v>166</v>
      </c>
      <c r="B40" s="61" t="s">
        <v>167</v>
      </c>
      <c r="C40" s="62">
        <v>23</v>
      </c>
      <c r="D40" s="62">
        <v>44</v>
      </c>
      <c r="E40" s="62">
        <v>47</v>
      </c>
      <c r="F40" s="62">
        <v>60</v>
      </c>
      <c r="G40" s="62">
        <v>46</v>
      </c>
      <c r="H40" s="62">
        <v>106</v>
      </c>
      <c r="I40" s="62">
        <v>303</v>
      </c>
      <c r="J40" s="62">
        <v>187</v>
      </c>
      <c r="K40" s="62">
        <v>0</v>
      </c>
      <c r="L40" s="68">
        <v>816</v>
      </c>
    </row>
    <row r="41" spans="1:12" customFormat="1" ht="17.25" customHeight="1" x14ac:dyDescent="0.3">
      <c r="A41" s="60" t="s">
        <v>168</v>
      </c>
      <c r="B41" s="61" t="s">
        <v>169</v>
      </c>
      <c r="C41" s="62">
        <v>41</v>
      </c>
      <c r="D41" s="62">
        <v>37</v>
      </c>
      <c r="E41" s="62">
        <v>44</v>
      </c>
      <c r="F41" s="62">
        <v>48</v>
      </c>
      <c r="G41" s="62">
        <v>45</v>
      </c>
      <c r="H41" s="62">
        <v>153</v>
      </c>
      <c r="I41" s="62">
        <v>354</v>
      </c>
      <c r="J41" s="62">
        <v>215</v>
      </c>
      <c r="K41" s="62">
        <v>0</v>
      </c>
      <c r="L41" s="68">
        <v>937</v>
      </c>
    </row>
    <row r="42" spans="1:12" customFormat="1" ht="17.25" customHeight="1" x14ac:dyDescent="0.3">
      <c r="A42" s="60" t="s">
        <v>170</v>
      </c>
      <c r="B42" s="61" t="s">
        <v>171</v>
      </c>
      <c r="C42" s="62">
        <v>76</v>
      </c>
      <c r="D42" s="62">
        <v>70</v>
      </c>
      <c r="E42" s="62">
        <v>114</v>
      </c>
      <c r="F42" s="62">
        <v>135</v>
      </c>
      <c r="G42" s="62">
        <v>143</v>
      </c>
      <c r="H42" s="62">
        <v>341</v>
      </c>
      <c r="I42" s="62">
        <v>774</v>
      </c>
      <c r="J42" s="62">
        <v>525</v>
      </c>
      <c r="K42" s="62">
        <v>0</v>
      </c>
      <c r="L42" s="68">
        <v>2178</v>
      </c>
    </row>
    <row r="43" spans="1:12" customFormat="1" ht="17.25" customHeight="1" x14ac:dyDescent="0.3">
      <c r="A43" s="60" t="s">
        <v>172</v>
      </c>
      <c r="B43" s="61" t="s">
        <v>173</v>
      </c>
      <c r="C43" s="62">
        <v>36</v>
      </c>
      <c r="D43" s="62">
        <v>24</v>
      </c>
      <c r="E43" s="62">
        <v>36</v>
      </c>
      <c r="F43" s="62">
        <v>39</v>
      </c>
      <c r="G43" s="62">
        <v>47</v>
      </c>
      <c r="H43" s="62">
        <v>118</v>
      </c>
      <c r="I43" s="62">
        <v>262</v>
      </c>
      <c r="J43" s="62">
        <v>207</v>
      </c>
      <c r="K43" s="62">
        <v>0</v>
      </c>
      <c r="L43" s="68">
        <v>769</v>
      </c>
    </row>
    <row r="44" spans="1:12" customFormat="1" ht="17.25" customHeight="1" x14ac:dyDescent="0.3">
      <c r="A44" s="60" t="s">
        <v>174</v>
      </c>
      <c r="B44" s="61" t="s">
        <v>175</v>
      </c>
      <c r="C44" s="62">
        <v>71</v>
      </c>
      <c r="D44" s="62">
        <v>73</v>
      </c>
      <c r="E44" s="62">
        <v>100</v>
      </c>
      <c r="F44" s="62">
        <v>105</v>
      </c>
      <c r="G44" s="62">
        <v>144</v>
      </c>
      <c r="H44" s="62">
        <v>383</v>
      </c>
      <c r="I44" s="62">
        <v>757</v>
      </c>
      <c r="J44" s="62">
        <v>451</v>
      </c>
      <c r="K44" s="62">
        <v>0</v>
      </c>
      <c r="L44" s="68">
        <v>2084</v>
      </c>
    </row>
    <row r="45" spans="1:12" customFormat="1" ht="17.25" customHeight="1" x14ac:dyDescent="0.3">
      <c r="A45" s="60" t="s">
        <v>176</v>
      </c>
      <c r="B45" s="61" t="s">
        <v>177</v>
      </c>
      <c r="C45" s="62">
        <v>67</v>
      </c>
      <c r="D45" s="62">
        <v>46</v>
      </c>
      <c r="E45" s="62">
        <v>86</v>
      </c>
      <c r="F45" s="62">
        <v>66</v>
      </c>
      <c r="G45" s="62">
        <v>91</v>
      </c>
      <c r="H45" s="62">
        <v>234</v>
      </c>
      <c r="I45" s="62">
        <v>569</v>
      </c>
      <c r="J45" s="62">
        <v>369</v>
      </c>
      <c r="K45" s="62">
        <v>0</v>
      </c>
      <c r="L45" s="68">
        <v>1528</v>
      </c>
    </row>
    <row r="46" spans="1:12" customFormat="1" ht="17.25" customHeight="1" x14ac:dyDescent="0.3">
      <c r="A46" s="60" t="s">
        <v>178</v>
      </c>
      <c r="B46" s="56" t="s">
        <v>179</v>
      </c>
      <c r="C46" s="55">
        <v>310</v>
      </c>
      <c r="D46" s="55">
        <v>254</v>
      </c>
      <c r="E46" s="55">
        <v>353</v>
      </c>
      <c r="F46" s="55">
        <v>361</v>
      </c>
      <c r="G46" s="55">
        <v>432</v>
      </c>
      <c r="H46" s="55">
        <v>1083</v>
      </c>
      <c r="I46" s="55">
        <v>2334</v>
      </c>
      <c r="J46" s="55">
        <v>1497</v>
      </c>
      <c r="K46" s="55">
        <v>0</v>
      </c>
      <c r="L46" s="71">
        <v>6624</v>
      </c>
    </row>
    <row r="47" spans="1:12" customFormat="1" ht="17.25" customHeight="1" x14ac:dyDescent="0.3">
      <c r="A47" s="60" t="s">
        <v>180</v>
      </c>
      <c r="B47" s="61" t="s">
        <v>181</v>
      </c>
      <c r="C47" s="62">
        <v>6</v>
      </c>
      <c r="D47" s="62">
        <v>9</v>
      </c>
      <c r="E47" s="62">
        <v>15</v>
      </c>
      <c r="F47" s="62">
        <v>11</v>
      </c>
      <c r="G47" s="62">
        <v>21</v>
      </c>
      <c r="H47" s="62">
        <v>37</v>
      </c>
      <c r="I47" s="62">
        <v>115</v>
      </c>
      <c r="J47" s="62">
        <v>56</v>
      </c>
      <c r="K47" s="62">
        <v>0</v>
      </c>
      <c r="L47" s="68">
        <v>270</v>
      </c>
    </row>
    <row r="48" spans="1:12" customFormat="1" ht="17.25" customHeight="1" x14ac:dyDescent="0.3">
      <c r="A48" s="60" t="s">
        <v>182</v>
      </c>
      <c r="B48" s="61" t="s">
        <v>183</v>
      </c>
      <c r="C48" s="62">
        <v>44</v>
      </c>
      <c r="D48" s="62">
        <v>42</v>
      </c>
      <c r="E48" s="62">
        <v>53</v>
      </c>
      <c r="F48" s="62">
        <v>53</v>
      </c>
      <c r="G48" s="62">
        <v>56</v>
      </c>
      <c r="H48" s="62">
        <v>158</v>
      </c>
      <c r="I48" s="62">
        <v>357</v>
      </c>
      <c r="J48" s="62">
        <v>213</v>
      </c>
      <c r="K48" s="62">
        <v>0</v>
      </c>
      <c r="L48" s="68">
        <v>976</v>
      </c>
    </row>
    <row r="49" spans="1:12" customFormat="1" ht="17.25" customHeight="1" x14ac:dyDescent="0.3">
      <c r="A49" s="60" t="s">
        <v>184</v>
      </c>
      <c r="B49" s="61" t="s">
        <v>185</v>
      </c>
      <c r="C49" s="62">
        <v>16</v>
      </c>
      <c r="D49" s="62">
        <v>23</v>
      </c>
      <c r="E49" s="62">
        <v>29</v>
      </c>
      <c r="F49" s="62">
        <v>22</v>
      </c>
      <c r="G49" s="62">
        <v>38</v>
      </c>
      <c r="H49" s="62">
        <v>80</v>
      </c>
      <c r="I49" s="62">
        <v>191</v>
      </c>
      <c r="J49" s="62">
        <v>123</v>
      </c>
      <c r="K49" s="62">
        <v>0</v>
      </c>
      <c r="L49" s="68">
        <v>522</v>
      </c>
    </row>
    <row r="50" spans="1:12" customFormat="1" ht="17.25" customHeight="1" x14ac:dyDescent="0.3">
      <c r="A50" s="60" t="s">
        <v>186</v>
      </c>
      <c r="B50" s="61" t="s">
        <v>187</v>
      </c>
      <c r="C50" s="62">
        <v>15</v>
      </c>
      <c r="D50" s="62">
        <v>3</v>
      </c>
      <c r="E50" s="62">
        <v>8</v>
      </c>
      <c r="F50" s="62">
        <v>11</v>
      </c>
      <c r="G50" s="62">
        <v>10</v>
      </c>
      <c r="H50" s="62">
        <v>31</v>
      </c>
      <c r="I50" s="62">
        <v>74</v>
      </c>
      <c r="J50" s="62">
        <v>49</v>
      </c>
      <c r="K50" s="62">
        <v>0</v>
      </c>
      <c r="L50" s="68">
        <v>201</v>
      </c>
    </row>
    <row r="51" spans="1:12" customFormat="1" ht="17.25" customHeight="1" x14ac:dyDescent="0.3">
      <c r="A51" s="60" t="s">
        <v>188</v>
      </c>
      <c r="B51" s="61" t="s">
        <v>189</v>
      </c>
      <c r="C51" s="62">
        <v>36</v>
      </c>
      <c r="D51" s="62">
        <v>13</v>
      </c>
      <c r="E51" s="62">
        <v>32</v>
      </c>
      <c r="F51" s="62">
        <v>41</v>
      </c>
      <c r="G51" s="62">
        <v>44</v>
      </c>
      <c r="H51" s="62">
        <v>124</v>
      </c>
      <c r="I51" s="62">
        <v>214</v>
      </c>
      <c r="J51" s="62">
        <v>149</v>
      </c>
      <c r="K51" s="62">
        <v>0</v>
      </c>
      <c r="L51" s="68">
        <v>653</v>
      </c>
    </row>
    <row r="52" spans="1:12" customFormat="1" ht="17.25" customHeight="1" x14ac:dyDescent="0.3">
      <c r="A52" s="60" t="s">
        <v>190</v>
      </c>
      <c r="B52" s="61" t="s">
        <v>191</v>
      </c>
      <c r="C52" s="62">
        <v>14</v>
      </c>
      <c r="D52" s="62">
        <v>12</v>
      </c>
      <c r="E52" s="62">
        <v>19</v>
      </c>
      <c r="F52" s="62">
        <v>14</v>
      </c>
      <c r="G52" s="62">
        <v>16</v>
      </c>
      <c r="H52" s="62">
        <v>40</v>
      </c>
      <c r="I52" s="62">
        <v>96</v>
      </c>
      <c r="J52" s="62">
        <v>74</v>
      </c>
      <c r="K52" s="62">
        <v>0</v>
      </c>
      <c r="L52" s="68">
        <v>285</v>
      </c>
    </row>
    <row r="53" spans="1:12" customFormat="1" ht="17.25" customHeight="1" x14ac:dyDescent="0.3">
      <c r="A53" s="60" t="s">
        <v>192</v>
      </c>
      <c r="B53" s="61" t="s">
        <v>193</v>
      </c>
      <c r="C53" s="62">
        <v>27</v>
      </c>
      <c r="D53" s="62">
        <v>28</v>
      </c>
      <c r="E53" s="62">
        <v>31</v>
      </c>
      <c r="F53" s="62">
        <v>34</v>
      </c>
      <c r="G53" s="62">
        <v>41</v>
      </c>
      <c r="H53" s="62">
        <v>118</v>
      </c>
      <c r="I53" s="62">
        <v>194</v>
      </c>
      <c r="J53" s="62">
        <v>121</v>
      </c>
      <c r="K53" s="62">
        <v>0</v>
      </c>
      <c r="L53" s="68">
        <v>594</v>
      </c>
    </row>
    <row r="54" spans="1:12" customFormat="1" ht="17.25" customHeight="1" x14ac:dyDescent="0.3">
      <c r="A54" s="60" t="s">
        <v>194</v>
      </c>
      <c r="B54" s="61" t="s">
        <v>195</v>
      </c>
      <c r="C54" s="62">
        <v>19</v>
      </c>
      <c r="D54" s="62">
        <v>31</v>
      </c>
      <c r="E54" s="62">
        <v>21</v>
      </c>
      <c r="F54" s="62">
        <v>30</v>
      </c>
      <c r="G54" s="62">
        <v>45</v>
      </c>
      <c r="H54" s="62">
        <v>116</v>
      </c>
      <c r="I54" s="62">
        <v>220</v>
      </c>
      <c r="J54" s="62">
        <v>155</v>
      </c>
      <c r="K54" s="62">
        <v>0</v>
      </c>
      <c r="L54" s="68">
        <v>637</v>
      </c>
    </row>
    <row r="55" spans="1:12" customFormat="1" ht="17.25" customHeight="1" x14ac:dyDescent="0.3">
      <c r="A55" s="60" t="s">
        <v>196</v>
      </c>
      <c r="B55" s="61" t="s">
        <v>197</v>
      </c>
      <c r="C55" s="62">
        <v>24</v>
      </c>
      <c r="D55" s="62">
        <v>16</v>
      </c>
      <c r="E55" s="62">
        <v>28</v>
      </c>
      <c r="F55" s="62">
        <v>21</v>
      </c>
      <c r="G55" s="62">
        <v>23</v>
      </c>
      <c r="H55" s="62">
        <v>75</v>
      </c>
      <c r="I55" s="62">
        <v>150</v>
      </c>
      <c r="J55" s="62">
        <v>102</v>
      </c>
      <c r="K55" s="62">
        <v>0</v>
      </c>
      <c r="L55" s="68">
        <v>439</v>
      </c>
    </row>
    <row r="56" spans="1:12" customFormat="1" ht="17.25" customHeight="1" x14ac:dyDescent="0.3">
      <c r="A56" s="60" t="s">
        <v>198</v>
      </c>
      <c r="B56" s="61" t="s">
        <v>199</v>
      </c>
      <c r="C56" s="62">
        <v>40</v>
      </c>
      <c r="D56" s="62">
        <v>29</v>
      </c>
      <c r="E56" s="62">
        <v>43</v>
      </c>
      <c r="F56" s="62">
        <v>51</v>
      </c>
      <c r="G56" s="62">
        <v>44</v>
      </c>
      <c r="H56" s="62">
        <v>91</v>
      </c>
      <c r="I56" s="62">
        <v>220</v>
      </c>
      <c r="J56" s="62">
        <v>173</v>
      </c>
      <c r="K56" s="62">
        <v>0</v>
      </c>
      <c r="L56" s="68">
        <v>691</v>
      </c>
    </row>
    <row r="57" spans="1:12" customFormat="1" ht="17.25" customHeight="1" x14ac:dyDescent="0.3">
      <c r="A57" s="60" t="s">
        <v>200</v>
      </c>
      <c r="B57" s="61" t="s">
        <v>201</v>
      </c>
      <c r="C57" s="62">
        <v>31</v>
      </c>
      <c r="D57" s="62">
        <v>24</v>
      </c>
      <c r="E57" s="62">
        <v>48</v>
      </c>
      <c r="F57" s="62">
        <v>40</v>
      </c>
      <c r="G57" s="62">
        <v>48</v>
      </c>
      <c r="H57" s="62">
        <v>131</v>
      </c>
      <c r="I57" s="62">
        <v>295</v>
      </c>
      <c r="J57" s="62">
        <v>159</v>
      </c>
      <c r="K57" s="62">
        <v>0</v>
      </c>
      <c r="L57" s="68">
        <v>776</v>
      </c>
    </row>
    <row r="58" spans="1:12" customFormat="1" ht="17.25" customHeight="1" x14ac:dyDescent="0.3">
      <c r="A58" s="60" t="s">
        <v>202</v>
      </c>
      <c r="B58" s="61" t="s">
        <v>203</v>
      </c>
      <c r="C58" s="62">
        <v>38</v>
      </c>
      <c r="D58" s="62">
        <v>24</v>
      </c>
      <c r="E58" s="62">
        <v>26</v>
      </c>
      <c r="F58" s="62">
        <v>33</v>
      </c>
      <c r="G58" s="62">
        <v>46</v>
      </c>
      <c r="H58" s="62">
        <v>82</v>
      </c>
      <c r="I58" s="62">
        <v>208</v>
      </c>
      <c r="J58" s="62">
        <v>123</v>
      </c>
      <c r="K58" s="62">
        <v>0</v>
      </c>
      <c r="L58" s="68">
        <v>580</v>
      </c>
    </row>
    <row r="59" spans="1:12" customFormat="1" ht="17.25" customHeight="1" x14ac:dyDescent="0.3">
      <c r="A59" s="60" t="s">
        <v>204</v>
      </c>
      <c r="B59" s="120" t="s">
        <v>205</v>
      </c>
      <c r="C59" s="55">
        <v>221</v>
      </c>
      <c r="D59" s="55">
        <v>155</v>
      </c>
      <c r="E59" s="55">
        <v>243</v>
      </c>
      <c r="F59" s="55">
        <v>276</v>
      </c>
      <c r="G59" s="55">
        <v>282</v>
      </c>
      <c r="H59" s="55">
        <v>1036</v>
      </c>
      <c r="I59" s="55">
        <v>2185</v>
      </c>
      <c r="J59" s="55">
        <v>1261</v>
      </c>
      <c r="K59" s="55">
        <v>0</v>
      </c>
      <c r="L59" s="71">
        <v>5659</v>
      </c>
    </row>
    <row r="60" spans="1:12" customFormat="1" ht="17.25" customHeight="1" x14ac:dyDescent="0.3">
      <c r="A60" s="60" t="s">
        <v>206</v>
      </c>
      <c r="B60" s="61" t="s">
        <v>207</v>
      </c>
      <c r="C60" s="62">
        <v>21</v>
      </c>
      <c r="D60" s="62">
        <v>21</v>
      </c>
      <c r="E60" s="62">
        <v>21</v>
      </c>
      <c r="F60" s="62">
        <v>22</v>
      </c>
      <c r="G60" s="62">
        <v>20</v>
      </c>
      <c r="H60" s="62">
        <v>122</v>
      </c>
      <c r="I60" s="62">
        <v>247</v>
      </c>
      <c r="J60" s="62">
        <v>146</v>
      </c>
      <c r="K60" s="62">
        <v>0</v>
      </c>
      <c r="L60" s="68">
        <v>620</v>
      </c>
    </row>
    <row r="61" spans="1:12" customFormat="1" ht="17.25" customHeight="1" x14ac:dyDescent="0.3">
      <c r="A61" s="60" t="s">
        <v>208</v>
      </c>
      <c r="B61" s="61" t="s">
        <v>209</v>
      </c>
      <c r="C61" s="62">
        <v>49</v>
      </c>
      <c r="D61" s="62">
        <v>22</v>
      </c>
      <c r="E61" s="62">
        <v>50</v>
      </c>
      <c r="F61" s="62">
        <v>70</v>
      </c>
      <c r="G61" s="62">
        <v>66</v>
      </c>
      <c r="H61" s="62">
        <v>249</v>
      </c>
      <c r="I61" s="62">
        <v>479</v>
      </c>
      <c r="J61" s="62">
        <v>283</v>
      </c>
      <c r="K61" s="62">
        <v>0</v>
      </c>
      <c r="L61" s="68">
        <v>1268</v>
      </c>
    </row>
    <row r="62" spans="1:12" customFormat="1" ht="17.25" customHeight="1" x14ac:dyDescent="0.3">
      <c r="A62" s="60" t="s">
        <v>210</v>
      </c>
      <c r="B62" s="61" t="s">
        <v>211</v>
      </c>
      <c r="C62" s="62">
        <v>47</v>
      </c>
      <c r="D62" s="62">
        <v>47</v>
      </c>
      <c r="E62" s="62">
        <v>67</v>
      </c>
      <c r="F62" s="62">
        <v>74</v>
      </c>
      <c r="G62" s="62">
        <v>66</v>
      </c>
      <c r="H62" s="62">
        <v>249</v>
      </c>
      <c r="I62" s="62">
        <v>515</v>
      </c>
      <c r="J62" s="62">
        <v>297</v>
      </c>
      <c r="K62" s="62">
        <v>0</v>
      </c>
      <c r="L62" s="68">
        <v>1362</v>
      </c>
    </row>
    <row r="63" spans="1:12" customFormat="1" ht="17.25" customHeight="1" x14ac:dyDescent="0.3">
      <c r="A63" s="60" t="s">
        <v>212</v>
      </c>
      <c r="B63" s="61" t="s">
        <v>213</v>
      </c>
      <c r="C63" s="62">
        <v>38</v>
      </c>
      <c r="D63" s="62">
        <v>20</v>
      </c>
      <c r="E63" s="62">
        <v>31</v>
      </c>
      <c r="F63" s="62">
        <v>27</v>
      </c>
      <c r="G63" s="62">
        <v>39</v>
      </c>
      <c r="H63" s="62">
        <v>134</v>
      </c>
      <c r="I63" s="62">
        <v>299</v>
      </c>
      <c r="J63" s="62">
        <v>196</v>
      </c>
      <c r="K63" s="62">
        <v>0</v>
      </c>
      <c r="L63" s="68">
        <v>784</v>
      </c>
    </row>
    <row r="64" spans="1:12" customFormat="1" ht="17.25" customHeight="1" x14ac:dyDescent="0.3">
      <c r="A64" s="119" t="s">
        <v>214</v>
      </c>
      <c r="B64" s="64" t="s">
        <v>215</v>
      </c>
      <c r="C64" s="65">
        <v>66</v>
      </c>
      <c r="D64" s="65">
        <v>45</v>
      </c>
      <c r="E64" s="65">
        <v>74</v>
      </c>
      <c r="F64" s="65">
        <v>83</v>
      </c>
      <c r="G64" s="65">
        <v>91</v>
      </c>
      <c r="H64" s="65">
        <v>282</v>
      </c>
      <c r="I64" s="65">
        <v>645</v>
      </c>
      <c r="J64" s="65">
        <v>339</v>
      </c>
      <c r="K64" s="65">
        <v>0</v>
      </c>
      <c r="L64" s="67">
        <v>1625</v>
      </c>
    </row>
    <row r="65" spans="1:12" customFormat="1" ht="17.25" customHeight="1" x14ac:dyDescent="0.3">
      <c r="A65" s="54" t="s">
        <v>216</v>
      </c>
      <c r="B65" s="66" t="s">
        <v>217</v>
      </c>
      <c r="C65" s="55">
        <v>1171</v>
      </c>
      <c r="D65" s="55">
        <v>959</v>
      </c>
      <c r="E65" s="55">
        <v>1359</v>
      </c>
      <c r="F65" s="55">
        <v>1564</v>
      </c>
      <c r="G65" s="55">
        <v>1859</v>
      </c>
      <c r="H65" s="55">
        <v>4617</v>
      </c>
      <c r="I65" s="55">
        <v>9683</v>
      </c>
      <c r="J65" s="55">
        <v>5801</v>
      </c>
      <c r="K65" s="55">
        <v>2</v>
      </c>
      <c r="L65" s="71">
        <v>27015</v>
      </c>
    </row>
    <row r="66" spans="1:12" customFormat="1" ht="17.25" customHeight="1" x14ac:dyDescent="0.3">
      <c r="A66" s="60" t="s">
        <v>218</v>
      </c>
      <c r="B66" s="61" t="s">
        <v>219</v>
      </c>
      <c r="C66" s="62">
        <v>111</v>
      </c>
      <c r="D66" s="62">
        <v>100</v>
      </c>
      <c r="E66" s="62">
        <v>115</v>
      </c>
      <c r="F66" s="62">
        <v>130</v>
      </c>
      <c r="G66" s="62">
        <v>119</v>
      </c>
      <c r="H66" s="62">
        <v>312</v>
      </c>
      <c r="I66" s="62">
        <v>789</v>
      </c>
      <c r="J66" s="62">
        <v>523</v>
      </c>
      <c r="K66" s="62">
        <v>1</v>
      </c>
      <c r="L66" s="68">
        <v>2200</v>
      </c>
    </row>
    <row r="67" spans="1:12" customFormat="1" ht="17.25" customHeight="1" x14ac:dyDescent="0.3">
      <c r="A67" s="60" t="s">
        <v>220</v>
      </c>
      <c r="B67" s="61" t="s">
        <v>221</v>
      </c>
      <c r="C67" s="62">
        <v>24</v>
      </c>
      <c r="D67" s="62">
        <v>12</v>
      </c>
      <c r="E67" s="62">
        <v>23</v>
      </c>
      <c r="F67" s="62">
        <v>22</v>
      </c>
      <c r="G67" s="62">
        <v>12</v>
      </c>
      <c r="H67" s="62">
        <v>76</v>
      </c>
      <c r="I67" s="62">
        <v>145</v>
      </c>
      <c r="J67" s="62">
        <v>100</v>
      </c>
      <c r="K67" s="62">
        <v>0</v>
      </c>
      <c r="L67" s="68">
        <v>414</v>
      </c>
    </row>
    <row r="68" spans="1:12" customFormat="1" ht="17.25" customHeight="1" x14ac:dyDescent="0.3">
      <c r="A68" s="60" t="s">
        <v>222</v>
      </c>
      <c r="B68" s="61" t="s">
        <v>223</v>
      </c>
      <c r="C68" s="62">
        <v>27</v>
      </c>
      <c r="D68" s="62">
        <v>23</v>
      </c>
      <c r="E68" s="62">
        <v>21</v>
      </c>
      <c r="F68" s="62">
        <v>27</v>
      </c>
      <c r="G68" s="62">
        <v>21</v>
      </c>
      <c r="H68" s="62">
        <v>61</v>
      </c>
      <c r="I68" s="62">
        <v>188</v>
      </c>
      <c r="J68" s="62">
        <v>94</v>
      </c>
      <c r="K68" s="62">
        <v>0</v>
      </c>
      <c r="L68" s="68">
        <v>462</v>
      </c>
    </row>
    <row r="69" spans="1:12" customFormat="1" ht="17.25" customHeight="1" x14ac:dyDescent="0.3">
      <c r="A69" s="60" t="s">
        <v>224</v>
      </c>
      <c r="B69" s="61" t="s">
        <v>225</v>
      </c>
      <c r="C69" s="62">
        <v>28</v>
      </c>
      <c r="D69" s="62">
        <v>25</v>
      </c>
      <c r="E69" s="62">
        <v>42</v>
      </c>
      <c r="F69" s="62">
        <v>42</v>
      </c>
      <c r="G69" s="62">
        <v>40</v>
      </c>
      <c r="H69" s="62">
        <v>90</v>
      </c>
      <c r="I69" s="62">
        <v>242</v>
      </c>
      <c r="J69" s="62">
        <v>184</v>
      </c>
      <c r="K69" s="62">
        <v>0</v>
      </c>
      <c r="L69" s="68">
        <v>693</v>
      </c>
    </row>
    <row r="70" spans="1:12" customFormat="1" ht="17.25" customHeight="1" x14ac:dyDescent="0.3">
      <c r="A70" s="60" t="s">
        <v>226</v>
      </c>
      <c r="B70" s="61" t="s">
        <v>227</v>
      </c>
      <c r="C70" s="62">
        <v>45</v>
      </c>
      <c r="D70" s="62">
        <v>32</v>
      </c>
      <c r="E70" s="62">
        <v>60</v>
      </c>
      <c r="F70" s="62">
        <v>56</v>
      </c>
      <c r="G70" s="62">
        <v>78</v>
      </c>
      <c r="H70" s="62">
        <v>202</v>
      </c>
      <c r="I70" s="62">
        <v>346</v>
      </c>
      <c r="J70" s="62">
        <v>250</v>
      </c>
      <c r="K70" s="62">
        <v>0</v>
      </c>
      <c r="L70" s="68">
        <v>1069</v>
      </c>
    </row>
    <row r="71" spans="1:12" customFormat="1" ht="17.25" customHeight="1" x14ac:dyDescent="0.3">
      <c r="A71" s="60" t="s">
        <v>228</v>
      </c>
      <c r="B71" s="56" t="s">
        <v>229</v>
      </c>
      <c r="C71" s="55">
        <v>151</v>
      </c>
      <c r="D71" s="55">
        <v>138</v>
      </c>
      <c r="E71" s="55">
        <v>217</v>
      </c>
      <c r="F71" s="55">
        <v>258</v>
      </c>
      <c r="G71" s="55">
        <v>333</v>
      </c>
      <c r="H71" s="55">
        <v>757</v>
      </c>
      <c r="I71" s="55">
        <v>1599</v>
      </c>
      <c r="J71" s="55">
        <v>826</v>
      </c>
      <c r="K71" s="55">
        <v>0</v>
      </c>
      <c r="L71" s="71">
        <v>4279</v>
      </c>
    </row>
    <row r="72" spans="1:12" customFormat="1" ht="17.25" customHeight="1" x14ac:dyDescent="0.3">
      <c r="A72" s="60" t="s">
        <v>230</v>
      </c>
      <c r="B72" s="61" t="s">
        <v>231</v>
      </c>
      <c r="C72" s="62">
        <v>21</v>
      </c>
      <c r="D72" s="62">
        <v>12</v>
      </c>
      <c r="E72" s="62">
        <v>28</v>
      </c>
      <c r="F72" s="62">
        <v>32</v>
      </c>
      <c r="G72" s="62">
        <v>33</v>
      </c>
      <c r="H72" s="62">
        <v>69</v>
      </c>
      <c r="I72" s="62">
        <v>129</v>
      </c>
      <c r="J72" s="62">
        <v>80</v>
      </c>
      <c r="K72" s="62">
        <v>0</v>
      </c>
      <c r="L72" s="68">
        <v>404</v>
      </c>
    </row>
    <row r="73" spans="1:12" customFormat="1" ht="17.25" customHeight="1" x14ac:dyDescent="0.3">
      <c r="A73" s="60" t="s">
        <v>232</v>
      </c>
      <c r="B73" s="61" t="s">
        <v>233</v>
      </c>
      <c r="C73" s="62">
        <v>22</v>
      </c>
      <c r="D73" s="62">
        <v>24</v>
      </c>
      <c r="E73" s="62">
        <v>33</v>
      </c>
      <c r="F73" s="62">
        <v>37</v>
      </c>
      <c r="G73" s="62">
        <v>44</v>
      </c>
      <c r="H73" s="62">
        <v>113</v>
      </c>
      <c r="I73" s="62">
        <v>298</v>
      </c>
      <c r="J73" s="62">
        <v>128</v>
      </c>
      <c r="K73" s="62">
        <v>0</v>
      </c>
      <c r="L73" s="68">
        <v>699</v>
      </c>
    </row>
    <row r="74" spans="1:12" customFormat="1" ht="17.25" customHeight="1" x14ac:dyDescent="0.3">
      <c r="A74" s="60" t="s">
        <v>234</v>
      </c>
      <c r="B74" s="61" t="s">
        <v>235</v>
      </c>
      <c r="C74" s="62">
        <v>41</v>
      </c>
      <c r="D74" s="62">
        <v>46</v>
      </c>
      <c r="E74" s="62">
        <v>67</v>
      </c>
      <c r="F74" s="62">
        <v>73</v>
      </c>
      <c r="G74" s="62">
        <v>131</v>
      </c>
      <c r="H74" s="62">
        <v>283</v>
      </c>
      <c r="I74" s="62">
        <v>544</v>
      </c>
      <c r="J74" s="62">
        <v>288</v>
      </c>
      <c r="K74" s="62">
        <v>0</v>
      </c>
      <c r="L74" s="68">
        <v>1473</v>
      </c>
    </row>
    <row r="75" spans="1:12" customFormat="1" ht="17.25" customHeight="1" x14ac:dyDescent="0.3">
      <c r="A75" s="60" t="s">
        <v>236</v>
      </c>
      <c r="B75" s="61" t="s">
        <v>237</v>
      </c>
      <c r="C75" s="62">
        <v>14</v>
      </c>
      <c r="D75" s="62">
        <v>12</v>
      </c>
      <c r="E75" s="62">
        <v>15</v>
      </c>
      <c r="F75" s="62">
        <v>14</v>
      </c>
      <c r="G75" s="62">
        <v>22</v>
      </c>
      <c r="H75" s="62">
        <v>42</v>
      </c>
      <c r="I75" s="62">
        <v>89</v>
      </c>
      <c r="J75" s="62">
        <v>61</v>
      </c>
      <c r="K75" s="62">
        <v>0</v>
      </c>
      <c r="L75" s="68">
        <v>269</v>
      </c>
    </row>
    <row r="76" spans="1:12" customFormat="1" ht="17.25" customHeight="1" x14ac:dyDescent="0.3">
      <c r="A76" s="60" t="s">
        <v>238</v>
      </c>
      <c r="B76" s="61" t="s">
        <v>239</v>
      </c>
      <c r="C76" s="62">
        <v>17</v>
      </c>
      <c r="D76" s="62">
        <v>9</v>
      </c>
      <c r="E76" s="62">
        <v>17</v>
      </c>
      <c r="F76" s="62">
        <v>16</v>
      </c>
      <c r="G76" s="62">
        <v>26</v>
      </c>
      <c r="H76" s="62">
        <v>54</v>
      </c>
      <c r="I76" s="62">
        <v>114</v>
      </c>
      <c r="J76" s="62">
        <v>61</v>
      </c>
      <c r="K76" s="62">
        <v>0</v>
      </c>
      <c r="L76" s="68">
        <v>314</v>
      </c>
    </row>
    <row r="77" spans="1:12" customFormat="1" ht="17.25" customHeight="1" x14ac:dyDescent="0.3">
      <c r="A77" s="60" t="s">
        <v>240</v>
      </c>
      <c r="B77" s="61" t="s">
        <v>241</v>
      </c>
      <c r="C77" s="62">
        <v>17</v>
      </c>
      <c r="D77" s="62">
        <v>8</v>
      </c>
      <c r="E77" s="62">
        <v>13</v>
      </c>
      <c r="F77" s="62">
        <v>21</v>
      </c>
      <c r="G77" s="62">
        <v>17</v>
      </c>
      <c r="H77" s="62">
        <v>51</v>
      </c>
      <c r="I77" s="62">
        <v>120</v>
      </c>
      <c r="J77" s="62">
        <v>50</v>
      </c>
      <c r="K77" s="62">
        <v>0</v>
      </c>
      <c r="L77" s="68">
        <v>297</v>
      </c>
    </row>
    <row r="78" spans="1:12" customFormat="1" ht="17.25" customHeight="1" x14ac:dyDescent="0.3">
      <c r="A78" s="60" t="s">
        <v>242</v>
      </c>
      <c r="B78" s="61" t="s">
        <v>243</v>
      </c>
      <c r="C78" s="62">
        <v>19</v>
      </c>
      <c r="D78" s="62">
        <v>27</v>
      </c>
      <c r="E78" s="62">
        <v>44</v>
      </c>
      <c r="F78" s="62">
        <v>65</v>
      </c>
      <c r="G78" s="62">
        <v>60</v>
      </c>
      <c r="H78" s="62">
        <v>145</v>
      </c>
      <c r="I78" s="62">
        <v>305</v>
      </c>
      <c r="J78" s="62">
        <v>158</v>
      </c>
      <c r="K78" s="62">
        <v>0</v>
      </c>
      <c r="L78" s="68">
        <v>823</v>
      </c>
    </row>
    <row r="79" spans="1:12" customFormat="1" ht="17.25" customHeight="1" x14ac:dyDescent="0.3">
      <c r="A79" s="60" t="s">
        <v>244</v>
      </c>
      <c r="B79" s="56" t="s">
        <v>245</v>
      </c>
      <c r="C79" s="55">
        <v>309</v>
      </c>
      <c r="D79" s="55">
        <v>210</v>
      </c>
      <c r="E79" s="55">
        <v>269</v>
      </c>
      <c r="F79" s="55">
        <v>338</v>
      </c>
      <c r="G79" s="55">
        <v>433</v>
      </c>
      <c r="H79" s="55">
        <v>920</v>
      </c>
      <c r="I79" s="55">
        <v>2079</v>
      </c>
      <c r="J79" s="55">
        <v>1340</v>
      </c>
      <c r="K79" s="55">
        <v>0</v>
      </c>
      <c r="L79" s="71">
        <v>5898</v>
      </c>
    </row>
    <row r="80" spans="1:12" customFormat="1" ht="17.25" customHeight="1" x14ac:dyDescent="0.3">
      <c r="A80" s="60" t="s">
        <v>246</v>
      </c>
      <c r="B80" s="61" t="s">
        <v>247</v>
      </c>
      <c r="C80" s="62">
        <v>52</v>
      </c>
      <c r="D80" s="62">
        <v>41</v>
      </c>
      <c r="E80" s="62">
        <v>48</v>
      </c>
      <c r="F80" s="62">
        <v>63</v>
      </c>
      <c r="G80" s="62">
        <v>76</v>
      </c>
      <c r="H80" s="62">
        <v>201</v>
      </c>
      <c r="I80" s="62">
        <v>463</v>
      </c>
      <c r="J80" s="62">
        <v>285</v>
      </c>
      <c r="K80" s="62">
        <v>0</v>
      </c>
      <c r="L80" s="68">
        <v>1229</v>
      </c>
    </row>
    <row r="81" spans="1:12" customFormat="1" ht="17.25" customHeight="1" x14ac:dyDescent="0.3">
      <c r="A81" s="60" t="s">
        <v>248</v>
      </c>
      <c r="B81" s="61" t="s">
        <v>249</v>
      </c>
      <c r="C81" s="62">
        <v>64</v>
      </c>
      <c r="D81" s="62">
        <v>43</v>
      </c>
      <c r="E81" s="62">
        <v>54</v>
      </c>
      <c r="F81" s="62">
        <v>57</v>
      </c>
      <c r="G81" s="62">
        <v>83</v>
      </c>
      <c r="H81" s="62">
        <v>174</v>
      </c>
      <c r="I81" s="62">
        <v>446</v>
      </c>
      <c r="J81" s="62">
        <v>292</v>
      </c>
      <c r="K81" s="62">
        <v>0</v>
      </c>
      <c r="L81" s="68">
        <v>1213</v>
      </c>
    </row>
    <row r="82" spans="1:12" customFormat="1" ht="17.25" customHeight="1" x14ac:dyDescent="0.3">
      <c r="A82" s="60" t="s">
        <v>250</v>
      </c>
      <c r="B82" s="61" t="s">
        <v>251</v>
      </c>
      <c r="C82" s="62">
        <v>63</v>
      </c>
      <c r="D82" s="62">
        <v>33</v>
      </c>
      <c r="E82" s="62">
        <v>58</v>
      </c>
      <c r="F82" s="62">
        <v>73</v>
      </c>
      <c r="G82" s="62">
        <v>80</v>
      </c>
      <c r="H82" s="62">
        <v>183</v>
      </c>
      <c r="I82" s="62">
        <v>424</v>
      </c>
      <c r="J82" s="62">
        <v>300</v>
      </c>
      <c r="K82" s="62">
        <v>0</v>
      </c>
      <c r="L82" s="68">
        <v>1214</v>
      </c>
    </row>
    <row r="83" spans="1:12" customFormat="1" ht="17.25" customHeight="1" x14ac:dyDescent="0.3">
      <c r="A83" s="60" t="s">
        <v>252</v>
      </c>
      <c r="B83" s="61" t="s">
        <v>253</v>
      </c>
      <c r="C83" s="62">
        <v>130</v>
      </c>
      <c r="D83" s="62">
        <v>93</v>
      </c>
      <c r="E83" s="62">
        <v>109</v>
      </c>
      <c r="F83" s="62">
        <v>145</v>
      </c>
      <c r="G83" s="62">
        <v>194</v>
      </c>
      <c r="H83" s="62">
        <v>362</v>
      </c>
      <c r="I83" s="62">
        <v>746</v>
      </c>
      <c r="J83" s="62">
        <v>463</v>
      </c>
      <c r="K83" s="62">
        <v>0</v>
      </c>
      <c r="L83" s="68">
        <v>2242</v>
      </c>
    </row>
    <row r="84" spans="1:12" customFormat="1" ht="17.25" customHeight="1" x14ac:dyDescent="0.3">
      <c r="A84" s="60" t="s">
        <v>254</v>
      </c>
      <c r="B84" s="56" t="s">
        <v>255</v>
      </c>
      <c r="C84" s="55">
        <v>476</v>
      </c>
      <c r="D84" s="55">
        <v>419</v>
      </c>
      <c r="E84" s="55">
        <v>612</v>
      </c>
      <c r="F84" s="55">
        <v>691</v>
      </c>
      <c r="G84" s="55">
        <v>823</v>
      </c>
      <c r="H84" s="55">
        <v>2199</v>
      </c>
      <c r="I84" s="55">
        <v>4295</v>
      </c>
      <c r="J84" s="55">
        <v>2484</v>
      </c>
      <c r="K84" s="55">
        <v>1</v>
      </c>
      <c r="L84" s="71">
        <v>12000</v>
      </c>
    </row>
    <row r="85" spans="1:12" customFormat="1" ht="17.25" customHeight="1" x14ac:dyDescent="0.3">
      <c r="A85" s="60" t="s">
        <v>256</v>
      </c>
      <c r="B85" s="61" t="s">
        <v>257</v>
      </c>
      <c r="C85" s="62">
        <v>95</v>
      </c>
      <c r="D85" s="62">
        <v>61</v>
      </c>
      <c r="E85" s="62">
        <v>101</v>
      </c>
      <c r="F85" s="62">
        <v>108</v>
      </c>
      <c r="G85" s="62">
        <v>140</v>
      </c>
      <c r="H85" s="62">
        <v>370</v>
      </c>
      <c r="I85" s="62">
        <v>711</v>
      </c>
      <c r="J85" s="62">
        <v>445</v>
      </c>
      <c r="K85" s="62">
        <v>0</v>
      </c>
      <c r="L85" s="68">
        <v>2031</v>
      </c>
    </row>
    <row r="86" spans="1:12" customFormat="1" ht="17.25" customHeight="1" x14ac:dyDescent="0.3">
      <c r="A86" s="60" t="s">
        <v>258</v>
      </c>
      <c r="B86" s="61" t="s">
        <v>259</v>
      </c>
      <c r="C86" s="62">
        <v>55</v>
      </c>
      <c r="D86" s="62">
        <v>54</v>
      </c>
      <c r="E86" s="62">
        <v>69</v>
      </c>
      <c r="F86" s="62">
        <v>70</v>
      </c>
      <c r="G86" s="62">
        <v>77</v>
      </c>
      <c r="H86" s="62">
        <v>136</v>
      </c>
      <c r="I86" s="62">
        <v>330</v>
      </c>
      <c r="J86" s="62">
        <v>217</v>
      </c>
      <c r="K86" s="62">
        <v>0</v>
      </c>
      <c r="L86" s="68">
        <v>1008</v>
      </c>
    </row>
    <row r="87" spans="1:12" customFormat="1" ht="17.25" customHeight="1" x14ac:dyDescent="0.3">
      <c r="A87" s="60" t="s">
        <v>260</v>
      </c>
      <c r="B87" s="61" t="s">
        <v>261</v>
      </c>
      <c r="C87" s="62">
        <v>97</v>
      </c>
      <c r="D87" s="62">
        <v>97</v>
      </c>
      <c r="E87" s="62">
        <v>119</v>
      </c>
      <c r="F87" s="62">
        <v>134</v>
      </c>
      <c r="G87" s="62">
        <v>158</v>
      </c>
      <c r="H87" s="62">
        <v>353</v>
      </c>
      <c r="I87" s="62">
        <v>786</v>
      </c>
      <c r="J87" s="62">
        <v>483</v>
      </c>
      <c r="K87" s="62">
        <v>0</v>
      </c>
      <c r="L87" s="68">
        <v>2227</v>
      </c>
    </row>
    <row r="88" spans="1:12" customFormat="1" ht="17.25" customHeight="1" x14ac:dyDescent="0.3">
      <c r="A88" s="60" t="s">
        <v>262</v>
      </c>
      <c r="B88" s="61" t="s">
        <v>263</v>
      </c>
      <c r="C88" s="62">
        <v>171</v>
      </c>
      <c r="D88" s="62">
        <v>174</v>
      </c>
      <c r="E88" s="62">
        <v>261</v>
      </c>
      <c r="F88" s="62">
        <v>298</v>
      </c>
      <c r="G88" s="62">
        <v>353</v>
      </c>
      <c r="H88" s="62">
        <v>992</v>
      </c>
      <c r="I88" s="62">
        <v>1753</v>
      </c>
      <c r="J88" s="62">
        <v>933</v>
      </c>
      <c r="K88" s="62">
        <v>1</v>
      </c>
      <c r="L88" s="68">
        <v>4936</v>
      </c>
    </row>
    <row r="89" spans="1:12" customFormat="1" ht="17.25" customHeight="1" x14ac:dyDescent="0.3">
      <c r="A89" s="119" t="s">
        <v>264</v>
      </c>
      <c r="B89" s="64" t="s">
        <v>265</v>
      </c>
      <c r="C89" s="65">
        <v>58</v>
      </c>
      <c r="D89" s="65">
        <v>33</v>
      </c>
      <c r="E89" s="65">
        <v>62</v>
      </c>
      <c r="F89" s="65">
        <v>81</v>
      </c>
      <c r="G89" s="65">
        <v>95</v>
      </c>
      <c r="H89" s="65">
        <v>348</v>
      </c>
      <c r="I89" s="65">
        <v>715</v>
      </c>
      <c r="J89" s="65">
        <v>406</v>
      </c>
      <c r="K89" s="65">
        <v>0</v>
      </c>
      <c r="L89" s="67">
        <v>1798</v>
      </c>
    </row>
    <row r="90" spans="1:12" customFormat="1" ht="17.25" customHeight="1" x14ac:dyDescent="0.3">
      <c r="A90" s="54" t="s">
        <v>266</v>
      </c>
      <c r="B90" s="66" t="s">
        <v>267</v>
      </c>
      <c r="C90" s="55">
        <v>1310</v>
      </c>
      <c r="D90" s="55">
        <v>1003</v>
      </c>
      <c r="E90" s="55">
        <v>1479</v>
      </c>
      <c r="F90" s="55">
        <v>1703</v>
      </c>
      <c r="G90" s="55">
        <v>1959</v>
      </c>
      <c r="H90" s="55">
        <v>4143</v>
      </c>
      <c r="I90" s="55">
        <v>9976</v>
      </c>
      <c r="J90" s="55">
        <v>6048</v>
      </c>
      <c r="K90" s="55">
        <v>3</v>
      </c>
      <c r="L90" s="71">
        <v>27624</v>
      </c>
    </row>
    <row r="91" spans="1:12" customFormat="1" ht="17.25" customHeight="1" x14ac:dyDescent="0.3">
      <c r="A91" s="60" t="s">
        <v>268</v>
      </c>
      <c r="B91" s="61" t="s">
        <v>269</v>
      </c>
      <c r="C91" s="62">
        <v>49</v>
      </c>
      <c r="D91" s="62">
        <v>53</v>
      </c>
      <c r="E91" s="62">
        <v>71</v>
      </c>
      <c r="F91" s="62">
        <v>66</v>
      </c>
      <c r="G91" s="62">
        <v>76</v>
      </c>
      <c r="H91" s="62">
        <v>154</v>
      </c>
      <c r="I91" s="62">
        <v>355</v>
      </c>
      <c r="J91" s="62">
        <v>232</v>
      </c>
      <c r="K91" s="62">
        <v>0</v>
      </c>
      <c r="L91" s="68">
        <v>1056</v>
      </c>
    </row>
    <row r="92" spans="1:12" customFormat="1" ht="17.25" customHeight="1" x14ac:dyDescent="0.3">
      <c r="A92" s="60" t="s">
        <v>270</v>
      </c>
      <c r="B92" s="61" t="s">
        <v>271</v>
      </c>
      <c r="C92" s="62">
        <v>37</v>
      </c>
      <c r="D92" s="62">
        <v>22</v>
      </c>
      <c r="E92" s="62">
        <v>22</v>
      </c>
      <c r="F92" s="62">
        <v>38</v>
      </c>
      <c r="G92" s="62">
        <v>39</v>
      </c>
      <c r="H92" s="62">
        <v>91</v>
      </c>
      <c r="I92" s="62">
        <v>215</v>
      </c>
      <c r="J92" s="62">
        <v>139</v>
      </c>
      <c r="K92" s="62">
        <v>0</v>
      </c>
      <c r="L92" s="68">
        <v>603</v>
      </c>
    </row>
    <row r="93" spans="1:12" customFormat="1" ht="17.25" customHeight="1" x14ac:dyDescent="0.3">
      <c r="A93" s="60" t="s">
        <v>272</v>
      </c>
      <c r="B93" s="61" t="s">
        <v>273</v>
      </c>
      <c r="C93" s="62">
        <v>97</v>
      </c>
      <c r="D93" s="62">
        <v>74</v>
      </c>
      <c r="E93" s="62">
        <v>104</v>
      </c>
      <c r="F93" s="62">
        <v>133</v>
      </c>
      <c r="G93" s="62">
        <v>168</v>
      </c>
      <c r="H93" s="62">
        <v>303</v>
      </c>
      <c r="I93" s="62">
        <v>800</v>
      </c>
      <c r="J93" s="62">
        <v>455</v>
      </c>
      <c r="K93" s="62">
        <v>0</v>
      </c>
      <c r="L93" s="68">
        <v>2134</v>
      </c>
    </row>
    <row r="94" spans="1:12" customFormat="1" ht="17.25" customHeight="1" x14ac:dyDescent="0.3">
      <c r="A94" s="60" t="s">
        <v>274</v>
      </c>
      <c r="B94" s="61" t="s">
        <v>275</v>
      </c>
      <c r="C94" s="62">
        <v>46</v>
      </c>
      <c r="D94" s="62">
        <v>36</v>
      </c>
      <c r="E94" s="62">
        <v>56</v>
      </c>
      <c r="F94" s="62">
        <v>46</v>
      </c>
      <c r="G94" s="62">
        <v>55</v>
      </c>
      <c r="H94" s="62">
        <v>109</v>
      </c>
      <c r="I94" s="62">
        <v>236</v>
      </c>
      <c r="J94" s="62">
        <v>156</v>
      </c>
      <c r="K94" s="62">
        <v>0</v>
      </c>
      <c r="L94" s="68">
        <v>740</v>
      </c>
    </row>
    <row r="95" spans="1:12" customFormat="1" ht="17.25" customHeight="1" x14ac:dyDescent="0.3">
      <c r="A95" s="60" t="s">
        <v>276</v>
      </c>
      <c r="B95" s="61" t="s">
        <v>277</v>
      </c>
      <c r="C95" s="62">
        <v>19</v>
      </c>
      <c r="D95" s="62">
        <v>18</v>
      </c>
      <c r="E95" s="62">
        <v>24</v>
      </c>
      <c r="F95" s="62">
        <v>30</v>
      </c>
      <c r="G95" s="62">
        <v>28</v>
      </c>
      <c r="H95" s="62">
        <v>62</v>
      </c>
      <c r="I95" s="62">
        <v>125</v>
      </c>
      <c r="J95" s="62">
        <v>79</v>
      </c>
      <c r="K95" s="62">
        <v>0</v>
      </c>
      <c r="L95" s="68">
        <v>385</v>
      </c>
    </row>
    <row r="96" spans="1:12" customFormat="1" ht="17.25" customHeight="1" x14ac:dyDescent="0.3">
      <c r="A96" s="60" t="s">
        <v>278</v>
      </c>
      <c r="B96" s="61" t="s">
        <v>279</v>
      </c>
      <c r="C96" s="62">
        <v>135</v>
      </c>
      <c r="D96" s="62">
        <v>127</v>
      </c>
      <c r="E96" s="62">
        <v>176</v>
      </c>
      <c r="F96" s="62">
        <v>228</v>
      </c>
      <c r="G96" s="62">
        <v>240</v>
      </c>
      <c r="H96" s="62">
        <v>459</v>
      </c>
      <c r="I96" s="62">
        <v>1118</v>
      </c>
      <c r="J96" s="62">
        <v>565</v>
      </c>
      <c r="K96" s="62">
        <v>0</v>
      </c>
      <c r="L96" s="68">
        <v>3048</v>
      </c>
    </row>
    <row r="97" spans="1:12" customFormat="1" ht="17.25" customHeight="1" x14ac:dyDescent="0.3">
      <c r="A97" s="60" t="s">
        <v>280</v>
      </c>
      <c r="B97" s="56" t="s">
        <v>281</v>
      </c>
      <c r="C97" s="55">
        <v>234</v>
      </c>
      <c r="D97" s="55">
        <v>175</v>
      </c>
      <c r="E97" s="55">
        <v>277</v>
      </c>
      <c r="F97" s="55">
        <v>293</v>
      </c>
      <c r="G97" s="55">
        <v>349</v>
      </c>
      <c r="H97" s="55">
        <v>764</v>
      </c>
      <c r="I97" s="55">
        <v>1696</v>
      </c>
      <c r="J97" s="55">
        <v>1118</v>
      </c>
      <c r="K97" s="55">
        <v>1</v>
      </c>
      <c r="L97" s="71">
        <v>4907</v>
      </c>
    </row>
    <row r="98" spans="1:12" customFormat="1" ht="17.25" customHeight="1" x14ac:dyDescent="0.3">
      <c r="A98" s="60" t="s">
        <v>282</v>
      </c>
      <c r="B98" s="61" t="s">
        <v>283</v>
      </c>
      <c r="C98" s="62">
        <v>45</v>
      </c>
      <c r="D98" s="62">
        <v>30</v>
      </c>
      <c r="E98" s="62">
        <v>48</v>
      </c>
      <c r="F98" s="62">
        <v>54</v>
      </c>
      <c r="G98" s="62">
        <v>56</v>
      </c>
      <c r="H98" s="62">
        <v>143</v>
      </c>
      <c r="I98" s="62">
        <v>282</v>
      </c>
      <c r="J98" s="62">
        <v>189</v>
      </c>
      <c r="K98" s="62">
        <v>1</v>
      </c>
      <c r="L98" s="68">
        <v>848</v>
      </c>
    </row>
    <row r="99" spans="1:12" customFormat="1" ht="17.25" customHeight="1" x14ac:dyDescent="0.3">
      <c r="A99" s="60" t="s">
        <v>284</v>
      </c>
      <c r="B99" s="61" t="s">
        <v>285</v>
      </c>
      <c r="C99" s="62">
        <v>13</v>
      </c>
      <c r="D99" s="62">
        <v>9</v>
      </c>
      <c r="E99" s="62">
        <v>16</v>
      </c>
      <c r="F99" s="62">
        <v>21</v>
      </c>
      <c r="G99" s="62">
        <v>17</v>
      </c>
      <c r="H99" s="62">
        <v>54</v>
      </c>
      <c r="I99" s="62">
        <v>140</v>
      </c>
      <c r="J99" s="62">
        <v>105</v>
      </c>
      <c r="K99" s="62">
        <v>0</v>
      </c>
      <c r="L99" s="68">
        <v>375</v>
      </c>
    </row>
    <row r="100" spans="1:12" customFormat="1" ht="17.25" customHeight="1" x14ac:dyDescent="0.3">
      <c r="A100" s="60" t="s">
        <v>286</v>
      </c>
      <c r="B100" s="61" t="s">
        <v>287</v>
      </c>
      <c r="C100" s="62">
        <v>28</v>
      </c>
      <c r="D100" s="62">
        <v>15</v>
      </c>
      <c r="E100" s="62">
        <v>19</v>
      </c>
      <c r="F100" s="62">
        <v>29</v>
      </c>
      <c r="G100" s="62">
        <v>25</v>
      </c>
      <c r="H100" s="62">
        <v>75</v>
      </c>
      <c r="I100" s="62">
        <v>172</v>
      </c>
      <c r="J100" s="62">
        <v>103</v>
      </c>
      <c r="K100" s="62">
        <v>0</v>
      </c>
      <c r="L100" s="68">
        <v>466</v>
      </c>
    </row>
    <row r="101" spans="1:12" customFormat="1" ht="17.25" customHeight="1" x14ac:dyDescent="0.3">
      <c r="A101" s="60" t="s">
        <v>288</v>
      </c>
      <c r="B101" s="61" t="s">
        <v>289</v>
      </c>
      <c r="C101" s="62">
        <v>34</v>
      </c>
      <c r="D101" s="62">
        <v>25</v>
      </c>
      <c r="E101" s="62">
        <v>30</v>
      </c>
      <c r="F101" s="62">
        <v>32</v>
      </c>
      <c r="G101" s="62">
        <v>52</v>
      </c>
      <c r="H101" s="62">
        <v>80</v>
      </c>
      <c r="I101" s="62">
        <v>184</v>
      </c>
      <c r="J101" s="62">
        <v>122</v>
      </c>
      <c r="K101" s="62">
        <v>0</v>
      </c>
      <c r="L101" s="68">
        <v>559</v>
      </c>
    </row>
    <row r="102" spans="1:12" customFormat="1" ht="17.25" customHeight="1" x14ac:dyDescent="0.3">
      <c r="A102" s="60" t="s">
        <v>290</v>
      </c>
      <c r="B102" s="61" t="s">
        <v>291</v>
      </c>
      <c r="C102" s="62">
        <v>29</v>
      </c>
      <c r="D102" s="62">
        <v>23</v>
      </c>
      <c r="E102" s="62">
        <v>40</v>
      </c>
      <c r="F102" s="62">
        <v>36</v>
      </c>
      <c r="G102" s="62">
        <v>32</v>
      </c>
      <c r="H102" s="62">
        <v>94</v>
      </c>
      <c r="I102" s="62">
        <v>167</v>
      </c>
      <c r="J102" s="62">
        <v>122</v>
      </c>
      <c r="K102" s="62">
        <v>0</v>
      </c>
      <c r="L102" s="68">
        <v>543</v>
      </c>
    </row>
    <row r="103" spans="1:12" customFormat="1" ht="17.25" customHeight="1" x14ac:dyDescent="0.3">
      <c r="A103" s="60" t="s">
        <v>292</v>
      </c>
      <c r="B103" s="61" t="s">
        <v>293</v>
      </c>
      <c r="C103" s="62">
        <v>26</v>
      </c>
      <c r="D103" s="62">
        <v>23</v>
      </c>
      <c r="E103" s="62">
        <v>39</v>
      </c>
      <c r="F103" s="62">
        <v>37</v>
      </c>
      <c r="G103" s="62">
        <v>41</v>
      </c>
      <c r="H103" s="62">
        <v>75</v>
      </c>
      <c r="I103" s="62">
        <v>186</v>
      </c>
      <c r="J103" s="62">
        <v>128</v>
      </c>
      <c r="K103" s="62">
        <v>0</v>
      </c>
      <c r="L103" s="68">
        <v>555</v>
      </c>
    </row>
    <row r="104" spans="1:12" customFormat="1" ht="17.25" customHeight="1" x14ac:dyDescent="0.3">
      <c r="A104" s="60" t="s">
        <v>294</v>
      </c>
      <c r="B104" s="61" t="s">
        <v>295</v>
      </c>
      <c r="C104" s="62">
        <v>25</v>
      </c>
      <c r="D104" s="62">
        <v>21</v>
      </c>
      <c r="E104" s="62">
        <v>36</v>
      </c>
      <c r="F104" s="62">
        <v>35</v>
      </c>
      <c r="G104" s="62">
        <v>50</v>
      </c>
      <c r="H104" s="62">
        <v>95</v>
      </c>
      <c r="I104" s="62">
        <v>217</v>
      </c>
      <c r="J104" s="62">
        <v>127</v>
      </c>
      <c r="K104" s="62">
        <v>0</v>
      </c>
      <c r="L104" s="68">
        <v>606</v>
      </c>
    </row>
    <row r="105" spans="1:12" customFormat="1" ht="17.25" customHeight="1" x14ac:dyDescent="0.3">
      <c r="A105" s="60" t="s">
        <v>296</v>
      </c>
      <c r="B105" s="61" t="s">
        <v>297</v>
      </c>
      <c r="C105" s="62">
        <v>34</v>
      </c>
      <c r="D105" s="62">
        <v>29</v>
      </c>
      <c r="E105" s="62">
        <v>49</v>
      </c>
      <c r="F105" s="62">
        <v>49</v>
      </c>
      <c r="G105" s="62">
        <v>76</v>
      </c>
      <c r="H105" s="62">
        <v>148</v>
      </c>
      <c r="I105" s="62">
        <v>348</v>
      </c>
      <c r="J105" s="62">
        <v>222</v>
      </c>
      <c r="K105" s="62">
        <v>0</v>
      </c>
      <c r="L105" s="68">
        <v>955</v>
      </c>
    </row>
    <row r="106" spans="1:12" customFormat="1" ht="17.25" customHeight="1" x14ac:dyDescent="0.3">
      <c r="A106" s="60" t="s">
        <v>298</v>
      </c>
      <c r="B106" s="56" t="s">
        <v>299</v>
      </c>
      <c r="C106" s="55">
        <v>235</v>
      </c>
      <c r="D106" s="55">
        <v>188</v>
      </c>
      <c r="E106" s="55">
        <v>252</v>
      </c>
      <c r="F106" s="55">
        <v>324</v>
      </c>
      <c r="G106" s="55">
        <v>381</v>
      </c>
      <c r="H106" s="55">
        <v>865</v>
      </c>
      <c r="I106" s="55">
        <v>2046</v>
      </c>
      <c r="J106" s="55">
        <v>1230</v>
      </c>
      <c r="K106" s="55">
        <v>1</v>
      </c>
      <c r="L106" s="71">
        <v>5522</v>
      </c>
    </row>
    <row r="107" spans="1:12" customFormat="1" ht="17.25" customHeight="1" x14ac:dyDescent="0.3">
      <c r="A107" s="60" t="s">
        <v>300</v>
      </c>
      <c r="B107" s="61" t="s">
        <v>301</v>
      </c>
      <c r="C107" s="62">
        <v>33</v>
      </c>
      <c r="D107" s="62">
        <v>19</v>
      </c>
      <c r="E107" s="62">
        <v>38</v>
      </c>
      <c r="F107" s="62">
        <v>36</v>
      </c>
      <c r="G107" s="62">
        <v>52</v>
      </c>
      <c r="H107" s="62">
        <v>96</v>
      </c>
      <c r="I107" s="62">
        <v>266</v>
      </c>
      <c r="J107" s="62">
        <v>173</v>
      </c>
      <c r="K107" s="62">
        <v>0</v>
      </c>
      <c r="L107" s="68">
        <v>713</v>
      </c>
    </row>
    <row r="108" spans="1:12" customFormat="1" ht="17.25" customHeight="1" x14ac:dyDescent="0.3">
      <c r="A108" s="60" t="s">
        <v>302</v>
      </c>
      <c r="B108" s="61" t="s">
        <v>303</v>
      </c>
      <c r="C108" s="62">
        <v>47</v>
      </c>
      <c r="D108" s="62">
        <v>42</v>
      </c>
      <c r="E108" s="62">
        <v>67</v>
      </c>
      <c r="F108" s="62">
        <v>65</v>
      </c>
      <c r="G108" s="62">
        <v>94</v>
      </c>
      <c r="H108" s="62">
        <v>192</v>
      </c>
      <c r="I108" s="62">
        <v>451</v>
      </c>
      <c r="J108" s="62">
        <v>283</v>
      </c>
      <c r="K108" s="62">
        <v>0</v>
      </c>
      <c r="L108" s="68">
        <v>1241</v>
      </c>
    </row>
    <row r="109" spans="1:12" customFormat="1" ht="17.25" customHeight="1" x14ac:dyDescent="0.3">
      <c r="A109" s="60" t="s">
        <v>304</v>
      </c>
      <c r="B109" s="61" t="s">
        <v>305</v>
      </c>
      <c r="C109" s="62">
        <v>48</v>
      </c>
      <c r="D109" s="62">
        <v>31</v>
      </c>
      <c r="E109" s="62">
        <v>52</v>
      </c>
      <c r="F109" s="62">
        <v>75</v>
      </c>
      <c r="G109" s="62">
        <v>75</v>
      </c>
      <c r="H109" s="62">
        <v>163</v>
      </c>
      <c r="I109" s="62">
        <v>368</v>
      </c>
      <c r="J109" s="62">
        <v>221</v>
      </c>
      <c r="K109" s="62">
        <v>0</v>
      </c>
      <c r="L109" s="68">
        <v>1033</v>
      </c>
    </row>
    <row r="110" spans="1:12" customFormat="1" ht="17.25" customHeight="1" x14ac:dyDescent="0.3">
      <c r="A110" s="60" t="s">
        <v>306</v>
      </c>
      <c r="B110" s="61" t="s">
        <v>307</v>
      </c>
      <c r="C110" s="62">
        <v>54</v>
      </c>
      <c r="D110" s="62">
        <v>40</v>
      </c>
      <c r="E110" s="62">
        <v>31</v>
      </c>
      <c r="F110" s="62">
        <v>49</v>
      </c>
      <c r="G110" s="62">
        <v>57</v>
      </c>
      <c r="H110" s="62">
        <v>157</v>
      </c>
      <c r="I110" s="62">
        <v>338</v>
      </c>
      <c r="J110" s="62">
        <v>180</v>
      </c>
      <c r="K110" s="62">
        <v>1</v>
      </c>
      <c r="L110" s="68">
        <v>907</v>
      </c>
    </row>
    <row r="111" spans="1:12" customFormat="1" ht="17.25" customHeight="1" x14ac:dyDescent="0.3">
      <c r="A111" s="60" t="s">
        <v>308</v>
      </c>
      <c r="B111" s="61" t="s">
        <v>309</v>
      </c>
      <c r="C111" s="62">
        <v>15</v>
      </c>
      <c r="D111" s="62">
        <v>20</v>
      </c>
      <c r="E111" s="62">
        <v>17</v>
      </c>
      <c r="F111" s="62">
        <v>27</v>
      </c>
      <c r="G111" s="62">
        <v>26</v>
      </c>
      <c r="H111" s="62">
        <v>68</v>
      </c>
      <c r="I111" s="62">
        <v>141</v>
      </c>
      <c r="J111" s="62">
        <v>89</v>
      </c>
      <c r="K111" s="62">
        <v>0</v>
      </c>
      <c r="L111" s="68">
        <v>403</v>
      </c>
    </row>
    <row r="112" spans="1:12" customFormat="1" ht="17.25" customHeight="1" x14ac:dyDescent="0.3">
      <c r="A112" s="60" t="s">
        <v>310</v>
      </c>
      <c r="B112" s="61" t="s">
        <v>311</v>
      </c>
      <c r="C112" s="62">
        <v>30</v>
      </c>
      <c r="D112" s="62">
        <v>22</v>
      </c>
      <c r="E112" s="62">
        <v>38</v>
      </c>
      <c r="F112" s="62">
        <v>47</v>
      </c>
      <c r="G112" s="62">
        <v>60</v>
      </c>
      <c r="H112" s="62">
        <v>137</v>
      </c>
      <c r="I112" s="62">
        <v>373</v>
      </c>
      <c r="J112" s="62">
        <v>217</v>
      </c>
      <c r="K112" s="62">
        <v>0</v>
      </c>
      <c r="L112" s="68">
        <v>924</v>
      </c>
    </row>
    <row r="113" spans="1:12" customFormat="1" ht="17.25" customHeight="1" x14ac:dyDescent="0.3">
      <c r="A113" s="60" t="s">
        <v>312</v>
      </c>
      <c r="B113" s="61" t="s">
        <v>313</v>
      </c>
      <c r="C113" s="62">
        <v>8</v>
      </c>
      <c r="D113" s="62">
        <v>14</v>
      </c>
      <c r="E113" s="62">
        <v>9</v>
      </c>
      <c r="F113" s="62">
        <v>25</v>
      </c>
      <c r="G113" s="62">
        <v>17</v>
      </c>
      <c r="H113" s="62">
        <v>52</v>
      </c>
      <c r="I113" s="62">
        <v>109</v>
      </c>
      <c r="J113" s="62">
        <v>67</v>
      </c>
      <c r="K113" s="62">
        <v>0</v>
      </c>
      <c r="L113" s="68">
        <v>301</v>
      </c>
    </row>
    <row r="114" spans="1:12" customFormat="1" ht="17.25" customHeight="1" x14ac:dyDescent="0.3">
      <c r="A114" s="60" t="s">
        <v>314</v>
      </c>
      <c r="B114" s="56" t="s">
        <v>315</v>
      </c>
      <c r="C114" s="55">
        <v>206</v>
      </c>
      <c r="D114" s="55">
        <v>132</v>
      </c>
      <c r="E114" s="55">
        <v>198</v>
      </c>
      <c r="F114" s="55">
        <v>222</v>
      </c>
      <c r="G114" s="55">
        <v>273</v>
      </c>
      <c r="H114" s="55">
        <v>581</v>
      </c>
      <c r="I114" s="55">
        <v>1462</v>
      </c>
      <c r="J114" s="55">
        <v>896</v>
      </c>
      <c r="K114" s="55">
        <v>0</v>
      </c>
      <c r="L114" s="71">
        <v>3970</v>
      </c>
    </row>
    <row r="115" spans="1:12" customFormat="1" ht="17.25" customHeight="1" x14ac:dyDescent="0.3">
      <c r="A115" s="60" t="s">
        <v>316</v>
      </c>
      <c r="B115" s="61" t="s">
        <v>317</v>
      </c>
      <c r="C115" s="62">
        <v>11</v>
      </c>
      <c r="D115" s="62">
        <v>9</v>
      </c>
      <c r="E115" s="62">
        <v>6</v>
      </c>
      <c r="F115" s="62">
        <v>11</v>
      </c>
      <c r="G115" s="62">
        <v>9</v>
      </c>
      <c r="H115" s="62">
        <v>36</v>
      </c>
      <c r="I115" s="62">
        <v>93</v>
      </c>
      <c r="J115" s="62">
        <v>43</v>
      </c>
      <c r="K115" s="62">
        <v>0</v>
      </c>
      <c r="L115" s="68">
        <v>218</v>
      </c>
    </row>
    <row r="116" spans="1:12" customFormat="1" ht="17.25" customHeight="1" x14ac:dyDescent="0.3">
      <c r="A116" s="60" t="s">
        <v>318</v>
      </c>
      <c r="B116" s="61" t="s">
        <v>319</v>
      </c>
      <c r="C116" s="62">
        <v>35</v>
      </c>
      <c r="D116" s="62">
        <v>22</v>
      </c>
      <c r="E116" s="62">
        <v>28</v>
      </c>
      <c r="F116" s="62">
        <v>32</v>
      </c>
      <c r="G116" s="62">
        <v>42</v>
      </c>
      <c r="H116" s="62">
        <v>72</v>
      </c>
      <c r="I116" s="62">
        <v>170</v>
      </c>
      <c r="J116" s="62">
        <v>111</v>
      </c>
      <c r="K116" s="62">
        <v>0</v>
      </c>
      <c r="L116" s="68">
        <v>512</v>
      </c>
    </row>
    <row r="117" spans="1:12" customFormat="1" ht="17.25" customHeight="1" x14ac:dyDescent="0.3">
      <c r="A117" s="60" t="s">
        <v>320</v>
      </c>
      <c r="B117" s="61" t="s">
        <v>321</v>
      </c>
      <c r="C117" s="62">
        <v>12</v>
      </c>
      <c r="D117" s="62">
        <v>9</v>
      </c>
      <c r="E117" s="62">
        <v>20</v>
      </c>
      <c r="F117" s="62">
        <v>11</v>
      </c>
      <c r="G117" s="62">
        <v>14</v>
      </c>
      <c r="H117" s="62">
        <v>40</v>
      </c>
      <c r="I117" s="62">
        <v>102</v>
      </c>
      <c r="J117" s="62">
        <v>67</v>
      </c>
      <c r="K117" s="62">
        <v>0</v>
      </c>
      <c r="L117" s="68">
        <v>275</v>
      </c>
    </row>
    <row r="118" spans="1:12" customFormat="1" ht="17.25" customHeight="1" x14ac:dyDescent="0.3">
      <c r="A118" s="60" t="s">
        <v>322</v>
      </c>
      <c r="B118" s="61" t="s">
        <v>323</v>
      </c>
      <c r="C118" s="62">
        <v>41</v>
      </c>
      <c r="D118" s="62">
        <v>24</v>
      </c>
      <c r="E118" s="62">
        <v>40</v>
      </c>
      <c r="F118" s="62">
        <v>36</v>
      </c>
      <c r="G118" s="62">
        <v>50</v>
      </c>
      <c r="H118" s="62">
        <v>106</v>
      </c>
      <c r="I118" s="62">
        <v>317</v>
      </c>
      <c r="J118" s="62">
        <v>195</v>
      </c>
      <c r="K118" s="62">
        <v>0</v>
      </c>
      <c r="L118" s="68">
        <v>809</v>
      </c>
    </row>
    <row r="119" spans="1:12" customFormat="1" ht="17.25" customHeight="1" x14ac:dyDescent="0.3">
      <c r="A119" s="60" t="s">
        <v>324</v>
      </c>
      <c r="B119" s="61" t="s">
        <v>325</v>
      </c>
      <c r="C119" s="62">
        <v>38</v>
      </c>
      <c r="D119" s="62">
        <v>17</v>
      </c>
      <c r="E119" s="62">
        <v>20</v>
      </c>
      <c r="F119" s="62">
        <v>28</v>
      </c>
      <c r="G119" s="62">
        <v>43</v>
      </c>
      <c r="H119" s="62">
        <v>64</v>
      </c>
      <c r="I119" s="62">
        <v>156</v>
      </c>
      <c r="J119" s="62">
        <v>93</v>
      </c>
      <c r="K119" s="62">
        <v>0</v>
      </c>
      <c r="L119" s="68">
        <v>459</v>
      </c>
    </row>
    <row r="120" spans="1:12" customFormat="1" ht="17.25" customHeight="1" x14ac:dyDescent="0.3">
      <c r="A120" s="60" t="s">
        <v>326</v>
      </c>
      <c r="B120" s="61" t="s">
        <v>327</v>
      </c>
      <c r="C120" s="62">
        <v>45</v>
      </c>
      <c r="D120" s="62">
        <v>28</v>
      </c>
      <c r="E120" s="62">
        <v>50</v>
      </c>
      <c r="F120" s="62">
        <v>68</v>
      </c>
      <c r="G120" s="62">
        <v>75</v>
      </c>
      <c r="H120" s="62">
        <v>158</v>
      </c>
      <c r="I120" s="62">
        <v>399</v>
      </c>
      <c r="J120" s="62">
        <v>246</v>
      </c>
      <c r="K120" s="62">
        <v>0</v>
      </c>
      <c r="L120" s="68">
        <v>1069</v>
      </c>
    </row>
    <row r="121" spans="1:12" customFormat="1" ht="17.25" customHeight="1" x14ac:dyDescent="0.3">
      <c r="A121" s="60" t="s">
        <v>328</v>
      </c>
      <c r="B121" s="61" t="s">
        <v>329</v>
      </c>
      <c r="C121" s="62">
        <v>24</v>
      </c>
      <c r="D121" s="62">
        <v>23</v>
      </c>
      <c r="E121" s="62">
        <v>34</v>
      </c>
      <c r="F121" s="62">
        <v>36</v>
      </c>
      <c r="G121" s="62">
        <v>40</v>
      </c>
      <c r="H121" s="62">
        <v>105</v>
      </c>
      <c r="I121" s="62">
        <v>225</v>
      </c>
      <c r="J121" s="62">
        <v>141</v>
      </c>
      <c r="K121" s="62">
        <v>0</v>
      </c>
      <c r="L121" s="68">
        <v>628</v>
      </c>
    </row>
    <row r="122" spans="1:12" customFormat="1" ht="17.25" customHeight="1" x14ac:dyDescent="0.3">
      <c r="A122" s="60" t="s">
        <v>330</v>
      </c>
      <c r="B122" s="56" t="s">
        <v>331</v>
      </c>
      <c r="C122" s="55">
        <v>252</v>
      </c>
      <c r="D122" s="55">
        <v>178</v>
      </c>
      <c r="E122" s="55">
        <v>299</v>
      </c>
      <c r="F122" s="55">
        <v>323</v>
      </c>
      <c r="G122" s="55">
        <v>350</v>
      </c>
      <c r="H122" s="55">
        <v>755</v>
      </c>
      <c r="I122" s="55">
        <v>1923</v>
      </c>
      <c r="J122" s="55">
        <v>1178</v>
      </c>
      <c r="K122" s="55">
        <v>1</v>
      </c>
      <c r="L122" s="71">
        <v>5259</v>
      </c>
    </row>
    <row r="123" spans="1:12" customFormat="1" ht="17.25" customHeight="1" x14ac:dyDescent="0.3">
      <c r="A123" s="60" t="s">
        <v>332</v>
      </c>
      <c r="B123" s="61" t="s">
        <v>333</v>
      </c>
      <c r="C123" s="62">
        <v>27</v>
      </c>
      <c r="D123" s="62">
        <v>25</v>
      </c>
      <c r="E123" s="62">
        <v>27</v>
      </c>
      <c r="F123" s="62">
        <v>32</v>
      </c>
      <c r="G123" s="62">
        <v>32</v>
      </c>
      <c r="H123" s="62">
        <v>80</v>
      </c>
      <c r="I123" s="62">
        <v>207</v>
      </c>
      <c r="J123" s="62">
        <v>124</v>
      </c>
      <c r="K123" s="62">
        <v>0</v>
      </c>
      <c r="L123" s="68">
        <v>554</v>
      </c>
    </row>
    <row r="124" spans="1:12" customFormat="1" ht="17.25" customHeight="1" x14ac:dyDescent="0.3">
      <c r="A124" s="60" t="s">
        <v>334</v>
      </c>
      <c r="B124" s="61" t="s">
        <v>335</v>
      </c>
      <c r="C124" s="62">
        <v>34</v>
      </c>
      <c r="D124" s="62">
        <v>17</v>
      </c>
      <c r="E124" s="62">
        <v>21</v>
      </c>
      <c r="F124" s="62">
        <v>32</v>
      </c>
      <c r="G124" s="62">
        <v>33</v>
      </c>
      <c r="H124" s="62">
        <v>93</v>
      </c>
      <c r="I124" s="62">
        <v>235</v>
      </c>
      <c r="J124" s="62">
        <v>152</v>
      </c>
      <c r="K124" s="62">
        <v>0</v>
      </c>
      <c r="L124" s="68">
        <v>617</v>
      </c>
    </row>
    <row r="125" spans="1:12" customFormat="1" ht="17.25" customHeight="1" x14ac:dyDescent="0.3">
      <c r="A125" s="60" t="s">
        <v>336</v>
      </c>
      <c r="B125" s="61" t="s">
        <v>337</v>
      </c>
      <c r="C125" s="62">
        <v>36</v>
      </c>
      <c r="D125" s="62">
        <v>18</v>
      </c>
      <c r="E125" s="62">
        <v>45</v>
      </c>
      <c r="F125" s="62">
        <v>52</v>
      </c>
      <c r="G125" s="62">
        <v>51</v>
      </c>
      <c r="H125" s="62">
        <v>97</v>
      </c>
      <c r="I125" s="62">
        <v>229</v>
      </c>
      <c r="J125" s="62">
        <v>142</v>
      </c>
      <c r="K125" s="62">
        <v>0</v>
      </c>
      <c r="L125" s="68">
        <v>670</v>
      </c>
    </row>
    <row r="126" spans="1:12" customFormat="1" ht="17.25" customHeight="1" x14ac:dyDescent="0.3">
      <c r="A126" s="60" t="s">
        <v>338</v>
      </c>
      <c r="B126" s="61" t="s">
        <v>339</v>
      </c>
      <c r="C126" s="62">
        <v>41</v>
      </c>
      <c r="D126" s="62">
        <v>26</v>
      </c>
      <c r="E126" s="62">
        <v>47</v>
      </c>
      <c r="F126" s="62">
        <v>54</v>
      </c>
      <c r="G126" s="62">
        <v>45</v>
      </c>
      <c r="H126" s="62">
        <v>90</v>
      </c>
      <c r="I126" s="62">
        <v>259</v>
      </c>
      <c r="J126" s="62">
        <v>133</v>
      </c>
      <c r="K126" s="62">
        <v>1</v>
      </c>
      <c r="L126" s="68">
        <v>696</v>
      </c>
    </row>
    <row r="127" spans="1:12" customFormat="1" ht="17.25" customHeight="1" x14ac:dyDescent="0.3">
      <c r="A127" s="60" t="s">
        <v>340</v>
      </c>
      <c r="B127" s="61" t="s">
        <v>341</v>
      </c>
      <c r="C127" s="62">
        <v>13</v>
      </c>
      <c r="D127" s="62">
        <v>17</v>
      </c>
      <c r="E127" s="62">
        <v>30</v>
      </c>
      <c r="F127" s="62">
        <v>18</v>
      </c>
      <c r="G127" s="62">
        <v>20</v>
      </c>
      <c r="H127" s="62">
        <v>48</v>
      </c>
      <c r="I127" s="62">
        <v>170</v>
      </c>
      <c r="J127" s="62">
        <v>121</v>
      </c>
      <c r="K127" s="62">
        <v>0</v>
      </c>
      <c r="L127" s="68">
        <v>437</v>
      </c>
    </row>
    <row r="128" spans="1:12" customFormat="1" ht="17.25" customHeight="1" x14ac:dyDescent="0.3">
      <c r="A128" s="60" t="s">
        <v>342</v>
      </c>
      <c r="B128" s="61" t="s">
        <v>343</v>
      </c>
      <c r="C128" s="62">
        <v>55</v>
      </c>
      <c r="D128" s="62">
        <v>28</v>
      </c>
      <c r="E128" s="62">
        <v>48</v>
      </c>
      <c r="F128" s="62">
        <v>46</v>
      </c>
      <c r="G128" s="62">
        <v>57</v>
      </c>
      <c r="H128" s="62">
        <v>122</v>
      </c>
      <c r="I128" s="62">
        <v>316</v>
      </c>
      <c r="J128" s="62">
        <v>184</v>
      </c>
      <c r="K128" s="62">
        <v>0</v>
      </c>
      <c r="L128" s="68">
        <v>856</v>
      </c>
    </row>
    <row r="129" spans="1:12" customFormat="1" ht="17.25" customHeight="1" x14ac:dyDescent="0.3">
      <c r="A129" s="119" t="s">
        <v>344</v>
      </c>
      <c r="B129" s="64" t="s">
        <v>345</v>
      </c>
      <c r="C129" s="65">
        <v>46</v>
      </c>
      <c r="D129" s="65">
        <v>47</v>
      </c>
      <c r="E129" s="65">
        <v>81</v>
      </c>
      <c r="F129" s="65">
        <v>89</v>
      </c>
      <c r="G129" s="65">
        <v>112</v>
      </c>
      <c r="H129" s="65">
        <v>225</v>
      </c>
      <c r="I129" s="65">
        <v>507</v>
      </c>
      <c r="J129" s="65">
        <v>322</v>
      </c>
      <c r="K129" s="65">
        <v>0</v>
      </c>
      <c r="L129" s="67">
        <v>1429</v>
      </c>
    </row>
    <row r="130" spans="1:12" customFormat="1" ht="17.25" customHeight="1" x14ac:dyDescent="0.3">
      <c r="A130" s="54" t="s">
        <v>346</v>
      </c>
      <c r="B130" s="66" t="s">
        <v>347</v>
      </c>
      <c r="C130" s="55">
        <v>1372</v>
      </c>
      <c r="D130" s="55">
        <v>1073</v>
      </c>
      <c r="E130" s="55">
        <v>1624</v>
      </c>
      <c r="F130" s="55">
        <v>1795</v>
      </c>
      <c r="G130" s="55">
        <v>2067</v>
      </c>
      <c r="H130" s="55">
        <v>4747</v>
      </c>
      <c r="I130" s="55">
        <v>10679</v>
      </c>
      <c r="J130" s="55">
        <v>6699</v>
      </c>
      <c r="K130" s="55">
        <v>3</v>
      </c>
      <c r="L130" s="71">
        <v>30059</v>
      </c>
    </row>
    <row r="131" spans="1:12" customFormat="1" ht="17.25" customHeight="1" x14ac:dyDescent="0.3">
      <c r="A131" s="60" t="s">
        <v>348</v>
      </c>
      <c r="B131" s="61" t="s">
        <v>349</v>
      </c>
      <c r="C131" s="62">
        <v>41</v>
      </c>
      <c r="D131" s="62">
        <v>38</v>
      </c>
      <c r="E131" s="62">
        <v>87</v>
      </c>
      <c r="F131" s="62">
        <v>82</v>
      </c>
      <c r="G131" s="62">
        <v>86</v>
      </c>
      <c r="H131" s="62">
        <v>161</v>
      </c>
      <c r="I131" s="62">
        <v>340</v>
      </c>
      <c r="J131" s="62">
        <v>206</v>
      </c>
      <c r="K131" s="62">
        <v>0</v>
      </c>
      <c r="L131" s="68">
        <v>1041</v>
      </c>
    </row>
    <row r="132" spans="1:12" customFormat="1" ht="17.25" customHeight="1" x14ac:dyDescent="0.3">
      <c r="A132" s="60" t="s">
        <v>350</v>
      </c>
      <c r="B132" s="61" t="s">
        <v>351</v>
      </c>
      <c r="C132" s="62">
        <v>99</v>
      </c>
      <c r="D132" s="62">
        <v>63</v>
      </c>
      <c r="E132" s="62">
        <v>118</v>
      </c>
      <c r="F132" s="62">
        <v>143</v>
      </c>
      <c r="G132" s="62">
        <v>129</v>
      </c>
      <c r="H132" s="62">
        <v>299</v>
      </c>
      <c r="I132" s="62">
        <v>677</v>
      </c>
      <c r="J132" s="62">
        <v>451</v>
      </c>
      <c r="K132" s="62">
        <v>1</v>
      </c>
      <c r="L132" s="68">
        <v>1980</v>
      </c>
    </row>
    <row r="133" spans="1:12" customFormat="1" ht="17.25" customHeight="1" x14ac:dyDescent="0.3">
      <c r="A133" s="60" t="s">
        <v>352</v>
      </c>
      <c r="B133" s="61" t="s">
        <v>353</v>
      </c>
      <c r="C133" s="62">
        <v>27</v>
      </c>
      <c r="D133" s="62">
        <v>32</v>
      </c>
      <c r="E133" s="62">
        <v>38</v>
      </c>
      <c r="F133" s="62">
        <v>47</v>
      </c>
      <c r="G133" s="62">
        <v>34</v>
      </c>
      <c r="H133" s="62">
        <v>91</v>
      </c>
      <c r="I133" s="62">
        <v>238</v>
      </c>
      <c r="J133" s="62">
        <v>151</v>
      </c>
      <c r="K133" s="62">
        <v>0</v>
      </c>
      <c r="L133" s="68">
        <v>658</v>
      </c>
    </row>
    <row r="134" spans="1:12" customFormat="1" ht="17.25" customHeight="1" x14ac:dyDescent="0.3">
      <c r="A134" s="60" t="s">
        <v>354</v>
      </c>
      <c r="B134" s="61" t="s">
        <v>355</v>
      </c>
      <c r="C134" s="62">
        <v>37</v>
      </c>
      <c r="D134" s="62">
        <v>31</v>
      </c>
      <c r="E134" s="62">
        <v>42</v>
      </c>
      <c r="F134" s="62">
        <v>58</v>
      </c>
      <c r="G134" s="62">
        <v>54</v>
      </c>
      <c r="H134" s="62">
        <v>128</v>
      </c>
      <c r="I134" s="62">
        <v>335</v>
      </c>
      <c r="J134" s="62">
        <v>232</v>
      </c>
      <c r="K134" s="62">
        <v>0</v>
      </c>
      <c r="L134" s="68">
        <v>917</v>
      </c>
    </row>
    <row r="135" spans="1:12" customFormat="1" ht="17.25" customHeight="1" x14ac:dyDescent="0.3">
      <c r="A135" s="60" t="s">
        <v>356</v>
      </c>
      <c r="B135" s="56" t="s">
        <v>357</v>
      </c>
      <c r="C135" s="55">
        <v>263</v>
      </c>
      <c r="D135" s="55">
        <v>192</v>
      </c>
      <c r="E135" s="55">
        <v>281</v>
      </c>
      <c r="F135" s="55">
        <v>310</v>
      </c>
      <c r="G135" s="55">
        <v>374</v>
      </c>
      <c r="H135" s="55">
        <v>784</v>
      </c>
      <c r="I135" s="55">
        <v>2069</v>
      </c>
      <c r="J135" s="55">
        <v>1280</v>
      </c>
      <c r="K135" s="55">
        <v>1</v>
      </c>
      <c r="L135" s="71">
        <v>5554</v>
      </c>
    </row>
    <row r="136" spans="1:12" customFormat="1" ht="17.25" customHeight="1" x14ac:dyDescent="0.3">
      <c r="A136" s="60" t="s">
        <v>358</v>
      </c>
      <c r="B136" s="61" t="s">
        <v>359</v>
      </c>
      <c r="C136" s="62">
        <v>26</v>
      </c>
      <c r="D136" s="62">
        <v>15</v>
      </c>
      <c r="E136" s="62">
        <v>16</v>
      </c>
      <c r="F136" s="62">
        <v>24</v>
      </c>
      <c r="G136" s="62">
        <v>29</v>
      </c>
      <c r="H136" s="62">
        <v>59</v>
      </c>
      <c r="I136" s="62">
        <v>183</v>
      </c>
      <c r="J136" s="62">
        <v>101</v>
      </c>
      <c r="K136" s="62">
        <v>0</v>
      </c>
      <c r="L136" s="68">
        <v>453</v>
      </c>
    </row>
    <row r="137" spans="1:12" customFormat="1" ht="17.25" customHeight="1" x14ac:dyDescent="0.3">
      <c r="A137" s="60" t="s">
        <v>360</v>
      </c>
      <c r="B137" s="61" t="s">
        <v>361</v>
      </c>
      <c r="C137" s="62">
        <v>34</v>
      </c>
      <c r="D137" s="62">
        <v>23</v>
      </c>
      <c r="E137" s="62">
        <v>35</v>
      </c>
      <c r="F137" s="62">
        <v>57</v>
      </c>
      <c r="G137" s="62">
        <v>45</v>
      </c>
      <c r="H137" s="62">
        <v>86</v>
      </c>
      <c r="I137" s="62">
        <v>271</v>
      </c>
      <c r="J137" s="62">
        <v>180</v>
      </c>
      <c r="K137" s="62">
        <v>0</v>
      </c>
      <c r="L137" s="68">
        <v>731</v>
      </c>
    </row>
    <row r="138" spans="1:12" customFormat="1" ht="17.25" customHeight="1" x14ac:dyDescent="0.3">
      <c r="A138" s="60" t="s">
        <v>362</v>
      </c>
      <c r="B138" s="61" t="s">
        <v>363</v>
      </c>
      <c r="C138" s="62">
        <v>41</v>
      </c>
      <c r="D138" s="62">
        <v>38</v>
      </c>
      <c r="E138" s="62">
        <v>46</v>
      </c>
      <c r="F138" s="62">
        <v>47</v>
      </c>
      <c r="G138" s="62">
        <v>72</v>
      </c>
      <c r="H138" s="62">
        <v>160</v>
      </c>
      <c r="I138" s="62">
        <v>370</v>
      </c>
      <c r="J138" s="62">
        <v>232</v>
      </c>
      <c r="K138" s="62">
        <v>1</v>
      </c>
      <c r="L138" s="68">
        <v>1007</v>
      </c>
    </row>
    <row r="139" spans="1:12" customFormat="1" ht="17.25" customHeight="1" x14ac:dyDescent="0.3">
      <c r="A139" s="60" t="s">
        <v>364</v>
      </c>
      <c r="B139" s="61" t="s">
        <v>365</v>
      </c>
      <c r="C139" s="62">
        <v>25</v>
      </c>
      <c r="D139" s="62">
        <v>24</v>
      </c>
      <c r="E139" s="62">
        <v>42</v>
      </c>
      <c r="F139" s="62">
        <v>32</v>
      </c>
      <c r="G139" s="62">
        <v>43</v>
      </c>
      <c r="H139" s="62">
        <v>101</v>
      </c>
      <c r="I139" s="62">
        <v>204</v>
      </c>
      <c r="J139" s="62">
        <v>130</v>
      </c>
      <c r="K139" s="62">
        <v>0</v>
      </c>
      <c r="L139" s="68">
        <v>601</v>
      </c>
    </row>
    <row r="140" spans="1:12" customFormat="1" ht="17.25" customHeight="1" x14ac:dyDescent="0.3">
      <c r="A140" s="60" t="s">
        <v>366</v>
      </c>
      <c r="B140" s="61" t="s">
        <v>367</v>
      </c>
      <c r="C140" s="62">
        <v>37</v>
      </c>
      <c r="D140" s="62">
        <v>28</v>
      </c>
      <c r="E140" s="62">
        <v>43</v>
      </c>
      <c r="F140" s="62">
        <v>41</v>
      </c>
      <c r="G140" s="62">
        <v>45</v>
      </c>
      <c r="H140" s="62">
        <v>116</v>
      </c>
      <c r="I140" s="62">
        <v>326</v>
      </c>
      <c r="J140" s="62">
        <v>196</v>
      </c>
      <c r="K140" s="62">
        <v>0</v>
      </c>
      <c r="L140" s="68">
        <v>832</v>
      </c>
    </row>
    <row r="141" spans="1:12" customFormat="1" ht="17.25" customHeight="1" x14ac:dyDescent="0.3">
      <c r="A141" s="60" t="s">
        <v>368</v>
      </c>
      <c r="B141" s="61" t="s">
        <v>369</v>
      </c>
      <c r="C141" s="62">
        <v>54</v>
      </c>
      <c r="D141" s="62">
        <v>31</v>
      </c>
      <c r="E141" s="62">
        <v>53</v>
      </c>
      <c r="F141" s="62">
        <v>60</v>
      </c>
      <c r="G141" s="62">
        <v>69</v>
      </c>
      <c r="H141" s="62">
        <v>134</v>
      </c>
      <c r="I141" s="62">
        <v>367</v>
      </c>
      <c r="J141" s="62">
        <v>220</v>
      </c>
      <c r="K141" s="62">
        <v>0</v>
      </c>
      <c r="L141" s="68">
        <v>988</v>
      </c>
    </row>
    <row r="142" spans="1:12" customFormat="1" ht="17.25" customHeight="1" x14ac:dyDescent="0.3">
      <c r="A142" s="60" t="s">
        <v>370</v>
      </c>
      <c r="B142" s="61" t="s">
        <v>371</v>
      </c>
      <c r="C142" s="62">
        <v>32</v>
      </c>
      <c r="D142" s="62">
        <v>27</v>
      </c>
      <c r="E142" s="62">
        <v>22</v>
      </c>
      <c r="F142" s="62">
        <v>32</v>
      </c>
      <c r="G142" s="62">
        <v>44</v>
      </c>
      <c r="H142" s="62">
        <v>59</v>
      </c>
      <c r="I142" s="62">
        <v>162</v>
      </c>
      <c r="J142" s="62">
        <v>123</v>
      </c>
      <c r="K142" s="62">
        <v>0</v>
      </c>
      <c r="L142" s="68">
        <v>501</v>
      </c>
    </row>
    <row r="143" spans="1:12" customFormat="1" ht="17.25" customHeight="1" x14ac:dyDescent="0.3">
      <c r="A143" s="60" t="s">
        <v>372</v>
      </c>
      <c r="B143" s="61" t="s">
        <v>373</v>
      </c>
      <c r="C143" s="62">
        <v>14</v>
      </c>
      <c r="D143" s="62">
        <v>6</v>
      </c>
      <c r="E143" s="62">
        <v>24</v>
      </c>
      <c r="F143" s="62">
        <v>17</v>
      </c>
      <c r="G143" s="62">
        <v>27</v>
      </c>
      <c r="H143" s="62">
        <v>69</v>
      </c>
      <c r="I143" s="62">
        <v>186</v>
      </c>
      <c r="J143" s="62">
        <v>98</v>
      </c>
      <c r="K143" s="62">
        <v>0</v>
      </c>
      <c r="L143" s="68">
        <v>441</v>
      </c>
    </row>
    <row r="144" spans="1:12" customFormat="1" ht="17.25" customHeight="1" x14ac:dyDescent="0.3">
      <c r="A144" s="60" t="s">
        <v>374</v>
      </c>
      <c r="B144" s="56" t="s">
        <v>375</v>
      </c>
      <c r="C144" s="55">
        <v>204</v>
      </c>
      <c r="D144" s="55">
        <v>180</v>
      </c>
      <c r="E144" s="55">
        <v>309</v>
      </c>
      <c r="F144" s="55">
        <v>327</v>
      </c>
      <c r="G144" s="55">
        <v>405</v>
      </c>
      <c r="H144" s="55">
        <v>1025</v>
      </c>
      <c r="I144" s="55">
        <v>1978</v>
      </c>
      <c r="J144" s="55">
        <v>1121</v>
      </c>
      <c r="K144" s="55">
        <v>0</v>
      </c>
      <c r="L144" s="71">
        <v>5549</v>
      </c>
    </row>
    <row r="145" spans="1:12" customFormat="1" ht="17.25" customHeight="1" x14ac:dyDescent="0.3">
      <c r="A145" s="60" t="s">
        <v>376</v>
      </c>
      <c r="B145" s="61" t="s">
        <v>377</v>
      </c>
      <c r="C145" s="62">
        <v>18</v>
      </c>
      <c r="D145" s="62">
        <v>13</v>
      </c>
      <c r="E145" s="62">
        <v>23</v>
      </c>
      <c r="F145" s="62">
        <v>23</v>
      </c>
      <c r="G145" s="62">
        <v>21</v>
      </c>
      <c r="H145" s="62">
        <v>64</v>
      </c>
      <c r="I145" s="62">
        <v>153</v>
      </c>
      <c r="J145" s="62">
        <v>100</v>
      </c>
      <c r="K145" s="62">
        <v>0</v>
      </c>
      <c r="L145" s="68">
        <v>415</v>
      </c>
    </row>
    <row r="146" spans="1:12" customFormat="1" ht="17.25" customHeight="1" x14ac:dyDescent="0.3">
      <c r="A146" s="60" t="s">
        <v>378</v>
      </c>
      <c r="B146" s="61" t="s">
        <v>379</v>
      </c>
      <c r="C146" s="62">
        <v>29</v>
      </c>
      <c r="D146" s="62">
        <v>17</v>
      </c>
      <c r="E146" s="62">
        <v>35</v>
      </c>
      <c r="F146" s="62">
        <v>34</v>
      </c>
      <c r="G146" s="62">
        <v>36</v>
      </c>
      <c r="H146" s="62">
        <v>106</v>
      </c>
      <c r="I146" s="62">
        <v>266</v>
      </c>
      <c r="J146" s="62">
        <v>151</v>
      </c>
      <c r="K146" s="62">
        <v>0</v>
      </c>
      <c r="L146" s="68">
        <v>674</v>
      </c>
    </row>
    <row r="147" spans="1:12" customFormat="1" ht="17.25" customHeight="1" x14ac:dyDescent="0.3">
      <c r="A147" s="60" t="s">
        <v>380</v>
      </c>
      <c r="B147" s="61" t="s">
        <v>381</v>
      </c>
      <c r="C147" s="62">
        <v>49</v>
      </c>
      <c r="D147" s="62">
        <v>42</v>
      </c>
      <c r="E147" s="62">
        <v>52</v>
      </c>
      <c r="F147" s="62">
        <v>51</v>
      </c>
      <c r="G147" s="62">
        <v>74</v>
      </c>
      <c r="H147" s="62">
        <v>191</v>
      </c>
      <c r="I147" s="62">
        <v>363</v>
      </c>
      <c r="J147" s="62">
        <v>210</v>
      </c>
      <c r="K147" s="62">
        <v>0</v>
      </c>
      <c r="L147" s="68">
        <v>1032</v>
      </c>
    </row>
    <row r="148" spans="1:12" customFormat="1" ht="17.25" customHeight="1" x14ac:dyDescent="0.3">
      <c r="A148" s="60" t="s">
        <v>382</v>
      </c>
      <c r="B148" s="61" t="s">
        <v>383</v>
      </c>
      <c r="C148" s="62">
        <v>47</v>
      </c>
      <c r="D148" s="62">
        <v>50</v>
      </c>
      <c r="E148" s="62">
        <v>104</v>
      </c>
      <c r="F148" s="62">
        <v>112</v>
      </c>
      <c r="G148" s="62">
        <v>152</v>
      </c>
      <c r="H148" s="62">
        <v>351</v>
      </c>
      <c r="I148" s="62">
        <v>620</v>
      </c>
      <c r="J148" s="62">
        <v>306</v>
      </c>
      <c r="K148" s="62">
        <v>0</v>
      </c>
      <c r="L148" s="68">
        <v>1742</v>
      </c>
    </row>
    <row r="149" spans="1:12" customFormat="1" ht="17.25" customHeight="1" x14ac:dyDescent="0.3">
      <c r="A149" s="60" t="s">
        <v>384</v>
      </c>
      <c r="B149" s="61" t="s">
        <v>385</v>
      </c>
      <c r="C149" s="62">
        <v>61</v>
      </c>
      <c r="D149" s="62">
        <v>58</v>
      </c>
      <c r="E149" s="62">
        <v>95</v>
      </c>
      <c r="F149" s="62">
        <v>107</v>
      </c>
      <c r="G149" s="62">
        <v>122</v>
      </c>
      <c r="H149" s="62">
        <v>313</v>
      </c>
      <c r="I149" s="62">
        <v>576</v>
      </c>
      <c r="J149" s="62">
        <v>354</v>
      </c>
      <c r="K149" s="62">
        <v>0</v>
      </c>
      <c r="L149" s="68">
        <v>1686</v>
      </c>
    </row>
    <row r="150" spans="1:12" customFormat="1" ht="17.25" customHeight="1" x14ac:dyDescent="0.3">
      <c r="A150" s="60" t="s">
        <v>386</v>
      </c>
      <c r="B150" s="121" t="s">
        <v>387</v>
      </c>
      <c r="C150" s="69">
        <v>490</v>
      </c>
      <c r="D150" s="69">
        <v>373</v>
      </c>
      <c r="E150" s="69">
        <v>467</v>
      </c>
      <c r="F150" s="69">
        <v>562</v>
      </c>
      <c r="G150" s="69">
        <v>648</v>
      </c>
      <c r="H150" s="69">
        <v>1597</v>
      </c>
      <c r="I150" s="69">
        <v>3548</v>
      </c>
      <c r="J150" s="69">
        <v>2266</v>
      </c>
      <c r="K150" s="69">
        <v>1</v>
      </c>
      <c r="L150" s="71">
        <v>9952</v>
      </c>
    </row>
    <row r="151" spans="1:12" customFormat="1" ht="17.25" customHeight="1" x14ac:dyDescent="0.3">
      <c r="A151" s="60" t="s">
        <v>388</v>
      </c>
      <c r="B151" s="61" t="s">
        <v>389</v>
      </c>
      <c r="C151" s="62">
        <v>154</v>
      </c>
      <c r="D151" s="62">
        <v>120</v>
      </c>
      <c r="E151" s="62">
        <v>151</v>
      </c>
      <c r="F151" s="62">
        <v>198</v>
      </c>
      <c r="G151" s="62">
        <v>237</v>
      </c>
      <c r="H151" s="62">
        <v>536</v>
      </c>
      <c r="I151" s="62">
        <v>1169</v>
      </c>
      <c r="J151" s="62">
        <v>784</v>
      </c>
      <c r="K151" s="62">
        <v>0</v>
      </c>
      <c r="L151" s="68">
        <v>3349</v>
      </c>
    </row>
    <row r="152" spans="1:12" customFormat="1" ht="17.25" customHeight="1" x14ac:dyDescent="0.3">
      <c r="A152" s="60" t="s">
        <v>390</v>
      </c>
      <c r="B152" s="61" t="s">
        <v>391</v>
      </c>
      <c r="C152" s="62">
        <v>45</v>
      </c>
      <c r="D152" s="62">
        <v>30</v>
      </c>
      <c r="E152" s="62">
        <v>48</v>
      </c>
      <c r="F152" s="62">
        <v>56</v>
      </c>
      <c r="G152" s="62">
        <v>74</v>
      </c>
      <c r="H152" s="62">
        <v>199</v>
      </c>
      <c r="I152" s="62">
        <v>379</v>
      </c>
      <c r="J152" s="62">
        <v>243</v>
      </c>
      <c r="K152" s="62">
        <v>0</v>
      </c>
      <c r="L152" s="68">
        <v>1074</v>
      </c>
    </row>
    <row r="153" spans="1:12" customFormat="1" ht="17.25" customHeight="1" x14ac:dyDescent="0.3">
      <c r="A153" s="60" t="s">
        <v>392</v>
      </c>
      <c r="B153" s="61" t="s">
        <v>393</v>
      </c>
      <c r="C153" s="62">
        <v>81</v>
      </c>
      <c r="D153" s="62">
        <v>73</v>
      </c>
      <c r="E153" s="62">
        <v>62</v>
      </c>
      <c r="F153" s="62">
        <v>77</v>
      </c>
      <c r="G153" s="62">
        <v>69</v>
      </c>
      <c r="H153" s="62">
        <v>194</v>
      </c>
      <c r="I153" s="62">
        <v>516</v>
      </c>
      <c r="J153" s="62">
        <v>314</v>
      </c>
      <c r="K153" s="62">
        <v>1</v>
      </c>
      <c r="L153" s="68">
        <v>1387</v>
      </c>
    </row>
    <row r="154" spans="1:12" customFormat="1" ht="17.25" customHeight="1" x14ac:dyDescent="0.3">
      <c r="A154" s="60" t="s">
        <v>394</v>
      </c>
      <c r="B154" s="61" t="s">
        <v>395</v>
      </c>
      <c r="C154" s="62">
        <v>46</v>
      </c>
      <c r="D154" s="62">
        <v>26</v>
      </c>
      <c r="E154" s="62">
        <v>41</v>
      </c>
      <c r="F154" s="62">
        <v>43</v>
      </c>
      <c r="G154" s="62">
        <v>35</v>
      </c>
      <c r="H154" s="62">
        <v>88</v>
      </c>
      <c r="I154" s="62">
        <v>238</v>
      </c>
      <c r="J154" s="62">
        <v>133</v>
      </c>
      <c r="K154" s="62">
        <v>0</v>
      </c>
      <c r="L154" s="68">
        <v>650</v>
      </c>
    </row>
    <row r="155" spans="1:12" customFormat="1" ht="17.25" customHeight="1" x14ac:dyDescent="0.3">
      <c r="A155" s="60" t="s">
        <v>396</v>
      </c>
      <c r="B155" s="61" t="s">
        <v>397</v>
      </c>
      <c r="C155" s="62">
        <v>77</v>
      </c>
      <c r="D155" s="62">
        <v>72</v>
      </c>
      <c r="E155" s="62">
        <v>89</v>
      </c>
      <c r="F155" s="62">
        <v>95</v>
      </c>
      <c r="G155" s="62">
        <v>138</v>
      </c>
      <c r="H155" s="62">
        <v>341</v>
      </c>
      <c r="I155" s="62">
        <v>656</v>
      </c>
      <c r="J155" s="62">
        <v>420</v>
      </c>
      <c r="K155" s="62">
        <v>0</v>
      </c>
      <c r="L155" s="68">
        <v>1888</v>
      </c>
    </row>
    <row r="156" spans="1:12" customFormat="1" ht="17.25" customHeight="1" x14ac:dyDescent="0.3">
      <c r="A156" s="60" t="s">
        <v>398</v>
      </c>
      <c r="B156" s="61" t="s">
        <v>399</v>
      </c>
      <c r="C156" s="62">
        <v>48</v>
      </c>
      <c r="D156" s="62">
        <v>35</v>
      </c>
      <c r="E156" s="62">
        <v>34</v>
      </c>
      <c r="F156" s="62">
        <v>58</v>
      </c>
      <c r="G156" s="62">
        <v>63</v>
      </c>
      <c r="H156" s="62">
        <v>137</v>
      </c>
      <c r="I156" s="62">
        <v>351</v>
      </c>
      <c r="J156" s="62">
        <v>220</v>
      </c>
      <c r="K156" s="62">
        <v>0</v>
      </c>
      <c r="L156" s="68">
        <v>946</v>
      </c>
    </row>
    <row r="157" spans="1:12" customFormat="1" ht="17.25" customHeight="1" x14ac:dyDescent="0.3">
      <c r="A157" s="60" t="s">
        <v>400</v>
      </c>
      <c r="B157" s="61" t="s">
        <v>401</v>
      </c>
      <c r="C157" s="62">
        <v>39</v>
      </c>
      <c r="D157" s="62">
        <v>17</v>
      </c>
      <c r="E157" s="62">
        <v>42</v>
      </c>
      <c r="F157" s="62">
        <v>35</v>
      </c>
      <c r="G157" s="62">
        <v>32</v>
      </c>
      <c r="H157" s="62">
        <v>102</v>
      </c>
      <c r="I157" s="62">
        <v>239</v>
      </c>
      <c r="J157" s="62">
        <v>152</v>
      </c>
      <c r="K157" s="62">
        <v>0</v>
      </c>
      <c r="L157" s="68">
        <v>658</v>
      </c>
    </row>
    <row r="158" spans="1:12" customFormat="1" ht="17.25" customHeight="1" x14ac:dyDescent="0.3">
      <c r="A158" s="60" t="s">
        <v>402</v>
      </c>
      <c r="B158" s="56" t="s">
        <v>403</v>
      </c>
      <c r="C158" s="55">
        <v>211</v>
      </c>
      <c r="D158" s="55">
        <v>164</v>
      </c>
      <c r="E158" s="55">
        <v>282</v>
      </c>
      <c r="F158" s="55">
        <v>266</v>
      </c>
      <c r="G158" s="55">
        <v>337</v>
      </c>
      <c r="H158" s="55">
        <v>662</v>
      </c>
      <c r="I158" s="55">
        <v>1494</v>
      </c>
      <c r="J158" s="55">
        <v>992</v>
      </c>
      <c r="K158" s="55">
        <v>0</v>
      </c>
      <c r="L158" s="71">
        <v>4408</v>
      </c>
    </row>
    <row r="159" spans="1:12" customFormat="1" ht="17.25" customHeight="1" x14ac:dyDescent="0.3">
      <c r="A159" s="60" t="s">
        <v>404</v>
      </c>
      <c r="B159" s="61" t="s">
        <v>405</v>
      </c>
      <c r="C159" s="62">
        <v>51</v>
      </c>
      <c r="D159" s="62">
        <v>30</v>
      </c>
      <c r="E159" s="62">
        <v>69</v>
      </c>
      <c r="F159" s="62">
        <v>57</v>
      </c>
      <c r="G159" s="62">
        <v>88</v>
      </c>
      <c r="H159" s="62">
        <v>175</v>
      </c>
      <c r="I159" s="62">
        <v>364</v>
      </c>
      <c r="J159" s="62">
        <v>244</v>
      </c>
      <c r="K159" s="62">
        <v>0</v>
      </c>
      <c r="L159" s="68">
        <v>1078</v>
      </c>
    </row>
    <row r="160" spans="1:12" customFormat="1" ht="17.25" customHeight="1" x14ac:dyDescent="0.3">
      <c r="A160" s="60" t="s">
        <v>406</v>
      </c>
      <c r="B160" s="61" t="s">
        <v>407</v>
      </c>
      <c r="C160" s="62">
        <v>29</v>
      </c>
      <c r="D160" s="62">
        <v>26</v>
      </c>
      <c r="E160" s="62">
        <v>51</v>
      </c>
      <c r="F160" s="62">
        <v>50</v>
      </c>
      <c r="G160" s="62">
        <v>39</v>
      </c>
      <c r="H160" s="62">
        <v>77</v>
      </c>
      <c r="I160" s="62">
        <v>213</v>
      </c>
      <c r="J160" s="62">
        <v>125</v>
      </c>
      <c r="K160" s="62">
        <v>0</v>
      </c>
      <c r="L160" s="68">
        <v>610</v>
      </c>
    </row>
    <row r="161" spans="1:12" customFormat="1" ht="17.25" customHeight="1" x14ac:dyDescent="0.3">
      <c r="A161" s="60" t="s">
        <v>408</v>
      </c>
      <c r="B161" s="61" t="s">
        <v>409</v>
      </c>
      <c r="C161" s="62">
        <v>28</v>
      </c>
      <c r="D161" s="62">
        <v>18</v>
      </c>
      <c r="E161" s="62">
        <v>31</v>
      </c>
      <c r="F161" s="62">
        <v>27</v>
      </c>
      <c r="G161" s="62">
        <v>31</v>
      </c>
      <c r="H161" s="62">
        <v>73</v>
      </c>
      <c r="I161" s="62">
        <v>156</v>
      </c>
      <c r="J161" s="62">
        <v>120</v>
      </c>
      <c r="K161" s="62">
        <v>0</v>
      </c>
      <c r="L161" s="68">
        <v>484</v>
      </c>
    </row>
    <row r="162" spans="1:12" customFormat="1" ht="17.25" customHeight="1" x14ac:dyDescent="0.3">
      <c r="A162" s="60" t="s">
        <v>410</v>
      </c>
      <c r="B162" s="61" t="s">
        <v>411</v>
      </c>
      <c r="C162" s="62">
        <v>21</v>
      </c>
      <c r="D162" s="62">
        <v>21</v>
      </c>
      <c r="E162" s="62">
        <v>37</v>
      </c>
      <c r="F162" s="62">
        <v>25</v>
      </c>
      <c r="G162" s="62">
        <v>41</v>
      </c>
      <c r="H162" s="62">
        <v>67</v>
      </c>
      <c r="I162" s="62">
        <v>176</v>
      </c>
      <c r="J162" s="62">
        <v>116</v>
      </c>
      <c r="K162" s="62">
        <v>0</v>
      </c>
      <c r="L162" s="68">
        <v>504</v>
      </c>
    </row>
    <row r="163" spans="1:12" customFormat="1" ht="17.25" customHeight="1" x14ac:dyDescent="0.3">
      <c r="A163" s="60" t="s">
        <v>412</v>
      </c>
      <c r="B163" s="61" t="s">
        <v>413</v>
      </c>
      <c r="C163" s="62">
        <v>49</v>
      </c>
      <c r="D163" s="62">
        <v>45</v>
      </c>
      <c r="E163" s="62">
        <v>65</v>
      </c>
      <c r="F163" s="62">
        <v>76</v>
      </c>
      <c r="G163" s="62">
        <v>98</v>
      </c>
      <c r="H163" s="62">
        <v>194</v>
      </c>
      <c r="I163" s="62">
        <v>419</v>
      </c>
      <c r="J163" s="62">
        <v>268</v>
      </c>
      <c r="K163" s="62">
        <v>0</v>
      </c>
      <c r="L163" s="68">
        <v>1214</v>
      </c>
    </row>
    <row r="164" spans="1:12" customFormat="1" ht="17.25" customHeight="1" x14ac:dyDescent="0.3">
      <c r="A164" s="119" t="s">
        <v>414</v>
      </c>
      <c r="B164" s="64" t="s">
        <v>415</v>
      </c>
      <c r="C164" s="65">
        <v>33</v>
      </c>
      <c r="D164" s="65">
        <v>24</v>
      </c>
      <c r="E164" s="65">
        <v>29</v>
      </c>
      <c r="F164" s="65">
        <v>31</v>
      </c>
      <c r="G164" s="65">
        <v>40</v>
      </c>
      <c r="H164" s="65">
        <v>76</v>
      </c>
      <c r="I164" s="65">
        <v>166</v>
      </c>
      <c r="J164" s="65">
        <v>119</v>
      </c>
      <c r="K164" s="65">
        <v>0</v>
      </c>
      <c r="L164" s="67">
        <v>518</v>
      </c>
    </row>
    <row r="165" spans="1:12" customFormat="1" ht="17.25" customHeight="1" x14ac:dyDescent="0.3">
      <c r="A165" s="54" t="s">
        <v>416</v>
      </c>
      <c r="B165" s="66" t="s">
        <v>417</v>
      </c>
      <c r="C165" s="55">
        <v>1736</v>
      </c>
      <c r="D165" s="55">
        <v>1503</v>
      </c>
      <c r="E165" s="55">
        <v>2004</v>
      </c>
      <c r="F165" s="55">
        <v>2464</v>
      </c>
      <c r="G165" s="55">
        <v>2964</v>
      </c>
      <c r="H165" s="55">
        <v>5896</v>
      </c>
      <c r="I165" s="55">
        <v>13135</v>
      </c>
      <c r="J165" s="55">
        <v>7893</v>
      </c>
      <c r="K165" s="55">
        <v>2</v>
      </c>
      <c r="L165" s="71">
        <v>37597</v>
      </c>
    </row>
    <row r="166" spans="1:12" customFormat="1" ht="17.25" customHeight="1" x14ac:dyDescent="0.3">
      <c r="A166" s="60" t="s">
        <v>418</v>
      </c>
      <c r="B166" s="61" t="s">
        <v>419</v>
      </c>
      <c r="C166" s="62">
        <v>51</v>
      </c>
      <c r="D166" s="62">
        <v>48</v>
      </c>
      <c r="E166" s="62">
        <v>83</v>
      </c>
      <c r="F166" s="62">
        <v>87</v>
      </c>
      <c r="G166" s="62">
        <v>86</v>
      </c>
      <c r="H166" s="62">
        <v>181</v>
      </c>
      <c r="I166" s="62">
        <v>382</v>
      </c>
      <c r="J166" s="62">
        <v>241</v>
      </c>
      <c r="K166" s="62">
        <v>0</v>
      </c>
      <c r="L166" s="68">
        <v>1159</v>
      </c>
    </row>
    <row r="167" spans="1:12" customFormat="1" ht="17.25" customHeight="1" x14ac:dyDescent="0.3">
      <c r="A167" s="60" t="s">
        <v>420</v>
      </c>
      <c r="B167" s="61" t="s">
        <v>421</v>
      </c>
      <c r="C167" s="62">
        <v>99</v>
      </c>
      <c r="D167" s="62">
        <v>91</v>
      </c>
      <c r="E167" s="62">
        <v>129</v>
      </c>
      <c r="F167" s="62">
        <v>179</v>
      </c>
      <c r="G167" s="62">
        <v>194</v>
      </c>
      <c r="H167" s="62">
        <v>394</v>
      </c>
      <c r="I167" s="62">
        <v>866</v>
      </c>
      <c r="J167" s="62">
        <v>486</v>
      </c>
      <c r="K167" s="62">
        <v>0</v>
      </c>
      <c r="L167" s="68">
        <v>2438</v>
      </c>
    </row>
    <row r="168" spans="1:12" customFormat="1" ht="17.25" customHeight="1" x14ac:dyDescent="0.3">
      <c r="A168" s="60" t="s">
        <v>422</v>
      </c>
      <c r="B168" s="61" t="s">
        <v>423</v>
      </c>
      <c r="C168" s="62">
        <v>25</v>
      </c>
      <c r="D168" s="62">
        <v>21</v>
      </c>
      <c r="E168" s="62">
        <v>19</v>
      </c>
      <c r="F168" s="62">
        <v>22</v>
      </c>
      <c r="G168" s="62">
        <v>37</v>
      </c>
      <c r="H168" s="62">
        <v>73</v>
      </c>
      <c r="I168" s="62">
        <v>178</v>
      </c>
      <c r="J168" s="62">
        <v>97</v>
      </c>
      <c r="K168" s="62">
        <v>1</v>
      </c>
      <c r="L168" s="68">
        <v>473</v>
      </c>
    </row>
    <row r="169" spans="1:12" customFormat="1" ht="17.25" customHeight="1" x14ac:dyDescent="0.3">
      <c r="A169" s="60" t="s">
        <v>424</v>
      </c>
      <c r="B169" s="61" t="s">
        <v>425</v>
      </c>
      <c r="C169" s="62">
        <v>41</v>
      </c>
      <c r="D169" s="62">
        <v>26</v>
      </c>
      <c r="E169" s="62">
        <v>40</v>
      </c>
      <c r="F169" s="62">
        <v>56</v>
      </c>
      <c r="G169" s="62">
        <v>59</v>
      </c>
      <c r="H169" s="62">
        <v>136</v>
      </c>
      <c r="I169" s="62">
        <v>285</v>
      </c>
      <c r="J169" s="62">
        <v>164</v>
      </c>
      <c r="K169" s="62">
        <v>0</v>
      </c>
      <c r="L169" s="68">
        <v>807</v>
      </c>
    </row>
    <row r="170" spans="1:12" customFormat="1" ht="17.25" customHeight="1" x14ac:dyDescent="0.3">
      <c r="A170" s="60" t="s">
        <v>426</v>
      </c>
      <c r="B170" s="61" t="s">
        <v>427</v>
      </c>
      <c r="C170" s="62">
        <v>29</v>
      </c>
      <c r="D170" s="62">
        <v>35</v>
      </c>
      <c r="E170" s="62">
        <v>41</v>
      </c>
      <c r="F170" s="62">
        <v>35</v>
      </c>
      <c r="G170" s="62">
        <v>35</v>
      </c>
      <c r="H170" s="62">
        <v>96</v>
      </c>
      <c r="I170" s="62">
        <v>242</v>
      </c>
      <c r="J170" s="62">
        <v>163</v>
      </c>
      <c r="K170" s="62">
        <v>0</v>
      </c>
      <c r="L170" s="68">
        <v>676</v>
      </c>
    </row>
    <row r="171" spans="1:12" customFormat="1" ht="17.25" customHeight="1" x14ac:dyDescent="0.3">
      <c r="A171" s="60" t="s">
        <v>428</v>
      </c>
      <c r="B171" s="61" t="s">
        <v>429</v>
      </c>
      <c r="C171" s="62">
        <v>29</v>
      </c>
      <c r="D171" s="62">
        <v>20</v>
      </c>
      <c r="E171" s="62">
        <v>28</v>
      </c>
      <c r="F171" s="62">
        <v>39</v>
      </c>
      <c r="G171" s="62">
        <v>48</v>
      </c>
      <c r="H171" s="62">
        <v>92</v>
      </c>
      <c r="I171" s="62">
        <v>211</v>
      </c>
      <c r="J171" s="62">
        <v>127</v>
      </c>
      <c r="K171" s="62">
        <v>0</v>
      </c>
      <c r="L171" s="68">
        <v>594</v>
      </c>
    </row>
    <row r="172" spans="1:12" customFormat="1" ht="17.25" customHeight="1" x14ac:dyDescent="0.3">
      <c r="A172" s="60" t="s">
        <v>430</v>
      </c>
      <c r="B172" s="56" t="s">
        <v>431</v>
      </c>
      <c r="C172" s="55">
        <v>244</v>
      </c>
      <c r="D172" s="55">
        <v>192</v>
      </c>
      <c r="E172" s="55">
        <v>328</v>
      </c>
      <c r="F172" s="55">
        <v>355</v>
      </c>
      <c r="G172" s="55">
        <v>397</v>
      </c>
      <c r="H172" s="55">
        <v>727</v>
      </c>
      <c r="I172" s="55">
        <v>1573</v>
      </c>
      <c r="J172" s="55">
        <v>1008</v>
      </c>
      <c r="K172" s="55">
        <v>0</v>
      </c>
      <c r="L172" s="71">
        <v>4824</v>
      </c>
    </row>
    <row r="173" spans="1:12" customFormat="1" ht="17.25" customHeight="1" x14ac:dyDescent="0.3">
      <c r="A173" s="60" t="s">
        <v>432</v>
      </c>
      <c r="B173" s="61" t="s">
        <v>433</v>
      </c>
      <c r="C173" s="62">
        <v>29</v>
      </c>
      <c r="D173" s="62">
        <v>22</v>
      </c>
      <c r="E173" s="62">
        <v>39</v>
      </c>
      <c r="F173" s="62">
        <v>48</v>
      </c>
      <c r="G173" s="62">
        <v>67</v>
      </c>
      <c r="H173" s="62">
        <v>72</v>
      </c>
      <c r="I173" s="62">
        <v>149</v>
      </c>
      <c r="J173" s="62">
        <v>81</v>
      </c>
      <c r="K173" s="62">
        <v>0</v>
      </c>
      <c r="L173" s="68">
        <v>507</v>
      </c>
    </row>
    <row r="174" spans="1:12" customFormat="1" ht="17.25" customHeight="1" x14ac:dyDescent="0.3">
      <c r="A174" s="60" t="s">
        <v>434</v>
      </c>
      <c r="B174" s="61" t="s">
        <v>435</v>
      </c>
      <c r="C174" s="62">
        <v>36</v>
      </c>
      <c r="D174" s="62">
        <v>25</v>
      </c>
      <c r="E174" s="62">
        <v>46</v>
      </c>
      <c r="F174" s="62">
        <v>33</v>
      </c>
      <c r="G174" s="62">
        <v>63</v>
      </c>
      <c r="H174" s="62">
        <v>94</v>
      </c>
      <c r="I174" s="62">
        <v>211</v>
      </c>
      <c r="J174" s="62">
        <v>145</v>
      </c>
      <c r="K174" s="62">
        <v>0</v>
      </c>
      <c r="L174" s="68">
        <v>653</v>
      </c>
    </row>
    <row r="175" spans="1:12" customFormat="1" ht="17.25" customHeight="1" x14ac:dyDescent="0.3">
      <c r="A175" s="60" t="s">
        <v>436</v>
      </c>
      <c r="B175" s="61" t="s">
        <v>437</v>
      </c>
      <c r="C175" s="62">
        <v>21</v>
      </c>
      <c r="D175" s="62">
        <v>7</v>
      </c>
      <c r="E175" s="62">
        <v>22</v>
      </c>
      <c r="F175" s="62">
        <v>36</v>
      </c>
      <c r="G175" s="62">
        <v>29</v>
      </c>
      <c r="H175" s="62">
        <v>46</v>
      </c>
      <c r="I175" s="62">
        <v>133</v>
      </c>
      <c r="J175" s="62">
        <v>100</v>
      </c>
      <c r="K175" s="62">
        <v>0</v>
      </c>
      <c r="L175" s="68">
        <v>394</v>
      </c>
    </row>
    <row r="176" spans="1:12" customFormat="1" ht="17.25" customHeight="1" x14ac:dyDescent="0.3">
      <c r="A176" s="60" t="s">
        <v>438</v>
      </c>
      <c r="B176" s="61" t="s">
        <v>439</v>
      </c>
      <c r="C176" s="62">
        <v>60</v>
      </c>
      <c r="D176" s="62">
        <v>53</v>
      </c>
      <c r="E176" s="62">
        <v>89</v>
      </c>
      <c r="F176" s="62">
        <v>107</v>
      </c>
      <c r="G176" s="62">
        <v>87</v>
      </c>
      <c r="H176" s="62">
        <v>203</v>
      </c>
      <c r="I176" s="62">
        <v>509</v>
      </c>
      <c r="J176" s="62">
        <v>334</v>
      </c>
      <c r="K176" s="62">
        <v>0</v>
      </c>
      <c r="L176" s="68">
        <v>1442</v>
      </c>
    </row>
    <row r="177" spans="1:12" customFormat="1" ht="17.25" customHeight="1" x14ac:dyDescent="0.3">
      <c r="A177" s="60" t="s">
        <v>440</v>
      </c>
      <c r="B177" s="61" t="s">
        <v>441</v>
      </c>
      <c r="C177" s="62">
        <v>98</v>
      </c>
      <c r="D177" s="62">
        <v>85</v>
      </c>
      <c r="E177" s="62">
        <v>132</v>
      </c>
      <c r="F177" s="62">
        <v>131</v>
      </c>
      <c r="G177" s="62">
        <v>151</v>
      </c>
      <c r="H177" s="62">
        <v>312</v>
      </c>
      <c r="I177" s="62">
        <v>571</v>
      </c>
      <c r="J177" s="62">
        <v>348</v>
      </c>
      <c r="K177" s="62">
        <v>0</v>
      </c>
      <c r="L177" s="68">
        <v>1828</v>
      </c>
    </row>
    <row r="178" spans="1:12" customFormat="1" ht="17.25" customHeight="1" x14ac:dyDescent="0.3">
      <c r="A178" s="60" t="s">
        <v>442</v>
      </c>
      <c r="B178" s="56" t="s">
        <v>443</v>
      </c>
      <c r="C178" s="55">
        <v>354</v>
      </c>
      <c r="D178" s="55">
        <v>350</v>
      </c>
      <c r="E178" s="55">
        <v>415</v>
      </c>
      <c r="F178" s="55">
        <v>513</v>
      </c>
      <c r="G178" s="55">
        <v>741</v>
      </c>
      <c r="H178" s="55">
        <v>1327</v>
      </c>
      <c r="I178" s="55">
        <v>3229</v>
      </c>
      <c r="J178" s="55">
        <v>1926</v>
      </c>
      <c r="K178" s="55">
        <v>0</v>
      </c>
      <c r="L178" s="71">
        <v>8855</v>
      </c>
    </row>
    <row r="179" spans="1:12" customFormat="1" ht="17.25" customHeight="1" x14ac:dyDescent="0.3">
      <c r="A179" s="60" t="s">
        <v>444</v>
      </c>
      <c r="B179" s="61" t="s">
        <v>445</v>
      </c>
      <c r="C179" s="62">
        <v>35</v>
      </c>
      <c r="D179" s="62">
        <v>27</v>
      </c>
      <c r="E179" s="62">
        <v>43</v>
      </c>
      <c r="F179" s="62">
        <v>51</v>
      </c>
      <c r="G179" s="62">
        <v>62</v>
      </c>
      <c r="H179" s="62">
        <v>126</v>
      </c>
      <c r="I179" s="62">
        <v>285</v>
      </c>
      <c r="J179" s="62">
        <v>167</v>
      </c>
      <c r="K179" s="62">
        <v>0</v>
      </c>
      <c r="L179" s="68">
        <v>796</v>
      </c>
    </row>
    <row r="180" spans="1:12" customFormat="1" ht="17.25" customHeight="1" x14ac:dyDescent="0.3">
      <c r="A180" s="60" t="s">
        <v>446</v>
      </c>
      <c r="B180" s="61" t="s">
        <v>447</v>
      </c>
      <c r="C180" s="62">
        <v>46</v>
      </c>
      <c r="D180" s="62">
        <v>34</v>
      </c>
      <c r="E180" s="62">
        <v>41</v>
      </c>
      <c r="F180" s="62">
        <v>40</v>
      </c>
      <c r="G180" s="62">
        <v>61</v>
      </c>
      <c r="H180" s="62">
        <v>132</v>
      </c>
      <c r="I180" s="62">
        <v>325</v>
      </c>
      <c r="J180" s="62">
        <v>191</v>
      </c>
      <c r="K180" s="62">
        <v>0</v>
      </c>
      <c r="L180" s="68">
        <v>870</v>
      </c>
    </row>
    <row r="181" spans="1:12" customFormat="1" ht="17.25" customHeight="1" x14ac:dyDescent="0.3">
      <c r="A181" s="60" t="s">
        <v>448</v>
      </c>
      <c r="B181" s="61" t="s">
        <v>449</v>
      </c>
      <c r="C181" s="62">
        <v>32</v>
      </c>
      <c r="D181" s="62">
        <v>24</v>
      </c>
      <c r="E181" s="62">
        <v>27</v>
      </c>
      <c r="F181" s="62">
        <v>39</v>
      </c>
      <c r="G181" s="62">
        <v>70</v>
      </c>
      <c r="H181" s="62">
        <v>100</v>
      </c>
      <c r="I181" s="62">
        <v>202</v>
      </c>
      <c r="J181" s="62">
        <v>123</v>
      </c>
      <c r="K181" s="62">
        <v>0</v>
      </c>
      <c r="L181" s="68">
        <v>617</v>
      </c>
    </row>
    <row r="182" spans="1:12" customFormat="1" ht="17.25" customHeight="1" x14ac:dyDescent="0.3">
      <c r="A182" s="60" t="s">
        <v>450</v>
      </c>
      <c r="B182" s="61" t="s">
        <v>451</v>
      </c>
      <c r="C182" s="62">
        <v>23</v>
      </c>
      <c r="D182" s="62">
        <v>19</v>
      </c>
      <c r="E182" s="62">
        <v>18</v>
      </c>
      <c r="F182" s="62">
        <v>15</v>
      </c>
      <c r="G182" s="62">
        <v>33</v>
      </c>
      <c r="H182" s="62">
        <v>48</v>
      </c>
      <c r="I182" s="62">
        <v>156</v>
      </c>
      <c r="J182" s="62">
        <v>92</v>
      </c>
      <c r="K182" s="62">
        <v>0</v>
      </c>
      <c r="L182" s="68">
        <v>404</v>
      </c>
    </row>
    <row r="183" spans="1:12" customFormat="1" ht="17.25" customHeight="1" x14ac:dyDescent="0.3">
      <c r="A183" s="60" t="s">
        <v>452</v>
      </c>
      <c r="B183" s="61" t="s">
        <v>453</v>
      </c>
      <c r="C183" s="62">
        <v>42</v>
      </c>
      <c r="D183" s="62">
        <v>55</v>
      </c>
      <c r="E183" s="62">
        <v>57</v>
      </c>
      <c r="F183" s="62">
        <v>73</v>
      </c>
      <c r="G183" s="62">
        <v>92</v>
      </c>
      <c r="H183" s="62">
        <v>184</v>
      </c>
      <c r="I183" s="62">
        <v>486</v>
      </c>
      <c r="J183" s="62">
        <v>310</v>
      </c>
      <c r="K183" s="62">
        <v>0</v>
      </c>
      <c r="L183" s="68">
        <v>1299</v>
      </c>
    </row>
    <row r="184" spans="1:12" customFormat="1" ht="17.25" customHeight="1" x14ac:dyDescent="0.3">
      <c r="A184" s="60" t="s">
        <v>454</v>
      </c>
      <c r="B184" s="61" t="s">
        <v>455</v>
      </c>
      <c r="C184" s="62">
        <v>33</v>
      </c>
      <c r="D184" s="62">
        <v>48</v>
      </c>
      <c r="E184" s="62">
        <v>53</v>
      </c>
      <c r="F184" s="62">
        <v>50</v>
      </c>
      <c r="G184" s="62">
        <v>77</v>
      </c>
      <c r="H184" s="62">
        <v>127</v>
      </c>
      <c r="I184" s="62">
        <v>363</v>
      </c>
      <c r="J184" s="62">
        <v>237</v>
      </c>
      <c r="K184" s="62">
        <v>0</v>
      </c>
      <c r="L184" s="68">
        <v>988</v>
      </c>
    </row>
    <row r="185" spans="1:12" customFormat="1" ht="17.25" customHeight="1" x14ac:dyDescent="0.3">
      <c r="A185" s="60" t="s">
        <v>456</v>
      </c>
      <c r="B185" s="61" t="s">
        <v>457</v>
      </c>
      <c r="C185" s="62">
        <v>35</v>
      </c>
      <c r="D185" s="62">
        <v>45</v>
      </c>
      <c r="E185" s="62">
        <v>42</v>
      </c>
      <c r="F185" s="62">
        <v>78</v>
      </c>
      <c r="G185" s="62">
        <v>134</v>
      </c>
      <c r="H185" s="62">
        <v>202</v>
      </c>
      <c r="I185" s="62">
        <v>375</v>
      </c>
      <c r="J185" s="62">
        <v>197</v>
      </c>
      <c r="K185" s="62">
        <v>0</v>
      </c>
      <c r="L185" s="68">
        <v>1108</v>
      </c>
    </row>
    <row r="186" spans="1:12" customFormat="1" ht="17.25" customHeight="1" x14ac:dyDescent="0.3">
      <c r="A186" s="60" t="s">
        <v>458</v>
      </c>
      <c r="B186" s="61" t="s">
        <v>459</v>
      </c>
      <c r="C186" s="62">
        <v>5</v>
      </c>
      <c r="D186" s="62">
        <v>8</v>
      </c>
      <c r="E186" s="62">
        <v>11</v>
      </c>
      <c r="F186" s="62">
        <v>21</v>
      </c>
      <c r="G186" s="62">
        <v>26</v>
      </c>
      <c r="H186" s="62">
        <v>28</v>
      </c>
      <c r="I186" s="62">
        <v>92</v>
      </c>
      <c r="J186" s="62">
        <v>73</v>
      </c>
      <c r="K186" s="62">
        <v>0</v>
      </c>
      <c r="L186" s="68">
        <v>264</v>
      </c>
    </row>
    <row r="187" spans="1:12" customFormat="1" ht="17.25" customHeight="1" x14ac:dyDescent="0.3">
      <c r="A187" s="60" t="s">
        <v>460</v>
      </c>
      <c r="B187" s="61" t="s">
        <v>461</v>
      </c>
      <c r="C187" s="62">
        <v>20</v>
      </c>
      <c r="D187" s="62">
        <v>18</v>
      </c>
      <c r="E187" s="62">
        <v>19</v>
      </c>
      <c r="F187" s="62">
        <v>16</v>
      </c>
      <c r="G187" s="62">
        <v>29</v>
      </c>
      <c r="H187" s="62">
        <v>69</v>
      </c>
      <c r="I187" s="62">
        <v>190</v>
      </c>
      <c r="J187" s="62">
        <v>99</v>
      </c>
      <c r="K187" s="62">
        <v>0</v>
      </c>
      <c r="L187" s="68">
        <v>460</v>
      </c>
    </row>
    <row r="188" spans="1:12" customFormat="1" ht="17.25" customHeight="1" x14ac:dyDescent="0.3">
      <c r="A188" s="60" t="s">
        <v>462</v>
      </c>
      <c r="B188" s="61" t="s">
        <v>463</v>
      </c>
      <c r="C188" s="62">
        <v>21</v>
      </c>
      <c r="D188" s="62">
        <v>16</v>
      </c>
      <c r="E188" s="62">
        <v>21</v>
      </c>
      <c r="F188" s="62">
        <v>32</v>
      </c>
      <c r="G188" s="62">
        <v>39</v>
      </c>
      <c r="H188" s="62">
        <v>86</v>
      </c>
      <c r="I188" s="62">
        <v>206</v>
      </c>
      <c r="J188" s="62">
        <v>112</v>
      </c>
      <c r="K188" s="62">
        <v>0</v>
      </c>
      <c r="L188" s="68">
        <v>533</v>
      </c>
    </row>
    <row r="189" spans="1:12" customFormat="1" ht="17.25" customHeight="1" x14ac:dyDescent="0.3">
      <c r="A189" s="60" t="s">
        <v>464</v>
      </c>
      <c r="B189" s="61" t="s">
        <v>465</v>
      </c>
      <c r="C189" s="62">
        <v>22</v>
      </c>
      <c r="D189" s="62">
        <v>24</v>
      </c>
      <c r="E189" s="62">
        <v>36</v>
      </c>
      <c r="F189" s="62">
        <v>28</v>
      </c>
      <c r="G189" s="62">
        <v>33</v>
      </c>
      <c r="H189" s="62">
        <v>78</v>
      </c>
      <c r="I189" s="62">
        <v>222</v>
      </c>
      <c r="J189" s="62">
        <v>112</v>
      </c>
      <c r="K189" s="62">
        <v>0</v>
      </c>
      <c r="L189" s="68">
        <v>555</v>
      </c>
    </row>
    <row r="190" spans="1:12" customFormat="1" ht="17.25" customHeight="1" x14ac:dyDescent="0.3">
      <c r="A190" s="60" t="s">
        <v>466</v>
      </c>
      <c r="B190" s="61" t="s">
        <v>467</v>
      </c>
      <c r="C190" s="62">
        <v>40</v>
      </c>
      <c r="D190" s="62">
        <v>32</v>
      </c>
      <c r="E190" s="62">
        <v>47</v>
      </c>
      <c r="F190" s="62">
        <v>70</v>
      </c>
      <c r="G190" s="62">
        <v>85</v>
      </c>
      <c r="H190" s="62">
        <v>147</v>
      </c>
      <c r="I190" s="62">
        <v>327</v>
      </c>
      <c r="J190" s="62">
        <v>213</v>
      </c>
      <c r="K190" s="62">
        <v>0</v>
      </c>
      <c r="L190" s="68">
        <v>961</v>
      </c>
    </row>
    <row r="191" spans="1:12" customFormat="1" ht="17.25" customHeight="1" x14ac:dyDescent="0.3">
      <c r="A191" s="60" t="s">
        <v>468</v>
      </c>
      <c r="B191" s="56" t="s">
        <v>469</v>
      </c>
      <c r="C191" s="55">
        <v>446</v>
      </c>
      <c r="D191" s="55">
        <v>417</v>
      </c>
      <c r="E191" s="55">
        <v>496</v>
      </c>
      <c r="F191" s="55">
        <v>648</v>
      </c>
      <c r="G191" s="55">
        <v>836</v>
      </c>
      <c r="H191" s="55">
        <v>1599</v>
      </c>
      <c r="I191" s="55">
        <v>3267</v>
      </c>
      <c r="J191" s="55">
        <v>1985</v>
      </c>
      <c r="K191" s="55">
        <v>0</v>
      </c>
      <c r="L191" s="71">
        <v>9694</v>
      </c>
    </row>
    <row r="192" spans="1:12" customFormat="1" ht="17.25" customHeight="1" x14ac:dyDescent="0.3">
      <c r="A192" s="60" t="s">
        <v>470</v>
      </c>
      <c r="B192" s="61" t="s">
        <v>471</v>
      </c>
      <c r="C192" s="62">
        <v>19</v>
      </c>
      <c r="D192" s="62">
        <v>6</v>
      </c>
      <c r="E192" s="62">
        <v>12</v>
      </c>
      <c r="F192" s="62">
        <v>43</v>
      </c>
      <c r="G192" s="62">
        <v>54</v>
      </c>
      <c r="H192" s="62">
        <v>74</v>
      </c>
      <c r="I192" s="62">
        <v>154</v>
      </c>
      <c r="J192" s="62">
        <v>98</v>
      </c>
      <c r="K192" s="62">
        <v>0</v>
      </c>
      <c r="L192" s="68">
        <v>460</v>
      </c>
    </row>
    <row r="193" spans="1:12" customFormat="1" ht="17.25" customHeight="1" x14ac:dyDescent="0.3">
      <c r="A193" s="60" t="s">
        <v>472</v>
      </c>
      <c r="B193" s="61" t="s">
        <v>473</v>
      </c>
      <c r="C193" s="62">
        <v>71</v>
      </c>
      <c r="D193" s="62">
        <v>59</v>
      </c>
      <c r="E193" s="62">
        <v>67</v>
      </c>
      <c r="F193" s="62">
        <v>85</v>
      </c>
      <c r="G193" s="62">
        <v>107</v>
      </c>
      <c r="H193" s="62">
        <v>204</v>
      </c>
      <c r="I193" s="62">
        <v>408</v>
      </c>
      <c r="J193" s="62">
        <v>275</v>
      </c>
      <c r="K193" s="62">
        <v>0</v>
      </c>
      <c r="L193" s="68">
        <v>1276</v>
      </c>
    </row>
    <row r="194" spans="1:12" customFormat="1" ht="17.25" customHeight="1" x14ac:dyDescent="0.3">
      <c r="A194" s="60" t="s">
        <v>474</v>
      </c>
      <c r="B194" s="61" t="s">
        <v>475</v>
      </c>
      <c r="C194" s="62">
        <v>64</v>
      </c>
      <c r="D194" s="62">
        <v>57</v>
      </c>
      <c r="E194" s="62">
        <v>63</v>
      </c>
      <c r="F194" s="62">
        <v>102</v>
      </c>
      <c r="G194" s="62">
        <v>118</v>
      </c>
      <c r="H194" s="62">
        <v>226</v>
      </c>
      <c r="I194" s="62">
        <v>443</v>
      </c>
      <c r="J194" s="62">
        <v>276</v>
      </c>
      <c r="K194" s="62">
        <v>0</v>
      </c>
      <c r="L194" s="68">
        <v>1349</v>
      </c>
    </row>
    <row r="195" spans="1:12" customFormat="1" ht="17.25" customHeight="1" x14ac:dyDescent="0.3">
      <c r="A195" s="60" t="s">
        <v>476</v>
      </c>
      <c r="B195" s="61" t="s">
        <v>477</v>
      </c>
      <c r="C195" s="62">
        <v>50</v>
      </c>
      <c r="D195" s="62">
        <v>59</v>
      </c>
      <c r="E195" s="62">
        <v>55</v>
      </c>
      <c r="F195" s="62">
        <v>75</v>
      </c>
      <c r="G195" s="62">
        <v>103</v>
      </c>
      <c r="H195" s="62">
        <v>223</v>
      </c>
      <c r="I195" s="62">
        <v>420</v>
      </c>
      <c r="J195" s="62">
        <v>259</v>
      </c>
      <c r="K195" s="62">
        <v>0</v>
      </c>
      <c r="L195" s="68">
        <v>1244</v>
      </c>
    </row>
    <row r="196" spans="1:12" customFormat="1" ht="17.25" customHeight="1" x14ac:dyDescent="0.3">
      <c r="A196" s="60" t="s">
        <v>478</v>
      </c>
      <c r="B196" s="61" t="s">
        <v>479</v>
      </c>
      <c r="C196" s="62">
        <v>46</v>
      </c>
      <c r="D196" s="62">
        <v>56</v>
      </c>
      <c r="E196" s="62">
        <v>57</v>
      </c>
      <c r="F196" s="62">
        <v>80</v>
      </c>
      <c r="G196" s="62">
        <v>79</v>
      </c>
      <c r="H196" s="62">
        <v>155</v>
      </c>
      <c r="I196" s="62">
        <v>402</v>
      </c>
      <c r="J196" s="62">
        <v>234</v>
      </c>
      <c r="K196" s="62">
        <v>0</v>
      </c>
      <c r="L196" s="68">
        <v>1109</v>
      </c>
    </row>
    <row r="197" spans="1:12" customFormat="1" ht="17.25" customHeight="1" x14ac:dyDescent="0.3">
      <c r="A197" s="60" t="s">
        <v>480</v>
      </c>
      <c r="B197" s="61" t="s">
        <v>481</v>
      </c>
      <c r="C197" s="62">
        <v>83</v>
      </c>
      <c r="D197" s="62">
        <v>76</v>
      </c>
      <c r="E197" s="62">
        <v>94</v>
      </c>
      <c r="F197" s="62">
        <v>107</v>
      </c>
      <c r="G197" s="62">
        <v>138</v>
      </c>
      <c r="H197" s="62">
        <v>306</v>
      </c>
      <c r="I197" s="62">
        <v>585</v>
      </c>
      <c r="J197" s="62">
        <v>357</v>
      </c>
      <c r="K197" s="62">
        <v>0</v>
      </c>
      <c r="L197" s="68">
        <v>1746</v>
      </c>
    </row>
    <row r="198" spans="1:12" customFormat="1" ht="17.25" customHeight="1" x14ac:dyDescent="0.3">
      <c r="A198" s="60" t="s">
        <v>482</v>
      </c>
      <c r="B198" s="61" t="s">
        <v>483</v>
      </c>
      <c r="C198" s="62">
        <v>15</v>
      </c>
      <c r="D198" s="62">
        <v>10</v>
      </c>
      <c r="E198" s="62">
        <v>20</v>
      </c>
      <c r="F198" s="62">
        <v>14</v>
      </c>
      <c r="G198" s="62">
        <v>24</v>
      </c>
      <c r="H198" s="62">
        <v>59</v>
      </c>
      <c r="I198" s="62">
        <v>117</v>
      </c>
      <c r="J198" s="62">
        <v>53</v>
      </c>
      <c r="K198" s="62">
        <v>0</v>
      </c>
      <c r="L198" s="68">
        <v>312</v>
      </c>
    </row>
    <row r="199" spans="1:12" customFormat="1" ht="17.25" customHeight="1" x14ac:dyDescent="0.3">
      <c r="A199" s="60" t="s">
        <v>484</v>
      </c>
      <c r="B199" s="61" t="s">
        <v>485</v>
      </c>
      <c r="C199" s="62">
        <v>44</v>
      </c>
      <c r="D199" s="62">
        <v>43</v>
      </c>
      <c r="E199" s="62">
        <v>58</v>
      </c>
      <c r="F199" s="62">
        <v>64</v>
      </c>
      <c r="G199" s="62">
        <v>99</v>
      </c>
      <c r="H199" s="62">
        <v>153</v>
      </c>
      <c r="I199" s="62">
        <v>319</v>
      </c>
      <c r="J199" s="62">
        <v>212</v>
      </c>
      <c r="K199" s="62">
        <v>0</v>
      </c>
      <c r="L199" s="68">
        <v>992</v>
      </c>
    </row>
    <row r="200" spans="1:12" customFormat="1" ht="17.25" customHeight="1" x14ac:dyDescent="0.3">
      <c r="A200" s="60" t="s">
        <v>486</v>
      </c>
      <c r="B200" s="61" t="s">
        <v>487</v>
      </c>
      <c r="C200" s="62">
        <v>18</v>
      </c>
      <c r="D200" s="62">
        <v>21</v>
      </c>
      <c r="E200" s="62">
        <v>25</v>
      </c>
      <c r="F200" s="62">
        <v>28</v>
      </c>
      <c r="G200" s="62">
        <v>31</v>
      </c>
      <c r="H200" s="62">
        <v>62</v>
      </c>
      <c r="I200" s="62">
        <v>135</v>
      </c>
      <c r="J200" s="62">
        <v>85</v>
      </c>
      <c r="K200" s="62">
        <v>0</v>
      </c>
      <c r="L200" s="68">
        <v>405</v>
      </c>
    </row>
    <row r="201" spans="1:12" customFormat="1" ht="17.25" customHeight="1" x14ac:dyDescent="0.3">
      <c r="A201" s="60" t="s">
        <v>488</v>
      </c>
      <c r="B201" s="61" t="s">
        <v>489</v>
      </c>
      <c r="C201" s="62">
        <v>36</v>
      </c>
      <c r="D201" s="62">
        <v>30</v>
      </c>
      <c r="E201" s="62">
        <v>45</v>
      </c>
      <c r="F201" s="62">
        <v>50</v>
      </c>
      <c r="G201" s="62">
        <v>83</v>
      </c>
      <c r="H201" s="62">
        <v>137</v>
      </c>
      <c r="I201" s="62">
        <v>284</v>
      </c>
      <c r="J201" s="62">
        <v>136</v>
      </c>
      <c r="K201" s="62">
        <v>0</v>
      </c>
      <c r="L201" s="68">
        <v>801</v>
      </c>
    </row>
    <row r="202" spans="1:12" customFormat="1" ht="17.25" customHeight="1" x14ac:dyDescent="0.3">
      <c r="A202" s="60" t="s">
        <v>490</v>
      </c>
      <c r="B202" s="56" t="s">
        <v>491</v>
      </c>
      <c r="C202" s="55">
        <v>217</v>
      </c>
      <c r="D202" s="55">
        <v>154</v>
      </c>
      <c r="E202" s="55">
        <v>223</v>
      </c>
      <c r="F202" s="55">
        <v>287</v>
      </c>
      <c r="G202" s="55">
        <v>256</v>
      </c>
      <c r="H202" s="55">
        <v>669</v>
      </c>
      <c r="I202" s="55">
        <v>1530</v>
      </c>
      <c r="J202" s="55">
        <v>918</v>
      </c>
      <c r="K202" s="55">
        <v>1</v>
      </c>
      <c r="L202" s="71">
        <v>4255</v>
      </c>
    </row>
    <row r="203" spans="1:12" customFormat="1" ht="17.25" customHeight="1" x14ac:dyDescent="0.3">
      <c r="A203" s="60" t="s">
        <v>492</v>
      </c>
      <c r="B203" s="61" t="s">
        <v>493</v>
      </c>
      <c r="C203" s="62">
        <v>23</v>
      </c>
      <c r="D203" s="62">
        <v>25</v>
      </c>
      <c r="E203" s="62">
        <v>31</v>
      </c>
      <c r="F203" s="62">
        <v>53</v>
      </c>
      <c r="G203" s="62">
        <v>28</v>
      </c>
      <c r="H203" s="62">
        <v>100</v>
      </c>
      <c r="I203" s="62">
        <v>228</v>
      </c>
      <c r="J203" s="62">
        <v>137</v>
      </c>
      <c r="K203" s="62">
        <v>0</v>
      </c>
      <c r="L203" s="68">
        <v>625</v>
      </c>
    </row>
    <row r="204" spans="1:12" customFormat="1" ht="17.25" customHeight="1" x14ac:dyDescent="0.3">
      <c r="A204" s="60" t="s">
        <v>494</v>
      </c>
      <c r="B204" s="61" t="s">
        <v>495</v>
      </c>
      <c r="C204" s="62">
        <v>46</v>
      </c>
      <c r="D204" s="62">
        <v>26</v>
      </c>
      <c r="E204" s="62">
        <v>47</v>
      </c>
      <c r="F204" s="62">
        <v>46</v>
      </c>
      <c r="G204" s="62">
        <v>47</v>
      </c>
      <c r="H204" s="62">
        <v>138</v>
      </c>
      <c r="I204" s="62">
        <v>293</v>
      </c>
      <c r="J204" s="62">
        <v>174</v>
      </c>
      <c r="K204" s="62">
        <v>0</v>
      </c>
      <c r="L204" s="68">
        <v>817</v>
      </c>
    </row>
    <row r="205" spans="1:12" customFormat="1" ht="17.25" customHeight="1" x14ac:dyDescent="0.3">
      <c r="A205" s="60" t="s">
        <v>496</v>
      </c>
      <c r="B205" s="61" t="s">
        <v>497</v>
      </c>
      <c r="C205" s="62">
        <v>16</v>
      </c>
      <c r="D205" s="62">
        <v>7</v>
      </c>
      <c r="E205" s="62">
        <v>15</v>
      </c>
      <c r="F205" s="62">
        <v>15</v>
      </c>
      <c r="G205" s="62">
        <v>11</v>
      </c>
      <c r="H205" s="62">
        <v>35</v>
      </c>
      <c r="I205" s="62">
        <v>93</v>
      </c>
      <c r="J205" s="62">
        <v>61</v>
      </c>
      <c r="K205" s="62">
        <v>0</v>
      </c>
      <c r="L205" s="68">
        <v>253</v>
      </c>
    </row>
    <row r="206" spans="1:12" customFormat="1" ht="17.25" customHeight="1" x14ac:dyDescent="0.3">
      <c r="A206" s="60" t="s">
        <v>498</v>
      </c>
      <c r="B206" s="61" t="s">
        <v>499</v>
      </c>
      <c r="C206" s="62">
        <v>33</v>
      </c>
      <c r="D206" s="62">
        <v>18</v>
      </c>
      <c r="E206" s="62">
        <v>34</v>
      </c>
      <c r="F206" s="62">
        <v>46</v>
      </c>
      <c r="G206" s="62">
        <v>42</v>
      </c>
      <c r="H206" s="62">
        <v>78</v>
      </c>
      <c r="I206" s="62">
        <v>211</v>
      </c>
      <c r="J206" s="62">
        <v>114</v>
      </c>
      <c r="K206" s="62">
        <v>0</v>
      </c>
      <c r="L206" s="68">
        <v>576</v>
      </c>
    </row>
    <row r="207" spans="1:12" customFormat="1" ht="17.25" customHeight="1" x14ac:dyDescent="0.3">
      <c r="A207" s="60" t="s">
        <v>500</v>
      </c>
      <c r="B207" s="61" t="s">
        <v>501</v>
      </c>
      <c r="C207" s="62">
        <v>37</v>
      </c>
      <c r="D207" s="62">
        <v>29</v>
      </c>
      <c r="E207" s="62">
        <v>30</v>
      </c>
      <c r="F207" s="62">
        <v>34</v>
      </c>
      <c r="G207" s="62">
        <v>35</v>
      </c>
      <c r="H207" s="62">
        <v>87</v>
      </c>
      <c r="I207" s="62">
        <v>185</v>
      </c>
      <c r="J207" s="62">
        <v>106</v>
      </c>
      <c r="K207" s="62">
        <v>1</v>
      </c>
      <c r="L207" s="68">
        <v>544</v>
      </c>
    </row>
    <row r="208" spans="1:12" customFormat="1" ht="17.25" customHeight="1" x14ac:dyDescent="0.3">
      <c r="A208" s="60" t="s">
        <v>502</v>
      </c>
      <c r="B208" s="61" t="s">
        <v>503</v>
      </c>
      <c r="C208" s="62">
        <v>7</v>
      </c>
      <c r="D208" s="62">
        <v>7</v>
      </c>
      <c r="E208" s="62">
        <v>13</v>
      </c>
      <c r="F208" s="62">
        <v>15</v>
      </c>
      <c r="G208" s="62">
        <v>18</v>
      </c>
      <c r="H208" s="62">
        <v>47</v>
      </c>
      <c r="I208" s="62">
        <v>108</v>
      </c>
      <c r="J208" s="62">
        <v>60</v>
      </c>
      <c r="K208" s="62">
        <v>0</v>
      </c>
      <c r="L208" s="68">
        <v>275</v>
      </c>
    </row>
    <row r="209" spans="1:12" customFormat="1" ht="17.25" customHeight="1" x14ac:dyDescent="0.3">
      <c r="A209" s="60" t="s">
        <v>504</v>
      </c>
      <c r="B209" s="61" t="s">
        <v>505</v>
      </c>
      <c r="C209" s="62">
        <v>55</v>
      </c>
      <c r="D209" s="62">
        <v>42</v>
      </c>
      <c r="E209" s="62">
        <v>53</v>
      </c>
      <c r="F209" s="62">
        <v>78</v>
      </c>
      <c r="G209" s="62">
        <v>75</v>
      </c>
      <c r="H209" s="62">
        <v>184</v>
      </c>
      <c r="I209" s="62">
        <v>412</v>
      </c>
      <c r="J209" s="62">
        <v>266</v>
      </c>
      <c r="K209" s="62">
        <v>0</v>
      </c>
      <c r="L209" s="68">
        <v>1165</v>
      </c>
    </row>
    <row r="210" spans="1:12" customFormat="1" ht="17.25" customHeight="1" x14ac:dyDescent="0.3">
      <c r="A210" s="60" t="s">
        <v>506</v>
      </c>
      <c r="B210" s="56" t="s">
        <v>507</v>
      </c>
      <c r="C210" s="55">
        <v>201</v>
      </c>
      <c r="D210" s="55">
        <v>149</v>
      </c>
      <c r="E210" s="55">
        <v>202</v>
      </c>
      <c r="F210" s="55">
        <v>243</v>
      </c>
      <c r="G210" s="55">
        <v>275</v>
      </c>
      <c r="H210" s="55">
        <v>602</v>
      </c>
      <c r="I210" s="55">
        <v>1372</v>
      </c>
      <c r="J210" s="55">
        <v>778</v>
      </c>
      <c r="K210" s="55">
        <v>0</v>
      </c>
      <c r="L210" s="71">
        <v>3822</v>
      </c>
    </row>
    <row r="211" spans="1:12" customFormat="1" ht="17.25" customHeight="1" x14ac:dyDescent="0.3">
      <c r="A211" s="60" t="s">
        <v>508</v>
      </c>
      <c r="B211" s="61" t="s">
        <v>509</v>
      </c>
      <c r="C211" s="62">
        <v>30</v>
      </c>
      <c r="D211" s="62">
        <v>26</v>
      </c>
      <c r="E211" s="62">
        <v>29</v>
      </c>
      <c r="F211" s="62">
        <v>36</v>
      </c>
      <c r="G211" s="62">
        <v>35</v>
      </c>
      <c r="H211" s="62">
        <v>81</v>
      </c>
      <c r="I211" s="62">
        <v>208</v>
      </c>
      <c r="J211" s="62">
        <v>106</v>
      </c>
      <c r="K211" s="62">
        <v>0</v>
      </c>
      <c r="L211" s="68">
        <v>551</v>
      </c>
    </row>
    <row r="212" spans="1:12" customFormat="1" ht="17.25" customHeight="1" x14ac:dyDescent="0.3">
      <c r="A212" s="60" t="s">
        <v>510</v>
      </c>
      <c r="B212" s="61" t="s">
        <v>511</v>
      </c>
      <c r="C212" s="62">
        <v>80</v>
      </c>
      <c r="D212" s="62">
        <v>47</v>
      </c>
      <c r="E212" s="62">
        <v>68</v>
      </c>
      <c r="F212" s="62">
        <v>90</v>
      </c>
      <c r="G212" s="62">
        <v>104</v>
      </c>
      <c r="H212" s="62">
        <v>203</v>
      </c>
      <c r="I212" s="62">
        <v>428</v>
      </c>
      <c r="J212" s="62">
        <v>235</v>
      </c>
      <c r="K212" s="62">
        <v>0</v>
      </c>
      <c r="L212" s="68">
        <v>1255</v>
      </c>
    </row>
    <row r="213" spans="1:12" customFormat="1" ht="17.25" customHeight="1" x14ac:dyDescent="0.3">
      <c r="A213" s="60" t="s">
        <v>512</v>
      </c>
      <c r="B213" s="61" t="s">
        <v>513</v>
      </c>
      <c r="C213" s="62">
        <v>19</v>
      </c>
      <c r="D213" s="62">
        <v>18</v>
      </c>
      <c r="E213" s="62">
        <v>26</v>
      </c>
      <c r="F213" s="62">
        <v>21</v>
      </c>
      <c r="G213" s="62">
        <v>25</v>
      </c>
      <c r="H213" s="62">
        <v>53</v>
      </c>
      <c r="I213" s="62">
        <v>139</v>
      </c>
      <c r="J213" s="62">
        <v>77</v>
      </c>
      <c r="K213" s="62">
        <v>0</v>
      </c>
      <c r="L213" s="68">
        <v>378</v>
      </c>
    </row>
    <row r="214" spans="1:12" customFormat="1" ht="17.25" customHeight="1" x14ac:dyDescent="0.3">
      <c r="A214" s="60" t="s">
        <v>514</v>
      </c>
      <c r="B214" s="61" t="s">
        <v>515</v>
      </c>
      <c r="C214" s="62">
        <v>32</v>
      </c>
      <c r="D214" s="62">
        <v>29</v>
      </c>
      <c r="E214" s="62">
        <v>34</v>
      </c>
      <c r="F214" s="62">
        <v>31</v>
      </c>
      <c r="G214" s="62">
        <v>45</v>
      </c>
      <c r="H214" s="62">
        <v>106</v>
      </c>
      <c r="I214" s="62">
        <v>274</v>
      </c>
      <c r="J214" s="62">
        <v>165</v>
      </c>
      <c r="K214" s="62">
        <v>0</v>
      </c>
      <c r="L214" s="68">
        <v>716</v>
      </c>
    </row>
    <row r="215" spans="1:12" customFormat="1" ht="17.25" customHeight="1" x14ac:dyDescent="0.3">
      <c r="A215" s="119" t="s">
        <v>516</v>
      </c>
      <c r="B215" s="64" t="s">
        <v>517</v>
      </c>
      <c r="C215" s="65">
        <v>40</v>
      </c>
      <c r="D215" s="65">
        <v>29</v>
      </c>
      <c r="E215" s="65">
        <v>45</v>
      </c>
      <c r="F215" s="65">
        <v>65</v>
      </c>
      <c r="G215" s="65">
        <v>66</v>
      </c>
      <c r="H215" s="65">
        <v>159</v>
      </c>
      <c r="I215" s="65">
        <v>323</v>
      </c>
      <c r="J215" s="65">
        <v>195</v>
      </c>
      <c r="K215" s="65">
        <v>0</v>
      </c>
      <c r="L215" s="67">
        <v>922</v>
      </c>
    </row>
    <row r="216" spans="1:12" customFormat="1" ht="17.25" customHeight="1" x14ac:dyDescent="0.3">
      <c r="A216" s="54" t="s">
        <v>518</v>
      </c>
      <c r="B216" s="56" t="s">
        <v>519</v>
      </c>
      <c r="C216" s="55">
        <v>1182</v>
      </c>
      <c r="D216" s="55">
        <v>1120</v>
      </c>
      <c r="E216" s="55">
        <v>1414</v>
      </c>
      <c r="F216" s="55">
        <v>2018</v>
      </c>
      <c r="G216" s="55">
        <v>2902</v>
      </c>
      <c r="H216" s="55">
        <v>4169</v>
      </c>
      <c r="I216" s="55">
        <v>8245</v>
      </c>
      <c r="J216" s="55">
        <v>4813</v>
      </c>
      <c r="K216" s="55">
        <v>2</v>
      </c>
      <c r="L216" s="71">
        <v>25865</v>
      </c>
    </row>
    <row r="217" spans="1:12" customFormat="1" ht="17.25" customHeight="1" x14ac:dyDescent="0.3">
      <c r="A217" s="60" t="s">
        <v>520</v>
      </c>
      <c r="B217" s="66" t="s">
        <v>521</v>
      </c>
      <c r="C217" s="55">
        <v>235</v>
      </c>
      <c r="D217" s="55">
        <v>229</v>
      </c>
      <c r="E217" s="55">
        <v>256</v>
      </c>
      <c r="F217" s="55">
        <v>324</v>
      </c>
      <c r="G217" s="55">
        <v>448</v>
      </c>
      <c r="H217" s="55">
        <v>654</v>
      </c>
      <c r="I217" s="55">
        <v>1112</v>
      </c>
      <c r="J217" s="55">
        <v>518</v>
      </c>
      <c r="K217" s="55">
        <v>0</v>
      </c>
      <c r="L217" s="71">
        <v>3776</v>
      </c>
    </row>
    <row r="218" spans="1:12" customFormat="1" ht="17.25" customHeight="1" x14ac:dyDescent="0.3">
      <c r="A218" s="60" t="s">
        <v>522</v>
      </c>
      <c r="B218" s="61" t="s">
        <v>523</v>
      </c>
      <c r="C218" s="62">
        <v>47</v>
      </c>
      <c r="D218" s="62">
        <v>38</v>
      </c>
      <c r="E218" s="62">
        <v>33</v>
      </c>
      <c r="F218" s="62">
        <v>35</v>
      </c>
      <c r="G218" s="62">
        <v>54</v>
      </c>
      <c r="H218" s="62">
        <v>89</v>
      </c>
      <c r="I218" s="62">
        <v>117</v>
      </c>
      <c r="J218" s="62">
        <v>62</v>
      </c>
      <c r="K218" s="62">
        <v>0</v>
      </c>
      <c r="L218" s="68">
        <v>475</v>
      </c>
    </row>
    <row r="219" spans="1:12" customFormat="1" ht="17.25" customHeight="1" x14ac:dyDescent="0.3">
      <c r="A219" s="60" t="s">
        <v>524</v>
      </c>
      <c r="B219" s="61" t="s">
        <v>525</v>
      </c>
      <c r="C219" s="62">
        <v>0</v>
      </c>
      <c r="D219" s="62">
        <v>0</v>
      </c>
      <c r="E219" s="62">
        <v>0</v>
      </c>
      <c r="F219" s="62">
        <v>0</v>
      </c>
      <c r="G219" s="62">
        <v>0</v>
      </c>
      <c r="H219" s="62">
        <v>0</v>
      </c>
      <c r="I219" s="62">
        <v>0</v>
      </c>
      <c r="J219" s="62">
        <v>0</v>
      </c>
      <c r="K219" s="62">
        <v>0</v>
      </c>
      <c r="L219" s="68">
        <v>0</v>
      </c>
    </row>
    <row r="220" spans="1:12" customFormat="1" ht="17.25" customHeight="1" x14ac:dyDescent="0.3">
      <c r="A220" s="60" t="s">
        <v>526</v>
      </c>
      <c r="B220" s="61" t="s">
        <v>527</v>
      </c>
      <c r="C220" s="62">
        <v>3</v>
      </c>
      <c r="D220" s="62">
        <v>4</v>
      </c>
      <c r="E220" s="62">
        <v>7</v>
      </c>
      <c r="F220" s="62">
        <v>10</v>
      </c>
      <c r="G220" s="62">
        <v>8</v>
      </c>
      <c r="H220" s="62">
        <v>14</v>
      </c>
      <c r="I220" s="62">
        <v>23</v>
      </c>
      <c r="J220" s="62">
        <v>10</v>
      </c>
      <c r="K220" s="62">
        <v>0</v>
      </c>
      <c r="L220" s="68">
        <v>79</v>
      </c>
    </row>
    <row r="221" spans="1:12" customFormat="1" ht="17.25" customHeight="1" x14ac:dyDescent="0.3">
      <c r="A221" s="60" t="s">
        <v>528</v>
      </c>
      <c r="B221" s="61" t="s">
        <v>529</v>
      </c>
      <c r="C221" s="62">
        <v>8</v>
      </c>
      <c r="D221" s="62">
        <v>5</v>
      </c>
      <c r="E221" s="62">
        <v>4</v>
      </c>
      <c r="F221" s="62">
        <v>7</v>
      </c>
      <c r="G221" s="62">
        <v>17</v>
      </c>
      <c r="H221" s="62">
        <v>18</v>
      </c>
      <c r="I221" s="62">
        <v>42</v>
      </c>
      <c r="J221" s="62">
        <v>12</v>
      </c>
      <c r="K221" s="62">
        <v>0</v>
      </c>
      <c r="L221" s="68">
        <v>113</v>
      </c>
    </row>
    <row r="222" spans="1:12" customFormat="1" ht="17.25" customHeight="1" x14ac:dyDescent="0.3">
      <c r="A222" s="60" t="s">
        <v>530</v>
      </c>
      <c r="B222" s="61" t="s">
        <v>531</v>
      </c>
      <c r="C222" s="62">
        <v>23</v>
      </c>
      <c r="D222" s="62">
        <v>31</v>
      </c>
      <c r="E222" s="62">
        <v>36</v>
      </c>
      <c r="F222" s="62">
        <v>45</v>
      </c>
      <c r="G222" s="62">
        <v>53</v>
      </c>
      <c r="H222" s="62">
        <v>88</v>
      </c>
      <c r="I222" s="62">
        <v>142</v>
      </c>
      <c r="J222" s="62">
        <v>73</v>
      </c>
      <c r="K222" s="62">
        <v>0</v>
      </c>
      <c r="L222" s="68">
        <v>491</v>
      </c>
    </row>
    <row r="223" spans="1:12" customFormat="1" ht="17.25" customHeight="1" x14ac:dyDescent="0.3">
      <c r="A223" s="60" t="s">
        <v>532</v>
      </c>
      <c r="B223" s="61" t="s">
        <v>533</v>
      </c>
      <c r="C223" s="62">
        <v>12</v>
      </c>
      <c r="D223" s="62">
        <v>6</v>
      </c>
      <c r="E223" s="62">
        <v>5</v>
      </c>
      <c r="F223" s="62">
        <v>14</v>
      </c>
      <c r="G223" s="62">
        <v>12</v>
      </c>
      <c r="H223" s="62">
        <v>19</v>
      </c>
      <c r="I223" s="62">
        <v>31</v>
      </c>
      <c r="J223" s="62">
        <v>10</v>
      </c>
      <c r="K223" s="62">
        <v>0</v>
      </c>
      <c r="L223" s="68">
        <v>109</v>
      </c>
    </row>
    <row r="224" spans="1:12" customFormat="1" ht="17.25" customHeight="1" x14ac:dyDescent="0.3">
      <c r="A224" s="60" t="s">
        <v>534</v>
      </c>
      <c r="B224" s="61" t="s">
        <v>535</v>
      </c>
      <c r="C224" s="62">
        <v>30</v>
      </c>
      <c r="D224" s="62">
        <v>13</v>
      </c>
      <c r="E224" s="62">
        <v>12</v>
      </c>
      <c r="F224" s="62">
        <v>15</v>
      </c>
      <c r="G224" s="62">
        <v>16</v>
      </c>
      <c r="H224" s="62">
        <v>39</v>
      </c>
      <c r="I224" s="62">
        <v>41</v>
      </c>
      <c r="J224" s="62">
        <v>18</v>
      </c>
      <c r="K224" s="62">
        <v>0</v>
      </c>
      <c r="L224" s="68">
        <v>184</v>
      </c>
    </row>
    <row r="225" spans="1:12" customFormat="1" ht="17.25" customHeight="1" x14ac:dyDescent="0.3">
      <c r="A225" s="60" t="s">
        <v>536</v>
      </c>
      <c r="B225" s="61" t="s">
        <v>537</v>
      </c>
      <c r="C225" s="62">
        <v>14</v>
      </c>
      <c r="D225" s="62">
        <v>18</v>
      </c>
      <c r="E225" s="62">
        <v>37</v>
      </c>
      <c r="F225" s="62">
        <v>34</v>
      </c>
      <c r="G225" s="62">
        <v>56</v>
      </c>
      <c r="H225" s="62">
        <v>73</v>
      </c>
      <c r="I225" s="62">
        <v>122</v>
      </c>
      <c r="J225" s="62">
        <v>58</v>
      </c>
      <c r="K225" s="62">
        <v>0</v>
      </c>
      <c r="L225" s="68">
        <v>412</v>
      </c>
    </row>
    <row r="226" spans="1:12" customFormat="1" ht="17.25" customHeight="1" x14ac:dyDescent="0.3">
      <c r="A226" s="60" t="s">
        <v>538</v>
      </c>
      <c r="B226" s="61" t="s">
        <v>539</v>
      </c>
      <c r="C226" s="62">
        <v>15</v>
      </c>
      <c r="D226" s="62">
        <v>27</v>
      </c>
      <c r="E226" s="62">
        <v>27</v>
      </c>
      <c r="F226" s="62">
        <v>41</v>
      </c>
      <c r="G226" s="62">
        <v>56</v>
      </c>
      <c r="H226" s="62">
        <v>77</v>
      </c>
      <c r="I226" s="62">
        <v>156</v>
      </c>
      <c r="J226" s="62">
        <v>91</v>
      </c>
      <c r="K226" s="62">
        <v>0</v>
      </c>
      <c r="L226" s="68">
        <v>490</v>
      </c>
    </row>
    <row r="227" spans="1:12" customFormat="1" ht="17.25" customHeight="1" x14ac:dyDescent="0.3">
      <c r="A227" s="60" t="s">
        <v>540</v>
      </c>
      <c r="B227" s="61" t="s">
        <v>541</v>
      </c>
      <c r="C227" s="62">
        <v>4</v>
      </c>
      <c r="D227" s="62">
        <v>4</v>
      </c>
      <c r="E227" s="62">
        <v>3</v>
      </c>
      <c r="F227" s="62">
        <v>9</v>
      </c>
      <c r="G227" s="62">
        <v>17</v>
      </c>
      <c r="H227" s="62">
        <v>27</v>
      </c>
      <c r="I227" s="62">
        <v>50</v>
      </c>
      <c r="J227" s="62">
        <v>19</v>
      </c>
      <c r="K227" s="62">
        <v>0</v>
      </c>
      <c r="L227" s="68">
        <v>133</v>
      </c>
    </row>
    <row r="228" spans="1:12" customFormat="1" ht="17.25" customHeight="1" x14ac:dyDescent="0.3">
      <c r="A228" s="60" t="s">
        <v>542</v>
      </c>
      <c r="B228" s="61" t="s">
        <v>543</v>
      </c>
      <c r="C228" s="62">
        <v>15</v>
      </c>
      <c r="D228" s="62">
        <v>20</v>
      </c>
      <c r="E228" s="62">
        <v>30</v>
      </c>
      <c r="F228" s="62">
        <v>30</v>
      </c>
      <c r="G228" s="62">
        <v>48</v>
      </c>
      <c r="H228" s="62">
        <v>64</v>
      </c>
      <c r="I228" s="62">
        <v>121</v>
      </c>
      <c r="J228" s="62">
        <v>56</v>
      </c>
      <c r="K228" s="62">
        <v>0</v>
      </c>
      <c r="L228" s="68">
        <v>384</v>
      </c>
    </row>
    <row r="229" spans="1:12" customFormat="1" ht="17.25" customHeight="1" x14ac:dyDescent="0.3">
      <c r="A229" s="60" t="s">
        <v>544</v>
      </c>
      <c r="B229" s="61" t="s">
        <v>545</v>
      </c>
      <c r="C229" s="62">
        <v>4</v>
      </c>
      <c r="D229" s="62">
        <v>12</v>
      </c>
      <c r="E229" s="62">
        <v>7</v>
      </c>
      <c r="F229" s="62">
        <v>17</v>
      </c>
      <c r="G229" s="62">
        <v>17</v>
      </c>
      <c r="H229" s="62">
        <v>13</v>
      </c>
      <c r="I229" s="62">
        <v>26</v>
      </c>
      <c r="J229" s="62">
        <v>8</v>
      </c>
      <c r="K229" s="62">
        <v>0</v>
      </c>
      <c r="L229" s="68">
        <v>104</v>
      </c>
    </row>
    <row r="230" spans="1:12" customFormat="1" ht="17.25" customHeight="1" x14ac:dyDescent="0.3">
      <c r="A230" s="60" t="s">
        <v>546</v>
      </c>
      <c r="B230" s="61" t="s">
        <v>547</v>
      </c>
      <c r="C230" s="62">
        <v>24</v>
      </c>
      <c r="D230" s="62">
        <v>31</v>
      </c>
      <c r="E230" s="62">
        <v>41</v>
      </c>
      <c r="F230" s="62">
        <v>40</v>
      </c>
      <c r="G230" s="62">
        <v>64</v>
      </c>
      <c r="H230" s="62">
        <v>88</v>
      </c>
      <c r="I230" s="62">
        <v>186</v>
      </c>
      <c r="J230" s="62">
        <v>77</v>
      </c>
      <c r="K230" s="62">
        <v>0</v>
      </c>
      <c r="L230" s="68">
        <v>551</v>
      </c>
    </row>
    <row r="231" spans="1:12" customFormat="1" ht="17.25" customHeight="1" x14ac:dyDescent="0.3">
      <c r="A231" s="60" t="s">
        <v>548</v>
      </c>
      <c r="B231" s="61" t="s">
        <v>549</v>
      </c>
      <c r="C231" s="62">
        <v>36</v>
      </c>
      <c r="D231" s="62">
        <v>20</v>
      </c>
      <c r="E231" s="62">
        <v>14</v>
      </c>
      <c r="F231" s="62">
        <v>27</v>
      </c>
      <c r="G231" s="62">
        <v>30</v>
      </c>
      <c r="H231" s="62">
        <v>45</v>
      </c>
      <c r="I231" s="62">
        <v>55</v>
      </c>
      <c r="J231" s="62">
        <v>24</v>
      </c>
      <c r="K231" s="62">
        <v>0</v>
      </c>
      <c r="L231" s="68">
        <v>251</v>
      </c>
    </row>
    <row r="232" spans="1:12" customFormat="1" ht="17.25" customHeight="1" x14ac:dyDescent="0.3">
      <c r="A232" s="60" t="s">
        <v>550</v>
      </c>
      <c r="B232" s="66" t="s">
        <v>551</v>
      </c>
      <c r="C232" s="55">
        <v>947</v>
      </c>
      <c r="D232" s="55">
        <v>891</v>
      </c>
      <c r="E232" s="55">
        <v>1158</v>
      </c>
      <c r="F232" s="55">
        <v>1694</v>
      </c>
      <c r="G232" s="55">
        <v>2454</v>
      </c>
      <c r="H232" s="55">
        <v>3515</v>
      </c>
      <c r="I232" s="55">
        <v>7133</v>
      </c>
      <c r="J232" s="55">
        <v>4295</v>
      </c>
      <c r="K232" s="55">
        <v>2</v>
      </c>
      <c r="L232" s="71">
        <v>22089</v>
      </c>
    </row>
    <row r="233" spans="1:12" customFormat="1" ht="17.25" customHeight="1" x14ac:dyDescent="0.3">
      <c r="A233" s="60" t="s">
        <v>552</v>
      </c>
      <c r="B233" s="61" t="s">
        <v>553</v>
      </c>
      <c r="C233" s="62">
        <v>12</v>
      </c>
      <c r="D233" s="62">
        <v>13</v>
      </c>
      <c r="E233" s="62">
        <v>12</v>
      </c>
      <c r="F233" s="62">
        <v>28</v>
      </c>
      <c r="G233" s="62">
        <v>41</v>
      </c>
      <c r="H233" s="62">
        <v>49</v>
      </c>
      <c r="I233" s="62">
        <v>95</v>
      </c>
      <c r="J233" s="62">
        <v>58</v>
      </c>
      <c r="K233" s="62">
        <v>1</v>
      </c>
      <c r="L233" s="68">
        <v>309</v>
      </c>
    </row>
    <row r="234" spans="1:12" customFormat="1" ht="17.25" customHeight="1" x14ac:dyDescent="0.3">
      <c r="A234" s="60" t="s">
        <v>554</v>
      </c>
      <c r="B234" s="61" t="s">
        <v>555</v>
      </c>
      <c r="C234" s="62">
        <v>186</v>
      </c>
      <c r="D234" s="62">
        <v>169</v>
      </c>
      <c r="E234" s="62">
        <v>181</v>
      </c>
      <c r="F234" s="62">
        <v>244</v>
      </c>
      <c r="G234" s="62">
        <v>346</v>
      </c>
      <c r="H234" s="62">
        <v>579</v>
      </c>
      <c r="I234" s="62">
        <v>1039</v>
      </c>
      <c r="J234" s="62">
        <v>595</v>
      </c>
      <c r="K234" s="62">
        <v>0</v>
      </c>
      <c r="L234" s="68">
        <v>3339</v>
      </c>
    </row>
    <row r="235" spans="1:12" customFormat="1" ht="17.25" customHeight="1" x14ac:dyDescent="0.3">
      <c r="A235" s="60" t="s">
        <v>556</v>
      </c>
      <c r="B235" s="61" t="s">
        <v>557</v>
      </c>
      <c r="C235" s="62">
        <v>27</v>
      </c>
      <c r="D235" s="62">
        <v>34</v>
      </c>
      <c r="E235" s="62">
        <v>48</v>
      </c>
      <c r="F235" s="62">
        <v>115</v>
      </c>
      <c r="G235" s="62">
        <v>138</v>
      </c>
      <c r="H235" s="62">
        <v>168</v>
      </c>
      <c r="I235" s="62">
        <v>408</v>
      </c>
      <c r="J235" s="62">
        <v>243</v>
      </c>
      <c r="K235" s="62">
        <v>1</v>
      </c>
      <c r="L235" s="68">
        <v>1182</v>
      </c>
    </row>
    <row r="236" spans="1:12" customFormat="1" ht="17.25" customHeight="1" x14ac:dyDescent="0.3">
      <c r="A236" s="60" t="s">
        <v>558</v>
      </c>
      <c r="B236" s="61" t="s">
        <v>559</v>
      </c>
      <c r="C236" s="62">
        <v>51</v>
      </c>
      <c r="D236" s="62">
        <v>45</v>
      </c>
      <c r="E236" s="62">
        <v>53</v>
      </c>
      <c r="F236" s="62">
        <v>75</v>
      </c>
      <c r="G236" s="62">
        <v>104</v>
      </c>
      <c r="H236" s="62">
        <v>130</v>
      </c>
      <c r="I236" s="62">
        <v>268</v>
      </c>
      <c r="J236" s="62">
        <v>161</v>
      </c>
      <c r="K236" s="62">
        <v>0</v>
      </c>
      <c r="L236" s="68">
        <v>887</v>
      </c>
    </row>
    <row r="237" spans="1:12" customFormat="1" ht="17.25" customHeight="1" x14ac:dyDescent="0.3">
      <c r="A237" s="60" t="s">
        <v>560</v>
      </c>
      <c r="B237" s="61" t="s">
        <v>561</v>
      </c>
      <c r="C237" s="62">
        <v>104</v>
      </c>
      <c r="D237" s="62">
        <v>90</v>
      </c>
      <c r="E237" s="62">
        <v>104</v>
      </c>
      <c r="F237" s="62">
        <v>168</v>
      </c>
      <c r="G237" s="62">
        <v>238</v>
      </c>
      <c r="H237" s="62">
        <v>347</v>
      </c>
      <c r="I237" s="62">
        <v>734</v>
      </c>
      <c r="J237" s="62">
        <v>418</v>
      </c>
      <c r="K237" s="62">
        <v>0</v>
      </c>
      <c r="L237" s="68">
        <v>2203</v>
      </c>
    </row>
    <row r="238" spans="1:12" customFormat="1" ht="17.25" customHeight="1" x14ac:dyDescent="0.3">
      <c r="A238" s="60" t="s">
        <v>562</v>
      </c>
      <c r="B238" s="61" t="s">
        <v>563</v>
      </c>
      <c r="C238" s="62">
        <v>53</v>
      </c>
      <c r="D238" s="62">
        <v>45</v>
      </c>
      <c r="E238" s="62">
        <v>66</v>
      </c>
      <c r="F238" s="62">
        <v>101</v>
      </c>
      <c r="G238" s="62">
        <v>141</v>
      </c>
      <c r="H238" s="62">
        <v>213</v>
      </c>
      <c r="I238" s="62">
        <v>443</v>
      </c>
      <c r="J238" s="62">
        <v>235</v>
      </c>
      <c r="K238" s="62">
        <v>0</v>
      </c>
      <c r="L238" s="68">
        <v>1297</v>
      </c>
    </row>
    <row r="239" spans="1:12" customFormat="1" ht="17.25" customHeight="1" x14ac:dyDescent="0.3">
      <c r="A239" s="60" t="s">
        <v>564</v>
      </c>
      <c r="B239" s="61" t="s">
        <v>565</v>
      </c>
      <c r="C239" s="62">
        <v>43</v>
      </c>
      <c r="D239" s="62">
        <v>44</v>
      </c>
      <c r="E239" s="62">
        <v>63</v>
      </c>
      <c r="F239" s="62">
        <v>56</v>
      </c>
      <c r="G239" s="62">
        <v>107</v>
      </c>
      <c r="H239" s="62">
        <v>128</v>
      </c>
      <c r="I239" s="62">
        <v>296</v>
      </c>
      <c r="J239" s="62">
        <v>179</v>
      </c>
      <c r="K239" s="62">
        <v>0</v>
      </c>
      <c r="L239" s="68">
        <v>916</v>
      </c>
    </row>
    <row r="240" spans="1:12" customFormat="1" ht="17.25" customHeight="1" x14ac:dyDescent="0.3">
      <c r="A240" s="60" t="s">
        <v>566</v>
      </c>
      <c r="B240" s="61" t="s">
        <v>567</v>
      </c>
      <c r="C240" s="62">
        <v>51</v>
      </c>
      <c r="D240" s="62">
        <v>38</v>
      </c>
      <c r="E240" s="62">
        <v>56</v>
      </c>
      <c r="F240" s="62">
        <v>102</v>
      </c>
      <c r="G240" s="62">
        <v>131</v>
      </c>
      <c r="H240" s="62">
        <v>158</v>
      </c>
      <c r="I240" s="62">
        <v>361</v>
      </c>
      <c r="J240" s="62">
        <v>224</v>
      </c>
      <c r="K240" s="62">
        <v>0</v>
      </c>
      <c r="L240" s="68">
        <v>1121</v>
      </c>
    </row>
    <row r="241" spans="1:12" customFormat="1" ht="17.25" customHeight="1" x14ac:dyDescent="0.3">
      <c r="A241" s="60" t="s">
        <v>568</v>
      </c>
      <c r="B241" s="61" t="s">
        <v>569</v>
      </c>
      <c r="C241" s="62">
        <v>23</v>
      </c>
      <c r="D241" s="62">
        <v>23</v>
      </c>
      <c r="E241" s="62">
        <v>29</v>
      </c>
      <c r="F241" s="62">
        <v>39</v>
      </c>
      <c r="G241" s="62">
        <v>61</v>
      </c>
      <c r="H241" s="62">
        <v>105</v>
      </c>
      <c r="I241" s="62">
        <v>204</v>
      </c>
      <c r="J241" s="62">
        <v>124</v>
      </c>
      <c r="K241" s="62">
        <v>0</v>
      </c>
      <c r="L241" s="68">
        <v>608</v>
      </c>
    </row>
    <row r="242" spans="1:12" customFormat="1" ht="17.25" customHeight="1" x14ac:dyDescent="0.3">
      <c r="A242" s="60" t="s">
        <v>570</v>
      </c>
      <c r="B242" s="61" t="s">
        <v>571</v>
      </c>
      <c r="C242" s="62">
        <v>54</v>
      </c>
      <c r="D242" s="62">
        <v>60</v>
      </c>
      <c r="E242" s="62">
        <v>61</v>
      </c>
      <c r="F242" s="62">
        <v>111</v>
      </c>
      <c r="G242" s="62">
        <v>141</v>
      </c>
      <c r="H242" s="62">
        <v>232</v>
      </c>
      <c r="I242" s="62">
        <v>472</v>
      </c>
      <c r="J242" s="62">
        <v>303</v>
      </c>
      <c r="K242" s="62">
        <v>0</v>
      </c>
      <c r="L242" s="68">
        <v>1434</v>
      </c>
    </row>
    <row r="243" spans="1:12" customFormat="1" ht="17.25" customHeight="1" x14ac:dyDescent="0.3">
      <c r="A243" s="60" t="s">
        <v>572</v>
      </c>
      <c r="B243" s="61" t="s">
        <v>573</v>
      </c>
      <c r="C243" s="62">
        <v>41</v>
      </c>
      <c r="D243" s="62">
        <v>37</v>
      </c>
      <c r="E243" s="62">
        <v>60</v>
      </c>
      <c r="F243" s="62">
        <v>86</v>
      </c>
      <c r="G243" s="62">
        <v>150</v>
      </c>
      <c r="H243" s="62">
        <v>208</v>
      </c>
      <c r="I243" s="62">
        <v>389</v>
      </c>
      <c r="J243" s="62">
        <v>249</v>
      </c>
      <c r="K243" s="62">
        <v>0</v>
      </c>
      <c r="L243" s="68">
        <v>1220</v>
      </c>
    </row>
    <row r="244" spans="1:12" customFormat="1" ht="17.25" customHeight="1" x14ac:dyDescent="0.3">
      <c r="A244" s="60" t="s">
        <v>574</v>
      </c>
      <c r="B244" s="61" t="s">
        <v>575</v>
      </c>
      <c r="C244" s="62">
        <v>34</v>
      </c>
      <c r="D244" s="62">
        <v>56</v>
      </c>
      <c r="E244" s="62">
        <v>73</v>
      </c>
      <c r="F244" s="62">
        <v>92</v>
      </c>
      <c r="G244" s="62">
        <v>114</v>
      </c>
      <c r="H244" s="62">
        <v>180</v>
      </c>
      <c r="I244" s="62">
        <v>420</v>
      </c>
      <c r="J244" s="62">
        <v>252</v>
      </c>
      <c r="K244" s="62">
        <v>0</v>
      </c>
      <c r="L244" s="68">
        <v>1221</v>
      </c>
    </row>
    <row r="245" spans="1:12" customFormat="1" ht="17.25" customHeight="1" x14ac:dyDescent="0.3">
      <c r="A245" s="60" t="s">
        <v>576</v>
      </c>
      <c r="B245" s="61" t="s">
        <v>577</v>
      </c>
      <c r="C245" s="62">
        <v>45</v>
      </c>
      <c r="D245" s="62">
        <v>31</v>
      </c>
      <c r="E245" s="62">
        <v>38</v>
      </c>
      <c r="F245" s="62">
        <v>48</v>
      </c>
      <c r="G245" s="62">
        <v>75</v>
      </c>
      <c r="H245" s="62">
        <v>100</v>
      </c>
      <c r="I245" s="62">
        <v>197</v>
      </c>
      <c r="J245" s="62">
        <v>141</v>
      </c>
      <c r="K245" s="62">
        <v>0</v>
      </c>
      <c r="L245" s="68">
        <v>675</v>
      </c>
    </row>
    <row r="246" spans="1:12" customFormat="1" ht="17.25" customHeight="1" x14ac:dyDescent="0.3">
      <c r="A246" s="60" t="s">
        <v>578</v>
      </c>
      <c r="B246" s="61" t="s">
        <v>579</v>
      </c>
      <c r="C246" s="62">
        <v>42</v>
      </c>
      <c r="D246" s="62">
        <v>34</v>
      </c>
      <c r="E246" s="62">
        <v>48</v>
      </c>
      <c r="F246" s="62">
        <v>57</v>
      </c>
      <c r="G246" s="62">
        <v>118</v>
      </c>
      <c r="H246" s="62">
        <v>160</v>
      </c>
      <c r="I246" s="62">
        <v>302</v>
      </c>
      <c r="J246" s="62">
        <v>178</v>
      </c>
      <c r="K246" s="62">
        <v>0</v>
      </c>
      <c r="L246" s="68">
        <v>939</v>
      </c>
    </row>
    <row r="247" spans="1:12" customFormat="1" ht="17.25" customHeight="1" x14ac:dyDescent="0.3">
      <c r="A247" s="60" t="s">
        <v>580</v>
      </c>
      <c r="B247" s="61" t="s">
        <v>581</v>
      </c>
      <c r="C247" s="62">
        <v>27</v>
      </c>
      <c r="D247" s="62">
        <v>20</v>
      </c>
      <c r="E247" s="62">
        <v>33</v>
      </c>
      <c r="F247" s="62">
        <v>63</v>
      </c>
      <c r="G247" s="62">
        <v>89</v>
      </c>
      <c r="H247" s="62">
        <v>135</v>
      </c>
      <c r="I247" s="62">
        <v>209</v>
      </c>
      <c r="J247" s="62">
        <v>152</v>
      </c>
      <c r="K247" s="62">
        <v>0</v>
      </c>
      <c r="L247" s="68">
        <v>728</v>
      </c>
    </row>
    <row r="248" spans="1:12" customFormat="1" ht="17.25" customHeight="1" x14ac:dyDescent="0.3">
      <c r="A248" s="60" t="s">
        <v>582</v>
      </c>
      <c r="B248" s="61" t="s">
        <v>583</v>
      </c>
      <c r="C248" s="62">
        <v>54</v>
      </c>
      <c r="D248" s="62">
        <v>52</v>
      </c>
      <c r="E248" s="62">
        <v>74</v>
      </c>
      <c r="F248" s="62">
        <v>99</v>
      </c>
      <c r="G248" s="62">
        <v>169</v>
      </c>
      <c r="H248" s="62">
        <v>188</v>
      </c>
      <c r="I248" s="62">
        <v>424</v>
      </c>
      <c r="J248" s="62">
        <v>326</v>
      </c>
      <c r="K248" s="62">
        <v>0</v>
      </c>
      <c r="L248" s="68">
        <v>1386</v>
      </c>
    </row>
    <row r="249" spans="1:12" customFormat="1" ht="17.25" customHeight="1" x14ac:dyDescent="0.3">
      <c r="A249" s="60" t="s">
        <v>584</v>
      </c>
      <c r="B249" s="61" t="s">
        <v>585</v>
      </c>
      <c r="C249" s="62">
        <v>46</v>
      </c>
      <c r="D249" s="62">
        <v>47</v>
      </c>
      <c r="E249" s="62">
        <v>80</v>
      </c>
      <c r="F249" s="62">
        <v>99</v>
      </c>
      <c r="G249" s="62">
        <v>150</v>
      </c>
      <c r="H249" s="62">
        <v>228</v>
      </c>
      <c r="I249" s="62">
        <v>402</v>
      </c>
      <c r="J249" s="62">
        <v>210</v>
      </c>
      <c r="K249" s="62">
        <v>0</v>
      </c>
      <c r="L249" s="68">
        <v>1262</v>
      </c>
    </row>
    <row r="250" spans="1:12" customFormat="1" ht="17.25" customHeight="1" x14ac:dyDescent="0.3">
      <c r="A250" s="60" t="s">
        <v>586</v>
      </c>
      <c r="B250" s="61" t="s">
        <v>587</v>
      </c>
      <c r="C250" s="62">
        <v>38</v>
      </c>
      <c r="D250" s="62">
        <v>39</v>
      </c>
      <c r="E250" s="62">
        <v>54</v>
      </c>
      <c r="F250" s="62">
        <v>75</v>
      </c>
      <c r="G250" s="62">
        <v>94</v>
      </c>
      <c r="H250" s="62">
        <v>137</v>
      </c>
      <c r="I250" s="62">
        <v>343</v>
      </c>
      <c r="J250" s="62">
        <v>168</v>
      </c>
      <c r="K250" s="62">
        <v>0</v>
      </c>
      <c r="L250" s="68">
        <v>948</v>
      </c>
    </row>
    <row r="251" spans="1:12" customFormat="1" ht="17.25" customHeight="1" x14ac:dyDescent="0.3">
      <c r="A251" s="119" t="s">
        <v>588</v>
      </c>
      <c r="B251" s="64" t="s">
        <v>589</v>
      </c>
      <c r="C251" s="65">
        <v>16</v>
      </c>
      <c r="D251" s="65">
        <v>14</v>
      </c>
      <c r="E251" s="65">
        <v>25</v>
      </c>
      <c r="F251" s="65">
        <v>36</v>
      </c>
      <c r="G251" s="65">
        <v>47</v>
      </c>
      <c r="H251" s="65">
        <v>70</v>
      </c>
      <c r="I251" s="65">
        <v>127</v>
      </c>
      <c r="J251" s="65">
        <v>79</v>
      </c>
      <c r="K251" s="65">
        <v>0</v>
      </c>
      <c r="L251" s="67">
        <v>414</v>
      </c>
    </row>
    <row r="252" spans="1:12" customFormat="1" ht="17.25" customHeight="1" x14ac:dyDescent="0.3">
      <c r="A252" s="54" t="s">
        <v>590</v>
      </c>
      <c r="B252" s="56" t="s">
        <v>591</v>
      </c>
      <c r="C252" s="55">
        <v>2936</v>
      </c>
      <c r="D252" s="55">
        <v>2676</v>
      </c>
      <c r="E252" s="55">
        <v>3553</v>
      </c>
      <c r="F252" s="55">
        <v>4509</v>
      </c>
      <c r="G252" s="55">
        <v>5431</v>
      </c>
      <c r="H252" s="55">
        <v>10168</v>
      </c>
      <c r="I252" s="55">
        <v>21285</v>
      </c>
      <c r="J252" s="55">
        <v>12264</v>
      </c>
      <c r="K252" s="55">
        <v>5</v>
      </c>
      <c r="L252" s="71">
        <v>62827</v>
      </c>
    </row>
    <row r="253" spans="1:12" customFormat="1" ht="17.25" customHeight="1" x14ac:dyDescent="0.3">
      <c r="A253" s="60" t="s">
        <v>592</v>
      </c>
      <c r="B253" s="61" t="s">
        <v>593</v>
      </c>
      <c r="C253" s="62">
        <v>27</v>
      </c>
      <c r="D253" s="62">
        <v>42</v>
      </c>
      <c r="E253" s="62">
        <v>35</v>
      </c>
      <c r="F253" s="62">
        <v>63</v>
      </c>
      <c r="G253" s="62">
        <v>53</v>
      </c>
      <c r="H253" s="62">
        <v>121</v>
      </c>
      <c r="I253" s="62">
        <v>348</v>
      </c>
      <c r="J253" s="62">
        <v>194</v>
      </c>
      <c r="K253" s="62">
        <v>0</v>
      </c>
      <c r="L253" s="68">
        <v>883</v>
      </c>
    </row>
    <row r="254" spans="1:12" customFormat="1" ht="17.25" customHeight="1" x14ac:dyDescent="0.3">
      <c r="A254" s="60" t="s">
        <v>594</v>
      </c>
      <c r="B254" s="61" t="s">
        <v>595</v>
      </c>
      <c r="C254" s="62">
        <v>46</v>
      </c>
      <c r="D254" s="62">
        <v>55</v>
      </c>
      <c r="E254" s="62">
        <v>52</v>
      </c>
      <c r="F254" s="62">
        <v>70</v>
      </c>
      <c r="G254" s="62">
        <v>77</v>
      </c>
      <c r="H254" s="62">
        <v>154</v>
      </c>
      <c r="I254" s="62">
        <v>311</v>
      </c>
      <c r="J254" s="62">
        <v>161</v>
      </c>
      <c r="K254" s="62">
        <v>0</v>
      </c>
      <c r="L254" s="68">
        <v>926</v>
      </c>
    </row>
    <row r="255" spans="1:12" customFormat="1" ht="17.25" customHeight="1" x14ac:dyDescent="0.3">
      <c r="A255" s="60" t="s">
        <v>596</v>
      </c>
      <c r="B255" s="61" t="s">
        <v>597</v>
      </c>
      <c r="C255" s="62">
        <v>240</v>
      </c>
      <c r="D255" s="62">
        <v>246</v>
      </c>
      <c r="E255" s="62">
        <v>371</v>
      </c>
      <c r="F255" s="62">
        <v>433</v>
      </c>
      <c r="G255" s="62">
        <v>480</v>
      </c>
      <c r="H255" s="62">
        <v>901</v>
      </c>
      <c r="I255" s="62">
        <v>1958</v>
      </c>
      <c r="J255" s="62">
        <v>1089</v>
      </c>
      <c r="K255" s="62">
        <v>0</v>
      </c>
      <c r="L255" s="68">
        <v>5718</v>
      </c>
    </row>
    <row r="256" spans="1:12" customFormat="1" ht="17.25" customHeight="1" x14ac:dyDescent="0.3">
      <c r="A256" s="60" t="s">
        <v>598</v>
      </c>
      <c r="B256" s="61" t="s">
        <v>599</v>
      </c>
      <c r="C256" s="62">
        <v>40</v>
      </c>
      <c r="D256" s="62">
        <v>17</v>
      </c>
      <c r="E256" s="62">
        <v>33</v>
      </c>
      <c r="F256" s="62">
        <v>44</v>
      </c>
      <c r="G256" s="62">
        <v>46</v>
      </c>
      <c r="H256" s="62">
        <v>78</v>
      </c>
      <c r="I256" s="62">
        <v>189</v>
      </c>
      <c r="J256" s="62">
        <v>120</v>
      </c>
      <c r="K256" s="62">
        <v>0</v>
      </c>
      <c r="L256" s="68">
        <v>567</v>
      </c>
    </row>
    <row r="257" spans="1:12" customFormat="1" ht="17.25" customHeight="1" x14ac:dyDescent="0.3">
      <c r="A257" s="60" t="s">
        <v>600</v>
      </c>
      <c r="B257" s="61" t="s">
        <v>601</v>
      </c>
      <c r="C257" s="62">
        <v>44</v>
      </c>
      <c r="D257" s="62">
        <v>54</v>
      </c>
      <c r="E257" s="62">
        <v>55</v>
      </c>
      <c r="F257" s="62">
        <v>61</v>
      </c>
      <c r="G257" s="62">
        <v>77</v>
      </c>
      <c r="H257" s="62">
        <v>124</v>
      </c>
      <c r="I257" s="62">
        <v>383</v>
      </c>
      <c r="J257" s="62">
        <v>203</v>
      </c>
      <c r="K257" s="62">
        <v>0</v>
      </c>
      <c r="L257" s="68">
        <v>1001</v>
      </c>
    </row>
    <row r="258" spans="1:12" customFormat="1" ht="17.25" customHeight="1" x14ac:dyDescent="0.3">
      <c r="A258" s="60" t="s">
        <v>602</v>
      </c>
      <c r="B258" s="61" t="s">
        <v>603</v>
      </c>
      <c r="C258" s="62">
        <v>148</v>
      </c>
      <c r="D258" s="62">
        <v>134</v>
      </c>
      <c r="E258" s="62">
        <v>166</v>
      </c>
      <c r="F258" s="62">
        <v>176</v>
      </c>
      <c r="G258" s="62">
        <v>190</v>
      </c>
      <c r="H258" s="62">
        <v>318</v>
      </c>
      <c r="I258" s="62">
        <v>747</v>
      </c>
      <c r="J258" s="62">
        <v>419</v>
      </c>
      <c r="K258" s="62">
        <v>0</v>
      </c>
      <c r="L258" s="68">
        <v>2298</v>
      </c>
    </row>
    <row r="259" spans="1:12" customFormat="1" ht="17.25" customHeight="1" x14ac:dyDescent="0.3">
      <c r="A259" s="60" t="s">
        <v>604</v>
      </c>
      <c r="B259" s="61" t="s">
        <v>605</v>
      </c>
      <c r="C259" s="62">
        <v>12</v>
      </c>
      <c r="D259" s="62">
        <v>12</v>
      </c>
      <c r="E259" s="62">
        <v>21</v>
      </c>
      <c r="F259" s="62">
        <v>26</v>
      </c>
      <c r="G259" s="62">
        <v>25</v>
      </c>
      <c r="H259" s="62">
        <v>49</v>
      </c>
      <c r="I259" s="62">
        <v>96</v>
      </c>
      <c r="J259" s="62">
        <v>68</v>
      </c>
      <c r="K259" s="62">
        <v>0</v>
      </c>
      <c r="L259" s="68">
        <v>309</v>
      </c>
    </row>
    <row r="260" spans="1:12" customFormat="1" ht="17.25" customHeight="1" x14ac:dyDescent="0.3">
      <c r="A260" s="60" t="s">
        <v>606</v>
      </c>
      <c r="B260" s="61" t="s">
        <v>607</v>
      </c>
      <c r="C260" s="62">
        <v>23</v>
      </c>
      <c r="D260" s="62">
        <v>24</v>
      </c>
      <c r="E260" s="62">
        <v>40</v>
      </c>
      <c r="F260" s="62">
        <v>51</v>
      </c>
      <c r="G260" s="62">
        <v>62</v>
      </c>
      <c r="H260" s="62">
        <v>98</v>
      </c>
      <c r="I260" s="62">
        <v>187</v>
      </c>
      <c r="J260" s="62">
        <v>108</v>
      </c>
      <c r="K260" s="62">
        <v>1</v>
      </c>
      <c r="L260" s="68">
        <v>594</v>
      </c>
    </row>
    <row r="261" spans="1:12" customFormat="1" ht="17.25" customHeight="1" x14ac:dyDescent="0.3">
      <c r="A261" s="60" t="s">
        <v>608</v>
      </c>
      <c r="B261" s="61" t="s">
        <v>609</v>
      </c>
      <c r="C261" s="62">
        <v>14</v>
      </c>
      <c r="D261" s="62">
        <v>12</v>
      </c>
      <c r="E261" s="62">
        <v>31</v>
      </c>
      <c r="F261" s="62">
        <v>28</v>
      </c>
      <c r="G261" s="62">
        <v>34</v>
      </c>
      <c r="H261" s="62">
        <v>58</v>
      </c>
      <c r="I261" s="62">
        <v>101</v>
      </c>
      <c r="J261" s="62">
        <v>91</v>
      </c>
      <c r="K261" s="62">
        <v>0</v>
      </c>
      <c r="L261" s="68">
        <v>369</v>
      </c>
    </row>
    <row r="262" spans="1:12" customFormat="1" ht="17.25" customHeight="1" x14ac:dyDescent="0.3">
      <c r="A262" s="60" t="s">
        <v>610</v>
      </c>
      <c r="B262" s="61" t="s">
        <v>611</v>
      </c>
      <c r="C262" s="62">
        <v>29</v>
      </c>
      <c r="D262" s="62">
        <v>21</v>
      </c>
      <c r="E262" s="62">
        <v>25</v>
      </c>
      <c r="F262" s="62">
        <v>56</v>
      </c>
      <c r="G262" s="62">
        <v>52</v>
      </c>
      <c r="H262" s="62">
        <v>82</v>
      </c>
      <c r="I262" s="62">
        <v>192</v>
      </c>
      <c r="J262" s="62">
        <v>89</v>
      </c>
      <c r="K262" s="62">
        <v>0</v>
      </c>
      <c r="L262" s="68">
        <v>546</v>
      </c>
    </row>
    <row r="263" spans="1:12" customFormat="1" ht="17.25" customHeight="1" x14ac:dyDescent="0.3">
      <c r="A263" s="60" t="s">
        <v>612</v>
      </c>
      <c r="B263" s="61" t="s">
        <v>613</v>
      </c>
      <c r="C263" s="62">
        <v>81</v>
      </c>
      <c r="D263" s="62">
        <v>70</v>
      </c>
      <c r="E263" s="62">
        <v>86</v>
      </c>
      <c r="F263" s="62">
        <v>90</v>
      </c>
      <c r="G263" s="62">
        <v>124</v>
      </c>
      <c r="H263" s="62">
        <v>243</v>
      </c>
      <c r="I263" s="62">
        <v>483</v>
      </c>
      <c r="J263" s="62">
        <v>288</v>
      </c>
      <c r="K263" s="62">
        <v>0</v>
      </c>
      <c r="L263" s="68">
        <v>1465</v>
      </c>
    </row>
    <row r="264" spans="1:12" customFormat="1" ht="17.25" customHeight="1" x14ac:dyDescent="0.3">
      <c r="A264" s="60" t="s">
        <v>614</v>
      </c>
      <c r="B264" s="61" t="s">
        <v>615</v>
      </c>
      <c r="C264" s="62">
        <v>57</v>
      </c>
      <c r="D264" s="62">
        <v>67</v>
      </c>
      <c r="E264" s="62">
        <v>74</v>
      </c>
      <c r="F264" s="62">
        <v>95</v>
      </c>
      <c r="G264" s="62">
        <v>136</v>
      </c>
      <c r="H264" s="62">
        <v>235</v>
      </c>
      <c r="I264" s="62">
        <v>452</v>
      </c>
      <c r="J264" s="62">
        <v>249</v>
      </c>
      <c r="K264" s="62">
        <v>0</v>
      </c>
      <c r="L264" s="68">
        <v>1365</v>
      </c>
    </row>
    <row r="265" spans="1:12" customFormat="1" ht="17.25" customHeight="1" x14ac:dyDescent="0.3">
      <c r="A265" s="60" t="s">
        <v>616</v>
      </c>
      <c r="B265" s="61" t="s">
        <v>617</v>
      </c>
      <c r="C265" s="62">
        <v>70</v>
      </c>
      <c r="D265" s="62">
        <v>98</v>
      </c>
      <c r="E265" s="62">
        <v>99</v>
      </c>
      <c r="F265" s="62">
        <v>140</v>
      </c>
      <c r="G265" s="62">
        <v>195</v>
      </c>
      <c r="H265" s="62">
        <v>330</v>
      </c>
      <c r="I265" s="62">
        <v>688</v>
      </c>
      <c r="J265" s="62">
        <v>441</v>
      </c>
      <c r="K265" s="62">
        <v>0</v>
      </c>
      <c r="L265" s="68">
        <v>2061</v>
      </c>
    </row>
    <row r="266" spans="1:12" customFormat="1" ht="17.25" customHeight="1" x14ac:dyDescent="0.3">
      <c r="A266" s="60" t="s">
        <v>618</v>
      </c>
      <c r="B266" s="66" t="s">
        <v>619</v>
      </c>
      <c r="C266" s="55">
        <v>146</v>
      </c>
      <c r="D266" s="55">
        <v>155</v>
      </c>
      <c r="E266" s="55">
        <v>190</v>
      </c>
      <c r="F266" s="55">
        <v>198</v>
      </c>
      <c r="G266" s="55">
        <v>251</v>
      </c>
      <c r="H266" s="55">
        <v>483</v>
      </c>
      <c r="I266" s="55">
        <v>956</v>
      </c>
      <c r="J266" s="55">
        <v>559</v>
      </c>
      <c r="K266" s="55">
        <v>1</v>
      </c>
      <c r="L266" s="71">
        <v>2939</v>
      </c>
    </row>
    <row r="267" spans="1:12" customFormat="1" ht="17.25" customHeight="1" x14ac:dyDescent="0.3">
      <c r="A267" s="60" t="s">
        <v>620</v>
      </c>
      <c r="B267" s="61" t="s">
        <v>621</v>
      </c>
      <c r="C267" s="62">
        <v>12</v>
      </c>
      <c r="D267" s="62">
        <v>7</v>
      </c>
      <c r="E267" s="62">
        <v>13</v>
      </c>
      <c r="F267" s="62">
        <v>14</v>
      </c>
      <c r="G267" s="62">
        <v>19</v>
      </c>
      <c r="H267" s="62">
        <v>41</v>
      </c>
      <c r="I267" s="62">
        <v>113</v>
      </c>
      <c r="J267" s="62">
        <v>56</v>
      </c>
      <c r="K267" s="62">
        <v>0</v>
      </c>
      <c r="L267" s="68">
        <v>275</v>
      </c>
    </row>
    <row r="268" spans="1:12" customFormat="1" ht="17.25" customHeight="1" x14ac:dyDescent="0.3">
      <c r="A268" s="60" t="s">
        <v>622</v>
      </c>
      <c r="B268" s="61" t="s">
        <v>623</v>
      </c>
      <c r="C268" s="62">
        <v>10</v>
      </c>
      <c r="D268" s="62">
        <v>14</v>
      </c>
      <c r="E268" s="62">
        <v>14</v>
      </c>
      <c r="F268" s="62">
        <v>11</v>
      </c>
      <c r="G268" s="62">
        <v>15</v>
      </c>
      <c r="H268" s="62">
        <v>29</v>
      </c>
      <c r="I268" s="62">
        <v>47</v>
      </c>
      <c r="J268" s="62">
        <v>46</v>
      </c>
      <c r="K268" s="62">
        <v>0</v>
      </c>
      <c r="L268" s="68">
        <v>186</v>
      </c>
    </row>
    <row r="269" spans="1:12" customFormat="1" ht="17.25" customHeight="1" x14ac:dyDescent="0.3">
      <c r="A269" s="60" t="s">
        <v>624</v>
      </c>
      <c r="B269" s="61" t="s">
        <v>625</v>
      </c>
      <c r="C269" s="62">
        <v>33</v>
      </c>
      <c r="D269" s="62">
        <v>33</v>
      </c>
      <c r="E269" s="62">
        <v>36</v>
      </c>
      <c r="F269" s="62">
        <v>46</v>
      </c>
      <c r="G269" s="62">
        <v>66</v>
      </c>
      <c r="H269" s="62">
        <v>102</v>
      </c>
      <c r="I269" s="62">
        <v>207</v>
      </c>
      <c r="J269" s="62">
        <v>101</v>
      </c>
      <c r="K269" s="62">
        <v>0</v>
      </c>
      <c r="L269" s="68">
        <v>624</v>
      </c>
    </row>
    <row r="270" spans="1:12" customFormat="1" ht="17.25" customHeight="1" x14ac:dyDescent="0.3">
      <c r="A270" s="60" t="s">
        <v>626</v>
      </c>
      <c r="B270" s="61" t="s">
        <v>627</v>
      </c>
      <c r="C270" s="62">
        <v>25</v>
      </c>
      <c r="D270" s="62">
        <v>29</v>
      </c>
      <c r="E270" s="62">
        <v>48</v>
      </c>
      <c r="F270" s="62">
        <v>40</v>
      </c>
      <c r="G270" s="62">
        <v>39</v>
      </c>
      <c r="H270" s="62">
        <v>82</v>
      </c>
      <c r="I270" s="62">
        <v>170</v>
      </c>
      <c r="J270" s="62">
        <v>91</v>
      </c>
      <c r="K270" s="62">
        <v>0</v>
      </c>
      <c r="L270" s="68">
        <v>524</v>
      </c>
    </row>
    <row r="271" spans="1:12" customFormat="1" ht="17.25" customHeight="1" x14ac:dyDescent="0.3">
      <c r="A271" s="60" t="s">
        <v>628</v>
      </c>
      <c r="B271" s="61" t="s">
        <v>629</v>
      </c>
      <c r="C271" s="62">
        <v>66</v>
      </c>
      <c r="D271" s="62">
        <v>72</v>
      </c>
      <c r="E271" s="62">
        <v>79</v>
      </c>
      <c r="F271" s="62">
        <v>87</v>
      </c>
      <c r="G271" s="62">
        <v>112</v>
      </c>
      <c r="H271" s="62">
        <v>229</v>
      </c>
      <c r="I271" s="62">
        <v>419</v>
      </c>
      <c r="J271" s="62">
        <v>265</v>
      </c>
      <c r="K271" s="62">
        <v>1</v>
      </c>
      <c r="L271" s="68">
        <v>1330</v>
      </c>
    </row>
    <row r="272" spans="1:12" customFormat="1" ht="17.25" customHeight="1" x14ac:dyDescent="0.3">
      <c r="A272" s="60" t="s">
        <v>630</v>
      </c>
      <c r="B272" s="66" t="s">
        <v>631</v>
      </c>
      <c r="C272" s="55">
        <v>485</v>
      </c>
      <c r="D272" s="55">
        <v>427</v>
      </c>
      <c r="E272" s="55">
        <v>559</v>
      </c>
      <c r="F272" s="55">
        <v>733</v>
      </c>
      <c r="G272" s="55">
        <v>931</v>
      </c>
      <c r="H272" s="55">
        <v>1696</v>
      </c>
      <c r="I272" s="55">
        <v>3579</v>
      </c>
      <c r="J272" s="55">
        <v>2107</v>
      </c>
      <c r="K272" s="55">
        <v>0</v>
      </c>
      <c r="L272" s="71">
        <v>10517</v>
      </c>
    </row>
    <row r="273" spans="1:12" customFormat="1" ht="17.25" customHeight="1" x14ac:dyDescent="0.3">
      <c r="A273" s="60" t="s">
        <v>632</v>
      </c>
      <c r="B273" s="61" t="s">
        <v>633</v>
      </c>
      <c r="C273" s="62">
        <v>60</v>
      </c>
      <c r="D273" s="62">
        <v>64</v>
      </c>
      <c r="E273" s="62">
        <v>64</v>
      </c>
      <c r="F273" s="62">
        <v>115</v>
      </c>
      <c r="G273" s="62">
        <v>131</v>
      </c>
      <c r="H273" s="62">
        <v>268</v>
      </c>
      <c r="I273" s="62">
        <v>481</v>
      </c>
      <c r="J273" s="62">
        <v>305</v>
      </c>
      <c r="K273" s="62">
        <v>0</v>
      </c>
      <c r="L273" s="68">
        <v>1488</v>
      </c>
    </row>
    <row r="274" spans="1:12" customFormat="1" ht="17.25" customHeight="1" x14ac:dyDescent="0.3">
      <c r="A274" s="60" t="s">
        <v>634</v>
      </c>
      <c r="B274" s="61" t="s">
        <v>635</v>
      </c>
      <c r="C274" s="62">
        <v>58</v>
      </c>
      <c r="D274" s="62">
        <v>68</v>
      </c>
      <c r="E274" s="62">
        <v>92</v>
      </c>
      <c r="F274" s="62">
        <v>73</v>
      </c>
      <c r="G274" s="62">
        <v>115</v>
      </c>
      <c r="H274" s="62">
        <v>204</v>
      </c>
      <c r="I274" s="62">
        <v>413</v>
      </c>
      <c r="J274" s="62">
        <v>261</v>
      </c>
      <c r="K274" s="62">
        <v>0</v>
      </c>
      <c r="L274" s="68">
        <v>1284</v>
      </c>
    </row>
    <row r="275" spans="1:12" customFormat="1" ht="17.25" customHeight="1" x14ac:dyDescent="0.3">
      <c r="A275" s="60" t="s">
        <v>636</v>
      </c>
      <c r="B275" s="61" t="s">
        <v>637</v>
      </c>
      <c r="C275" s="62">
        <v>46</v>
      </c>
      <c r="D275" s="62">
        <v>20</v>
      </c>
      <c r="E275" s="62">
        <v>35</v>
      </c>
      <c r="F275" s="62">
        <v>63</v>
      </c>
      <c r="G275" s="62">
        <v>73</v>
      </c>
      <c r="H275" s="62">
        <v>148</v>
      </c>
      <c r="I275" s="62">
        <v>327</v>
      </c>
      <c r="J275" s="62">
        <v>217</v>
      </c>
      <c r="K275" s="62">
        <v>0</v>
      </c>
      <c r="L275" s="68">
        <v>929</v>
      </c>
    </row>
    <row r="276" spans="1:12" customFormat="1" ht="17.25" customHeight="1" x14ac:dyDescent="0.3">
      <c r="A276" s="60" t="s">
        <v>638</v>
      </c>
      <c r="B276" s="61" t="s">
        <v>639</v>
      </c>
      <c r="C276" s="62">
        <v>43</v>
      </c>
      <c r="D276" s="62">
        <v>41</v>
      </c>
      <c r="E276" s="62">
        <v>46</v>
      </c>
      <c r="F276" s="62">
        <v>65</v>
      </c>
      <c r="G276" s="62">
        <v>74</v>
      </c>
      <c r="H276" s="62">
        <v>132</v>
      </c>
      <c r="I276" s="62">
        <v>304</v>
      </c>
      <c r="J276" s="62">
        <v>193</v>
      </c>
      <c r="K276" s="62">
        <v>0</v>
      </c>
      <c r="L276" s="68">
        <v>898</v>
      </c>
    </row>
    <row r="277" spans="1:12" customFormat="1" ht="17.25" customHeight="1" x14ac:dyDescent="0.3">
      <c r="A277" s="60" t="s">
        <v>640</v>
      </c>
      <c r="B277" s="61" t="s">
        <v>641</v>
      </c>
      <c r="C277" s="62">
        <v>12</v>
      </c>
      <c r="D277" s="62">
        <v>12</v>
      </c>
      <c r="E277" s="62">
        <v>11</v>
      </c>
      <c r="F277" s="62">
        <v>19</v>
      </c>
      <c r="G277" s="62">
        <v>15</v>
      </c>
      <c r="H277" s="62">
        <v>28</v>
      </c>
      <c r="I277" s="62">
        <v>118</v>
      </c>
      <c r="J277" s="62">
        <v>46</v>
      </c>
      <c r="K277" s="62">
        <v>0</v>
      </c>
      <c r="L277" s="68">
        <v>261</v>
      </c>
    </row>
    <row r="278" spans="1:12" customFormat="1" ht="17.25" customHeight="1" x14ac:dyDescent="0.3">
      <c r="A278" s="60" t="s">
        <v>642</v>
      </c>
      <c r="B278" s="61" t="s">
        <v>643</v>
      </c>
      <c r="C278" s="62">
        <v>45</v>
      </c>
      <c r="D278" s="62">
        <v>42</v>
      </c>
      <c r="E278" s="62">
        <v>69</v>
      </c>
      <c r="F278" s="62">
        <v>70</v>
      </c>
      <c r="G278" s="62">
        <v>98</v>
      </c>
      <c r="H278" s="62">
        <v>159</v>
      </c>
      <c r="I278" s="62">
        <v>394</v>
      </c>
      <c r="J278" s="62">
        <v>247</v>
      </c>
      <c r="K278" s="62">
        <v>0</v>
      </c>
      <c r="L278" s="68">
        <v>1124</v>
      </c>
    </row>
    <row r="279" spans="1:12" customFormat="1" ht="17.25" customHeight="1" x14ac:dyDescent="0.3">
      <c r="A279" s="60" t="s">
        <v>644</v>
      </c>
      <c r="B279" s="61" t="s">
        <v>645</v>
      </c>
      <c r="C279" s="62">
        <v>43</v>
      </c>
      <c r="D279" s="62">
        <v>23</v>
      </c>
      <c r="E279" s="62">
        <v>30</v>
      </c>
      <c r="F279" s="62">
        <v>35</v>
      </c>
      <c r="G279" s="62">
        <v>43</v>
      </c>
      <c r="H279" s="62">
        <v>95</v>
      </c>
      <c r="I279" s="62">
        <v>208</v>
      </c>
      <c r="J279" s="62">
        <v>131</v>
      </c>
      <c r="K279" s="62">
        <v>0</v>
      </c>
      <c r="L279" s="68">
        <v>608</v>
      </c>
    </row>
    <row r="280" spans="1:12" customFormat="1" ht="17.25" customHeight="1" x14ac:dyDescent="0.3">
      <c r="A280" s="60" t="s">
        <v>646</v>
      </c>
      <c r="B280" s="61" t="s">
        <v>647</v>
      </c>
      <c r="C280" s="62">
        <v>55</v>
      </c>
      <c r="D280" s="62">
        <v>55</v>
      </c>
      <c r="E280" s="62">
        <v>64</v>
      </c>
      <c r="F280" s="62">
        <v>82</v>
      </c>
      <c r="G280" s="62">
        <v>114</v>
      </c>
      <c r="H280" s="62">
        <v>210</v>
      </c>
      <c r="I280" s="62">
        <v>379</v>
      </c>
      <c r="J280" s="62">
        <v>216</v>
      </c>
      <c r="K280" s="62">
        <v>0</v>
      </c>
      <c r="L280" s="68">
        <v>1175</v>
      </c>
    </row>
    <row r="281" spans="1:12" customFormat="1" ht="17.25" customHeight="1" x14ac:dyDescent="0.3">
      <c r="A281" s="60" t="s">
        <v>648</v>
      </c>
      <c r="B281" s="61" t="s">
        <v>649</v>
      </c>
      <c r="C281" s="62">
        <v>25</v>
      </c>
      <c r="D281" s="62">
        <v>14</v>
      </c>
      <c r="E281" s="62">
        <v>17</v>
      </c>
      <c r="F281" s="62">
        <v>31</v>
      </c>
      <c r="G281" s="62">
        <v>27</v>
      </c>
      <c r="H281" s="62">
        <v>47</v>
      </c>
      <c r="I281" s="62">
        <v>143</v>
      </c>
      <c r="J281" s="62">
        <v>82</v>
      </c>
      <c r="K281" s="62">
        <v>0</v>
      </c>
      <c r="L281" s="68">
        <v>386</v>
      </c>
    </row>
    <row r="282" spans="1:12" customFormat="1" ht="17.25" customHeight="1" x14ac:dyDescent="0.3">
      <c r="A282" s="60" t="s">
        <v>650</v>
      </c>
      <c r="B282" s="61" t="s">
        <v>651</v>
      </c>
      <c r="C282" s="62">
        <v>42</v>
      </c>
      <c r="D282" s="62">
        <v>34</v>
      </c>
      <c r="E282" s="62">
        <v>62</v>
      </c>
      <c r="F282" s="62">
        <v>78</v>
      </c>
      <c r="G282" s="62">
        <v>97</v>
      </c>
      <c r="H282" s="62">
        <v>163</v>
      </c>
      <c r="I282" s="62">
        <v>397</v>
      </c>
      <c r="J282" s="62">
        <v>208</v>
      </c>
      <c r="K282" s="62">
        <v>0</v>
      </c>
      <c r="L282" s="68">
        <v>1081</v>
      </c>
    </row>
    <row r="283" spans="1:12" customFormat="1" ht="17.25" customHeight="1" x14ac:dyDescent="0.3">
      <c r="A283" s="60" t="s">
        <v>652</v>
      </c>
      <c r="B283" s="61" t="s">
        <v>653</v>
      </c>
      <c r="C283" s="62">
        <v>56</v>
      </c>
      <c r="D283" s="62">
        <v>54</v>
      </c>
      <c r="E283" s="62">
        <v>69</v>
      </c>
      <c r="F283" s="62">
        <v>102</v>
      </c>
      <c r="G283" s="62">
        <v>144</v>
      </c>
      <c r="H283" s="62">
        <v>242</v>
      </c>
      <c r="I283" s="62">
        <v>415</v>
      </c>
      <c r="J283" s="62">
        <v>201</v>
      </c>
      <c r="K283" s="62">
        <v>0</v>
      </c>
      <c r="L283" s="68">
        <v>1283</v>
      </c>
    </row>
    <row r="284" spans="1:12" customFormat="1" ht="17.25" customHeight="1" x14ac:dyDescent="0.3">
      <c r="A284" s="60" t="s">
        <v>654</v>
      </c>
      <c r="B284" s="66" t="s">
        <v>655</v>
      </c>
      <c r="C284" s="55">
        <v>469</v>
      </c>
      <c r="D284" s="55">
        <v>339</v>
      </c>
      <c r="E284" s="55">
        <v>481</v>
      </c>
      <c r="F284" s="55">
        <v>590</v>
      </c>
      <c r="G284" s="55">
        <v>699</v>
      </c>
      <c r="H284" s="55">
        <v>1469</v>
      </c>
      <c r="I284" s="55">
        <v>3127</v>
      </c>
      <c r="J284" s="55">
        <v>1814</v>
      </c>
      <c r="K284" s="55">
        <v>1</v>
      </c>
      <c r="L284" s="71">
        <v>8989</v>
      </c>
    </row>
    <row r="285" spans="1:12" customFormat="1" ht="17.25" customHeight="1" x14ac:dyDescent="0.3">
      <c r="A285" s="60" t="s">
        <v>656</v>
      </c>
      <c r="B285" s="61" t="s">
        <v>657</v>
      </c>
      <c r="C285" s="62">
        <v>45</v>
      </c>
      <c r="D285" s="62">
        <v>30</v>
      </c>
      <c r="E285" s="62">
        <v>46</v>
      </c>
      <c r="F285" s="62">
        <v>62</v>
      </c>
      <c r="G285" s="62">
        <v>64</v>
      </c>
      <c r="H285" s="62">
        <v>159</v>
      </c>
      <c r="I285" s="62">
        <v>296</v>
      </c>
      <c r="J285" s="62">
        <v>150</v>
      </c>
      <c r="K285" s="62">
        <v>1</v>
      </c>
      <c r="L285" s="68">
        <v>853</v>
      </c>
    </row>
    <row r="286" spans="1:12" customFormat="1" ht="17.25" customHeight="1" x14ac:dyDescent="0.3">
      <c r="A286" s="60" t="s">
        <v>658</v>
      </c>
      <c r="B286" s="61" t="s">
        <v>659</v>
      </c>
      <c r="C286" s="62">
        <v>30</v>
      </c>
      <c r="D286" s="62">
        <v>20</v>
      </c>
      <c r="E286" s="62">
        <v>43</v>
      </c>
      <c r="F286" s="62">
        <v>66</v>
      </c>
      <c r="G286" s="62">
        <v>59</v>
      </c>
      <c r="H286" s="62">
        <v>151</v>
      </c>
      <c r="I286" s="62">
        <v>313</v>
      </c>
      <c r="J286" s="62">
        <v>153</v>
      </c>
      <c r="K286" s="62">
        <v>0</v>
      </c>
      <c r="L286" s="68">
        <v>835</v>
      </c>
    </row>
    <row r="287" spans="1:12" customFormat="1" ht="17.25" customHeight="1" x14ac:dyDescent="0.3">
      <c r="A287" s="60" t="s">
        <v>660</v>
      </c>
      <c r="B287" s="61" t="s">
        <v>661</v>
      </c>
      <c r="C287" s="62">
        <v>23</v>
      </c>
      <c r="D287" s="62">
        <v>20</v>
      </c>
      <c r="E287" s="62">
        <v>24</v>
      </c>
      <c r="F287" s="62">
        <v>34</v>
      </c>
      <c r="G287" s="62">
        <v>49</v>
      </c>
      <c r="H287" s="62">
        <v>72</v>
      </c>
      <c r="I287" s="62">
        <v>229</v>
      </c>
      <c r="J287" s="62">
        <v>123</v>
      </c>
      <c r="K287" s="62">
        <v>0</v>
      </c>
      <c r="L287" s="68">
        <v>574</v>
      </c>
    </row>
    <row r="288" spans="1:12" customFormat="1" ht="17.25" customHeight="1" x14ac:dyDescent="0.3">
      <c r="A288" s="60" t="s">
        <v>662</v>
      </c>
      <c r="B288" s="61" t="s">
        <v>663</v>
      </c>
      <c r="C288" s="62">
        <v>18</v>
      </c>
      <c r="D288" s="62">
        <v>22</v>
      </c>
      <c r="E288" s="62">
        <v>22</v>
      </c>
      <c r="F288" s="62">
        <v>31</v>
      </c>
      <c r="G288" s="62">
        <v>34</v>
      </c>
      <c r="H288" s="62">
        <v>75</v>
      </c>
      <c r="I288" s="62">
        <v>170</v>
      </c>
      <c r="J288" s="62">
        <v>119</v>
      </c>
      <c r="K288" s="62">
        <v>0</v>
      </c>
      <c r="L288" s="68">
        <v>491</v>
      </c>
    </row>
    <row r="289" spans="1:12" customFormat="1" ht="17.25" customHeight="1" x14ac:dyDescent="0.3">
      <c r="A289" s="60" t="s">
        <v>664</v>
      </c>
      <c r="B289" s="61" t="s">
        <v>665</v>
      </c>
      <c r="C289" s="62">
        <v>33</v>
      </c>
      <c r="D289" s="62">
        <v>17</v>
      </c>
      <c r="E289" s="62">
        <v>23</v>
      </c>
      <c r="F289" s="62">
        <v>30</v>
      </c>
      <c r="G289" s="62">
        <v>25</v>
      </c>
      <c r="H289" s="62">
        <v>72</v>
      </c>
      <c r="I289" s="62">
        <v>162</v>
      </c>
      <c r="J289" s="62">
        <v>100</v>
      </c>
      <c r="K289" s="62">
        <v>0</v>
      </c>
      <c r="L289" s="68">
        <v>462</v>
      </c>
    </row>
    <row r="290" spans="1:12" customFormat="1" ht="17.25" customHeight="1" x14ac:dyDescent="0.3">
      <c r="A290" s="60" t="s">
        <v>666</v>
      </c>
      <c r="B290" s="61" t="s">
        <v>667</v>
      </c>
      <c r="C290" s="62">
        <v>19</v>
      </c>
      <c r="D290" s="62">
        <v>20</v>
      </c>
      <c r="E290" s="62">
        <v>16</v>
      </c>
      <c r="F290" s="62">
        <v>27</v>
      </c>
      <c r="G290" s="62">
        <v>25</v>
      </c>
      <c r="H290" s="62">
        <v>63</v>
      </c>
      <c r="I290" s="62">
        <v>147</v>
      </c>
      <c r="J290" s="62">
        <v>86</v>
      </c>
      <c r="K290" s="62">
        <v>0</v>
      </c>
      <c r="L290" s="68">
        <v>403</v>
      </c>
    </row>
    <row r="291" spans="1:12" customFormat="1" ht="17.25" customHeight="1" x14ac:dyDescent="0.3">
      <c r="A291" s="60" t="s">
        <v>668</v>
      </c>
      <c r="B291" s="61" t="s">
        <v>669</v>
      </c>
      <c r="C291" s="62">
        <v>62</v>
      </c>
      <c r="D291" s="62">
        <v>42</v>
      </c>
      <c r="E291" s="62">
        <v>60</v>
      </c>
      <c r="F291" s="62">
        <v>74</v>
      </c>
      <c r="G291" s="62">
        <v>90</v>
      </c>
      <c r="H291" s="62">
        <v>185</v>
      </c>
      <c r="I291" s="62">
        <v>433</v>
      </c>
      <c r="J291" s="62">
        <v>248</v>
      </c>
      <c r="K291" s="62">
        <v>0</v>
      </c>
      <c r="L291" s="68">
        <v>1194</v>
      </c>
    </row>
    <row r="292" spans="1:12" customFormat="1" ht="17.25" customHeight="1" x14ac:dyDescent="0.3">
      <c r="A292" s="60" t="s">
        <v>670</v>
      </c>
      <c r="B292" s="61" t="s">
        <v>671</v>
      </c>
      <c r="C292" s="62">
        <v>61</v>
      </c>
      <c r="D292" s="62">
        <v>39</v>
      </c>
      <c r="E292" s="62">
        <v>58</v>
      </c>
      <c r="F292" s="62">
        <v>85</v>
      </c>
      <c r="G292" s="62">
        <v>103</v>
      </c>
      <c r="H292" s="62">
        <v>185</v>
      </c>
      <c r="I292" s="62">
        <v>327</v>
      </c>
      <c r="J292" s="62">
        <v>213</v>
      </c>
      <c r="K292" s="62">
        <v>0</v>
      </c>
      <c r="L292" s="68">
        <v>1071</v>
      </c>
    </row>
    <row r="293" spans="1:12" customFormat="1" ht="17.25" customHeight="1" x14ac:dyDescent="0.3">
      <c r="A293" s="60" t="s">
        <v>672</v>
      </c>
      <c r="B293" s="61" t="s">
        <v>673</v>
      </c>
      <c r="C293" s="62">
        <v>29</v>
      </c>
      <c r="D293" s="62">
        <v>22</v>
      </c>
      <c r="E293" s="62">
        <v>31</v>
      </c>
      <c r="F293" s="62">
        <v>43</v>
      </c>
      <c r="G293" s="62">
        <v>53</v>
      </c>
      <c r="H293" s="62">
        <v>99</v>
      </c>
      <c r="I293" s="62">
        <v>256</v>
      </c>
      <c r="J293" s="62">
        <v>141</v>
      </c>
      <c r="K293" s="62">
        <v>0</v>
      </c>
      <c r="L293" s="68">
        <v>674</v>
      </c>
    </row>
    <row r="294" spans="1:12" customFormat="1" ht="17.25" customHeight="1" x14ac:dyDescent="0.3">
      <c r="A294" s="60" t="s">
        <v>674</v>
      </c>
      <c r="B294" s="61" t="s">
        <v>675</v>
      </c>
      <c r="C294" s="62">
        <v>32</v>
      </c>
      <c r="D294" s="62">
        <v>27</v>
      </c>
      <c r="E294" s="62">
        <v>32</v>
      </c>
      <c r="F294" s="62">
        <v>28</v>
      </c>
      <c r="G294" s="62">
        <v>28</v>
      </c>
      <c r="H294" s="62">
        <v>83</v>
      </c>
      <c r="I294" s="62">
        <v>174</v>
      </c>
      <c r="J294" s="62">
        <v>100</v>
      </c>
      <c r="K294" s="62">
        <v>0</v>
      </c>
      <c r="L294" s="68">
        <v>504</v>
      </c>
    </row>
    <row r="295" spans="1:12" customFormat="1" ht="17.25" customHeight="1" x14ac:dyDescent="0.3">
      <c r="A295" s="60" t="s">
        <v>676</v>
      </c>
      <c r="B295" s="61" t="s">
        <v>677</v>
      </c>
      <c r="C295" s="62">
        <v>60</v>
      </c>
      <c r="D295" s="62">
        <v>39</v>
      </c>
      <c r="E295" s="62">
        <v>64</v>
      </c>
      <c r="F295" s="62">
        <v>58</v>
      </c>
      <c r="G295" s="62">
        <v>80</v>
      </c>
      <c r="H295" s="62">
        <v>164</v>
      </c>
      <c r="I295" s="62">
        <v>342</v>
      </c>
      <c r="J295" s="62">
        <v>204</v>
      </c>
      <c r="K295" s="62">
        <v>0</v>
      </c>
      <c r="L295" s="68">
        <v>1011</v>
      </c>
    </row>
    <row r="296" spans="1:12" customFormat="1" ht="17.25" customHeight="1" x14ac:dyDescent="0.3">
      <c r="A296" s="60" t="s">
        <v>678</v>
      </c>
      <c r="B296" s="61" t="s">
        <v>679</v>
      </c>
      <c r="C296" s="62">
        <v>57</v>
      </c>
      <c r="D296" s="62">
        <v>41</v>
      </c>
      <c r="E296" s="62">
        <v>62</v>
      </c>
      <c r="F296" s="62">
        <v>52</v>
      </c>
      <c r="G296" s="62">
        <v>89</v>
      </c>
      <c r="H296" s="62">
        <v>161</v>
      </c>
      <c r="I296" s="62">
        <v>278</v>
      </c>
      <c r="J296" s="62">
        <v>177</v>
      </c>
      <c r="K296" s="62">
        <v>0</v>
      </c>
      <c r="L296" s="68">
        <v>917</v>
      </c>
    </row>
    <row r="297" spans="1:12" customFormat="1" ht="17.25" customHeight="1" x14ac:dyDescent="0.3">
      <c r="A297" s="60" t="s">
        <v>680</v>
      </c>
      <c r="B297" s="66" t="s">
        <v>681</v>
      </c>
      <c r="C297" s="55">
        <v>245</v>
      </c>
      <c r="D297" s="55">
        <v>217</v>
      </c>
      <c r="E297" s="55">
        <v>283</v>
      </c>
      <c r="F297" s="55">
        <v>423</v>
      </c>
      <c r="G297" s="55">
        <v>542</v>
      </c>
      <c r="H297" s="55">
        <v>1023</v>
      </c>
      <c r="I297" s="55">
        <v>2011</v>
      </c>
      <c r="J297" s="55">
        <v>1136</v>
      </c>
      <c r="K297" s="55">
        <v>1</v>
      </c>
      <c r="L297" s="71">
        <v>5881</v>
      </c>
    </row>
    <row r="298" spans="1:12" customFormat="1" ht="17.25" customHeight="1" x14ac:dyDescent="0.3">
      <c r="A298" s="60" t="s">
        <v>682</v>
      </c>
      <c r="B298" s="61" t="s">
        <v>683</v>
      </c>
      <c r="C298" s="62">
        <v>50</v>
      </c>
      <c r="D298" s="62">
        <v>48</v>
      </c>
      <c r="E298" s="62">
        <v>65</v>
      </c>
      <c r="F298" s="62">
        <v>90</v>
      </c>
      <c r="G298" s="62">
        <v>104</v>
      </c>
      <c r="H298" s="62">
        <v>249</v>
      </c>
      <c r="I298" s="62">
        <v>550</v>
      </c>
      <c r="J298" s="62">
        <v>267</v>
      </c>
      <c r="K298" s="62">
        <v>0</v>
      </c>
      <c r="L298" s="68">
        <v>1423</v>
      </c>
    </row>
    <row r="299" spans="1:12" customFormat="1" ht="17.25" customHeight="1" x14ac:dyDescent="0.3">
      <c r="A299" s="60" t="s">
        <v>684</v>
      </c>
      <c r="B299" s="61" t="s">
        <v>685</v>
      </c>
      <c r="C299" s="62">
        <v>20</v>
      </c>
      <c r="D299" s="62">
        <v>27</v>
      </c>
      <c r="E299" s="62">
        <v>35</v>
      </c>
      <c r="F299" s="62">
        <v>48</v>
      </c>
      <c r="G299" s="62">
        <v>57</v>
      </c>
      <c r="H299" s="62">
        <v>118</v>
      </c>
      <c r="I299" s="62">
        <v>162</v>
      </c>
      <c r="J299" s="62">
        <v>93</v>
      </c>
      <c r="K299" s="62">
        <v>0</v>
      </c>
      <c r="L299" s="68">
        <v>560</v>
      </c>
    </row>
    <row r="300" spans="1:12" customFormat="1" ht="17.25" customHeight="1" x14ac:dyDescent="0.3">
      <c r="A300" s="60" t="s">
        <v>686</v>
      </c>
      <c r="B300" s="61" t="s">
        <v>687</v>
      </c>
      <c r="C300" s="62">
        <v>64</v>
      </c>
      <c r="D300" s="62">
        <v>58</v>
      </c>
      <c r="E300" s="62">
        <v>65</v>
      </c>
      <c r="F300" s="62">
        <v>123</v>
      </c>
      <c r="G300" s="62">
        <v>159</v>
      </c>
      <c r="H300" s="62">
        <v>261</v>
      </c>
      <c r="I300" s="62">
        <v>539</v>
      </c>
      <c r="J300" s="62">
        <v>286</v>
      </c>
      <c r="K300" s="62">
        <v>0</v>
      </c>
      <c r="L300" s="68">
        <v>1555</v>
      </c>
    </row>
    <row r="301" spans="1:12" customFormat="1" ht="17.25" customHeight="1" x14ac:dyDescent="0.3">
      <c r="A301" s="60" t="s">
        <v>688</v>
      </c>
      <c r="B301" s="61" t="s">
        <v>689</v>
      </c>
      <c r="C301" s="62">
        <v>49</v>
      </c>
      <c r="D301" s="62">
        <v>45</v>
      </c>
      <c r="E301" s="62">
        <v>67</v>
      </c>
      <c r="F301" s="62">
        <v>92</v>
      </c>
      <c r="G301" s="62">
        <v>125</v>
      </c>
      <c r="H301" s="62">
        <v>237</v>
      </c>
      <c r="I301" s="62">
        <v>446</v>
      </c>
      <c r="J301" s="62">
        <v>296</v>
      </c>
      <c r="K301" s="62">
        <v>1</v>
      </c>
      <c r="L301" s="68">
        <v>1358</v>
      </c>
    </row>
    <row r="302" spans="1:12" customFormat="1" ht="17.25" customHeight="1" x14ac:dyDescent="0.3">
      <c r="A302" s="60" t="s">
        <v>690</v>
      </c>
      <c r="B302" s="61" t="s">
        <v>691</v>
      </c>
      <c r="C302" s="62">
        <v>62</v>
      </c>
      <c r="D302" s="62">
        <v>39</v>
      </c>
      <c r="E302" s="62">
        <v>51</v>
      </c>
      <c r="F302" s="62">
        <v>70</v>
      </c>
      <c r="G302" s="62">
        <v>97</v>
      </c>
      <c r="H302" s="62">
        <v>158</v>
      </c>
      <c r="I302" s="62">
        <v>314</v>
      </c>
      <c r="J302" s="62">
        <v>194</v>
      </c>
      <c r="K302" s="62">
        <v>0</v>
      </c>
      <c r="L302" s="68">
        <v>985</v>
      </c>
    </row>
    <row r="303" spans="1:12" customFormat="1" ht="17.25" customHeight="1" x14ac:dyDescent="0.3">
      <c r="A303" s="60" t="s">
        <v>692</v>
      </c>
      <c r="B303" s="66" t="s">
        <v>693</v>
      </c>
      <c r="C303" s="55">
        <v>500</v>
      </c>
      <c r="D303" s="55">
        <v>449</v>
      </c>
      <c r="E303" s="55">
        <v>612</v>
      </c>
      <c r="F303" s="55">
        <v>809</v>
      </c>
      <c r="G303" s="55">
        <v>1007</v>
      </c>
      <c r="H303" s="55">
        <v>1828</v>
      </c>
      <c r="I303" s="55">
        <v>3486</v>
      </c>
      <c r="J303" s="55">
        <v>2054</v>
      </c>
      <c r="K303" s="55">
        <v>1</v>
      </c>
      <c r="L303" s="71">
        <v>10746</v>
      </c>
    </row>
    <row r="304" spans="1:12" customFormat="1" ht="17.25" customHeight="1" x14ac:dyDescent="0.3">
      <c r="A304" s="60" t="s">
        <v>694</v>
      </c>
      <c r="B304" s="61" t="s">
        <v>695</v>
      </c>
      <c r="C304" s="62">
        <v>63</v>
      </c>
      <c r="D304" s="62">
        <v>69</v>
      </c>
      <c r="E304" s="62">
        <v>105</v>
      </c>
      <c r="F304" s="62">
        <v>109</v>
      </c>
      <c r="G304" s="62">
        <v>159</v>
      </c>
      <c r="H304" s="62">
        <v>284</v>
      </c>
      <c r="I304" s="62">
        <v>547</v>
      </c>
      <c r="J304" s="62">
        <v>310</v>
      </c>
      <c r="K304" s="62">
        <v>1</v>
      </c>
      <c r="L304" s="68">
        <v>1647</v>
      </c>
    </row>
    <row r="305" spans="1:12" customFormat="1" ht="17.25" customHeight="1" x14ac:dyDescent="0.3">
      <c r="A305" s="60" t="s">
        <v>696</v>
      </c>
      <c r="B305" s="61" t="s">
        <v>697</v>
      </c>
      <c r="C305" s="62">
        <v>28</v>
      </c>
      <c r="D305" s="62">
        <v>21</v>
      </c>
      <c r="E305" s="62">
        <v>25</v>
      </c>
      <c r="F305" s="62">
        <v>51</v>
      </c>
      <c r="G305" s="62">
        <v>56</v>
      </c>
      <c r="H305" s="62">
        <v>121</v>
      </c>
      <c r="I305" s="62">
        <v>188</v>
      </c>
      <c r="J305" s="62">
        <v>143</v>
      </c>
      <c r="K305" s="62">
        <v>0</v>
      </c>
      <c r="L305" s="68">
        <v>633</v>
      </c>
    </row>
    <row r="306" spans="1:12" customFormat="1" ht="17.25" customHeight="1" x14ac:dyDescent="0.3">
      <c r="A306" s="60" t="s">
        <v>698</v>
      </c>
      <c r="B306" s="61" t="s">
        <v>699</v>
      </c>
      <c r="C306" s="62">
        <v>55</v>
      </c>
      <c r="D306" s="62">
        <v>59</v>
      </c>
      <c r="E306" s="62">
        <v>85</v>
      </c>
      <c r="F306" s="62">
        <v>111</v>
      </c>
      <c r="G306" s="62">
        <v>130</v>
      </c>
      <c r="H306" s="62">
        <v>208</v>
      </c>
      <c r="I306" s="62">
        <v>429</v>
      </c>
      <c r="J306" s="62">
        <v>234</v>
      </c>
      <c r="K306" s="62">
        <v>0</v>
      </c>
      <c r="L306" s="68">
        <v>1311</v>
      </c>
    </row>
    <row r="307" spans="1:12" customFormat="1" ht="17.25" customHeight="1" x14ac:dyDescent="0.3">
      <c r="A307" s="60" t="s">
        <v>700</v>
      </c>
      <c r="B307" s="61" t="s">
        <v>701</v>
      </c>
      <c r="C307" s="62">
        <v>38</v>
      </c>
      <c r="D307" s="62">
        <v>36</v>
      </c>
      <c r="E307" s="62">
        <v>46</v>
      </c>
      <c r="F307" s="62">
        <v>75</v>
      </c>
      <c r="G307" s="62">
        <v>81</v>
      </c>
      <c r="H307" s="62">
        <v>158</v>
      </c>
      <c r="I307" s="62">
        <v>282</v>
      </c>
      <c r="J307" s="62">
        <v>154</v>
      </c>
      <c r="K307" s="62">
        <v>0</v>
      </c>
      <c r="L307" s="68">
        <v>870</v>
      </c>
    </row>
    <row r="308" spans="1:12" customFormat="1" ht="17.25" customHeight="1" x14ac:dyDescent="0.3">
      <c r="A308" s="60" t="s">
        <v>702</v>
      </c>
      <c r="B308" s="61" t="s">
        <v>703</v>
      </c>
      <c r="C308" s="62">
        <v>58</v>
      </c>
      <c r="D308" s="62">
        <v>49</v>
      </c>
      <c r="E308" s="62">
        <v>61</v>
      </c>
      <c r="F308" s="62">
        <v>77</v>
      </c>
      <c r="G308" s="62">
        <v>99</v>
      </c>
      <c r="H308" s="62">
        <v>210</v>
      </c>
      <c r="I308" s="62">
        <v>411</v>
      </c>
      <c r="J308" s="62">
        <v>255</v>
      </c>
      <c r="K308" s="62">
        <v>0</v>
      </c>
      <c r="L308" s="68">
        <v>1220</v>
      </c>
    </row>
    <row r="309" spans="1:12" customFormat="1" ht="17.25" customHeight="1" x14ac:dyDescent="0.3">
      <c r="A309" s="60" t="s">
        <v>704</v>
      </c>
      <c r="B309" s="61" t="s">
        <v>705</v>
      </c>
      <c r="C309" s="62">
        <v>29</v>
      </c>
      <c r="D309" s="62">
        <v>28</v>
      </c>
      <c r="E309" s="62">
        <v>29</v>
      </c>
      <c r="F309" s="62">
        <v>42</v>
      </c>
      <c r="G309" s="62">
        <v>56</v>
      </c>
      <c r="H309" s="62">
        <v>86</v>
      </c>
      <c r="I309" s="62">
        <v>196</v>
      </c>
      <c r="J309" s="62">
        <v>130</v>
      </c>
      <c r="K309" s="62">
        <v>0</v>
      </c>
      <c r="L309" s="68">
        <v>596</v>
      </c>
    </row>
    <row r="310" spans="1:12" customFormat="1" ht="17.25" customHeight="1" x14ac:dyDescent="0.3">
      <c r="A310" s="60" t="s">
        <v>706</v>
      </c>
      <c r="B310" s="61" t="s">
        <v>707</v>
      </c>
      <c r="C310" s="62">
        <v>26</v>
      </c>
      <c r="D310" s="62">
        <v>28</v>
      </c>
      <c r="E310" s="62">
        <v>40</v>
      </c>
      <c r="F310" s="62">
        <v>38</v>
      </c>
      <c r="G310" s="62">
        <v>46</v>
      </c>
      <c r="H310" s="62">
        <v>66</v>
      </c>
      <c r="I310" s="62">
        <v>158</v>
      </c>
      <c r="J310" s="62">
        <v>103</v>
      </c>
      <c r="K310" s="62">
        <v>0</v>
      </c>
      <c r="L310" s="68">
        <v>505</v>
      </c>
    </row>
    <row r="311" spans="1:12" customFormat="1" ht="17.25" customHeight="1" x14ac:dyDescent="0.3">
      <c r="A311" s="60" t="s">
        <v>708</v>
      </c>
      <c r="B311" s="61" t="s">
        <v>709</v>
      </c>
      <c r="C311" s="62">
        <v>48</v>
      </c>
      <c r="D311" s="62">
        <v>44</v>
      </c>
      <c r="E311" s="62">
        <v>56</v>
      </c>
      <c r="F311" s="62">
        <v>63</v>
      </c>
      <c r="G311" s="62">
        <v>86</v>
      </c>
      <c r="H311" s="62">
        <v>159</v>
      </c>
      <c r="I311" s="62">
        <v>297</v>
      </c>
      <c r="J311" s="62">
        <v>199</v>
      </c>
      <c r="K311" s="62">
        <v>0</v>
      </c>
      <c r="L311" s="68">
        <v>952</v>
      </c>
    </row>
    <row r="312" spans="1:12" customFormat="1" ht="17.25" customHeight="1" x14ac:dyDescent="0.3">
      <c r="A312" s="60" t="s">
        <v>710</v>
      </c>
      <c r="B312" s="61" t="s">
        <v>711</v>
      </c>
      <c r="C312" s="62">
        <v>48</v>
      </c>
      <c r="D312" s="62">
        <v>32</v>
      </c>
      <c r="E312" s="62">
        <v>49</v>
      </c>
      <c r="F312" s="62">
        <v>53</v>
      </c>
      <c r="G312" s="62">
        <v>65</v>
      </c>
      <c r="H312" s="62">
        <v>140</v>
      </c>
      <c r="I312" s="62">
        <v>238</v>
      </c>
      <c r="J312" s="62">
        <v>141</v>
      </c>
      <c r="K312" s="62">
        <v>0</v>
      </c>
      <c r="L312" s="68">
        <v>766</v>
      </c>
    </row>
    <row r="313" spans="1:12" customFormat="1" ht="17.25" customHeight="1" x14ac:dyDescent="0.3">
      <c r="A313" s="60" t="s">
        <v>712</v>
      </c>
      <c r="B313" s="61" t="s">
        <v>713</v>
      </c>
      <c r="C313" s="62">
        <v>75</v>
      </c>
      <c r="D313" s="62">
        <v>52</v>
      </c>
      <c r="E313" s="62">
        <v>68</v>
      </c>
      <c r="F313" s="62">
        <v>117</v>
      </c>
      <c r="G313" s="62">
        <v>140</v>
      </c>
      <c r="H313" s="62">
        <v>251</v>
      </c>
      <c r="I313" s="62">
        <v>473</v>
      </c>
      <c r="J313" s="62">
        <v>233</v>
      </c>
      <c r="K313" s="62">
        <v>0</v>
      </c>
      <c r="L313" s="68">
        <v>1409</v>
      </c>
    </row>
    <row r="314" spans="1:12" customFormat="1" ht="17.25" customHeight="1" x14ac:dyDescent="0.3">
      <c r="A314" s="60" t="s">
        <v>714</v>
      </c>
      <c r="B314" s="61" t="s">
        <v>715</v>
      </c>
      <c r="C314" s="62">
        <v>32</v>
      </c>
      <c r="D314" s="62">
        <v>31</v>
      </c>
      <c r="E314" s="62">
        <v>48</v>
      </c>
      <c r="F314" s="62">
        <v>73</v>
      </c>
      <c r="G314" s="62">
        <v>89</v>
      </c>
      <c r="H314" s="62">
        <v>145</v>
      </c>
      <c r="I314" s="62">
        <v>267</v>
      </c>
      <c r="J314" s="62">
        <v>152</v>
      </c>
      <c r="K314" s="62">
        <v>0</v>
      </c>
      <c r="L314" s="68">
        <v>837</v>
      </c>
    </row>
    <row r="315" spans="1:12" customFormat="1" ht="17.25" customHeight="1" x14ac:dyDescent="0.3">
      <c r="A315" s="60" t="s">
        <v>716</v>
      </c>
      <c r="B315" s="66" t="s">
        <v>717</v>
      </c>
      <c r="C315" s="55">
        <v>260</v>
      </c>
      <c r="D315" s="55">
        <v>237</v>
      </c>
      <c r="E315" s="55">
        <v>340</v>
      </c>
      <c r="F315" s="55">
        <v>423</v>
      </c>
      <c r="G315" s="55">
        <v>450</v>
      </c>
      <c r="H315" s="55">
        <v>878</v>
      </c>
      <c r="I315" s="55">
        <v>1991</v>
      </c>
      <c r="J315" s="55">
        <v>1074</v>
      </c>
      <c r="K315" s="55">
        <v>0</v>
      </c>
      <c r="L315" s="71">
        <v>5653</v>
      </c>
    </row>
    <row r="316" spans="1:12" customFormat="1" ht="17.25" customHeight="1" x14ac:dyDescent="0.3">
      <c r="A316" s="60" t="s">
        <v>718</v>
      </c>
      <c r="B316" s="61" t="s">
        <v>719</v>
      </c>
      <c r="C316" s="62">
        <v>17</v>
      </c>
      <c r="D316" s="62">
        <v>9</v>
      </c>
      <c r="E316" s="62">
        <v>16</v>
      </c>
      <c r="F316" s="62">
        <v>22</v>
      </c>
      <c r="G316" s="62">
        <v>29</v>
      </c>
      <c r="H316" s="62">
        <v>45</v>
      </c>
      <c r="I316" s="62">
        <v>87</v>
      </c>
      <c r="J316" s="62">
        <v>61</v>
      </c>
      <c r="K316" s="62">
        <v>0</v>
      </c>
      <c r="L316" s="68">
        <v>286</v>
      </c>
    </row>
    <row r="317" spans="1:12" customFormat="1" ht="17.25" customHeight="1" x14ac:dyDescent="0.3">
      <c r="A317" s="60" t="s">
        <v>720</v>
      </c>
      <c r="B317" s="61" t="s">
        <v>721</v>
      </c>
      <c r="C317" s="62">
        <v>41</v>
      </c>
      <c r="D317" s="62">
        <v>38</v>
      </c>
      <c r="E317" s="62">
        <v>50</v>
      </c>
      <c r="F317" s="62">
        <v>68</v>
      </c>
      <c r="G317" s="62">
        <v>51</v>
      </c>
      <c r="H317" s="62">
        <v>122</v>
      </c>
      <c r="I317" s="62">
        <v>292</v>
      </c>
      <c r="J317" s="62">
        <v>130</v>
      </c>
      <c r="K317" s="62">
        <v>0</v>
      </c>
      <c r="L317" s="68">
        <v>792</v>
      </c>
    </row>
    <row r="318" spans="1:12" customFormat="1" ht="17.25" customHeight="1" x14ac:dyDescent="0.3">
      <c r="A318" s="60" t="s">
        <v>722</v>
      </c>
      <c r="B318" s="61" t="s">
        <v>723</v>
      </c>
      <c r="C318" s="62">
        <v>54</v>
      </c>
      <c r="D318" s="62">
        <v>30</v>
      </c>
      <c r="E318" s="62">
        <v>67</v>
      </c>
      <c r="F318" s="62">
        <v>67</v>
      </c>
      <c r="G318" s="62">
        <v>90</v>
      </c>
      <c r="H318" s="62">
        <v>154</v>
      </c>
      <c r="I318" s="62">
        <v>329</v>
      </c>
      <c r="J318" s="62">
        <v>166</v>
      </c>
      <c r="K318" s="62">
        <v>0</v>
      </c>
      <c r="L318" s="68">
        <v>957</v>
      </c>
    </row>
    <row r="319" spans="1:12" customFormat="1" ht="17.25" customHeight="1" x14ac:dyDescent="0.3">
      <c r="A319" s="60" t="s">
        <v>724</v>
      </c>
      <c r="B319" s="61" t="s">
        <v>725</v>
      </c>
      <c r="C319" s="62">
        <v>14</v>
      </c>
      <c r="D319" s="62">
        <v>17</v>
      </c>
      <c r="E319" s="62">
        <v>19</v>
      </c>
      <c r="F319" s="62">
        <v>33</v>
      </c>
      <c r="G319" s="62">
        <v>20</v>
      </c>
      <c r="H319" s="62">
        <v>51</v>
      </c>
      <c r="I319" s="62">
        <v>146</v>
      </c>
      <c r="J319" s="62">
        <v>84</v>
      </c>
      <c r="K319" s="62">
        <v>0</v>
      </c>
      <c r="L319" s="68">
        <v>384</v>
      </c>
    </row>
    <row r="320" spans="1:12" customFormat="1" ht="17.25" customHeight="1" x14ac:dyDescent="0.3">
      <c r="A320" s="60" t="s">
        <v>726</v>
      </c>
      <c r="B320" s="61" t="s">
        <v>727</v>
      </c>
      <c r="C320" s="62">
        <v>52</v>
      </c>
      <c r="D320" s="62">
        <v>60</v>
      </c>
      <c r="E320" s="62">
        <v>79</v>
      </c>
      <c r="F320" s="62">
        <v>90</v>
      </c>
      <c r="G320" s="62">
        <v>128</v>
      </c>
      <c r="H320" s="62">
        <v>227</v>
      </c>
      <c r="I320" s="62">
        <v>487</v>
      </c>
      <c r="J320" s="62">
        <v>243</v>
      </c>
      <c r="K320" s="62">
        <v>0</v>
      </c>
      <c r="L320" s="68">
        <v>1366</v>
      </c>
    </row>
    <row r="321" spans="1:12" customFormat="1" ht="17.25" customHeight="1" x14ac:dyDescent="0.3">
      <c r="A321" s="60" t="s">
        <v>728</v>
      </c>
      <c r="B321" s="61" t="s">
        <v>729</v>
      </c>
      <c r="C321" s="62">
        <v>57</v>
      </c>
      <c r="D321" s="62">
        <v>64</v>
      </c>
      <c r="E321" s="62">
        <v>72</v>
      </c>
      <c r="F321" s="62">
        <v>101</v>
      </c>
      <c r="G321" s="62">
        <v>102</v>
      </c>
      <c r="H321" s="62">
        <v>205</v>
      </c>
      <c r="I321" s="62">
        <v>490</v>
      </c>
      <c r="J321" s="62">
        <v>283</v>
      </c>
      <c r="K321" s="62">
        <v>0</v>
      </c>
      <c r="L321" s="68">
        <v>1374</v>
      </c>
    </row>
    <row r="322" spans="1:12" customFormat="1" ht="17.25" customHeight="1" x14ac:dyDescent="0.3">
      <c r="A322" s="119" t="s">
        <v>730</v>
      </c>
      <c r="B322" s="64" t="s">
        <v>731</v>
      </c>
      <c r="C322" s="65">
        <v>25</v>
      </c>
      <c r="D322" s="65">
        <v>19</v>
      </c>
      <c r="E322" s="65">
        <v>37</v>
      </c>
      <c r="F322" s="65">
        <v>42</v>
      </c>
      <c r="G322" s="65">
        <v>30</v>
      </c>
      <c r="H322" s="65">
        <v>74</v>
      </c>
      <c r="I322" s="65">
        <v>160</v>
      </c>
      <c r="J322" s="65">
        <v>107</v>
      </c>
      <c r="K322" s="65">
        <v>0</v>
      </c>
      <c r="L322" s="67">
        <v>494</v>
      </c>
    </row>
    <row r="323" spans="1:12" customFormat="1" ht="17.25" customHeight="1" x14ac:dyDescent="0.3">
      <c r="A323" s="54" t="s">
        <v>732</v>
      </c>
      <c r="B323" s="56" t="s">
        <v>733</v>
      </c>
      <c r="C323" s="55">
        <v>1517</v>
      </c>
      <c r="D323" s="55">
        <v>1176</v>
      </c>
      <c r="E323" s="55">
        <v>1698</v>
      </c>
      <c r="F323" s="55">
        <v>2011</v>
      </c>
      <c r="G323" s="55">
        <v>2481</v>
      </c>
      <c r="H323" s="55">
        <v>4982</v>
      </c>
      <c r="I323" s="55">
        <v>10056</v>
      </c>
      <c r="J323" s="55">
        <v>5844</v>
      </c>
      <c r="K323" s="55">
        <v>2</v>
      </c>
      <c r="L323" s="71">
        <v>29767</v>
      </c>
    </row>
    <row r="324" spans="1:12" customFormat="1" ht="17.25" customHeight="1" x14ac:dyDescent="0.3">
      <c r="A324" s="60" t="s">
        <v>734</v>
      </c>
      <c r="B324" s="61" t="s">
        <v>735</v>
      </c>
      <c r="C324" s="62">
        <v>49</v>
      </c>
      <c r="D324" s="62">
        <v>41</v>
      </c>
      <c r="E324" s="62">
        <v>84</v>
      </c>
      <c r="F324" s="62">
        <v>84</v>
      </c>
      <c r="G324" s="62">
        <v>124</v>
      </c>
      <c r="H324" s="62">
        <v>243</v>
      </c>
      <c r="I324" s="62">
        <v>447</v>
      </c>
      <c r="J324" s="62">
        <v>243</v>
      </c>
      <c r="K324" s="62">
        <v>1</v>
      </c>
      <c r="L324" s="68">
        <v>1316</v>
      </c>
    </row>
    <row r="325" spans="1:12" customFormat="1" ht="17.25" customHeight="1" x14ac:dyDescent="0.3">
      <c r="A325" s="60" t="s">
        <v>736</v>
      </c>
      <c r="B325" s="61" t="s">
        <v>737</v>
      </c>
      <c r="C325" s="62">
        <v>96</v>
      </c>
      <c r="D325" s="62">
        <v>98</v>
      </c>
      <c r="E325" s="62">
        <v>122</v>
      </c>
      <c r="F325" s="62">
        <v>140</v>
      </c>
      <c r="G325" s="62">
        <v>166</v>
      </c>
      <c r="H325" s="62">
        <v>268</v>
      </c>
      <c r="I325" s="62">
        <v>593</v>
      </c>
      <c r="J325" s="62">
        <v>314</v>
      </c>
      <c r="K325" s="62">
        <v>0</v>
      </c>
      <c r="L325" s="68">
        <v>1797</v>
      </c>
    </row>
    <row r="326" spans="1:12" customFormat="1" ht="17.25" customHeight="1" x14ac:dyDescent="0.3">
      <c r="A326" s="60" t="s">
        <v>738</v>
      </c>
      <c r="B326" s="61" t="s">
        <v>739</v>
      </c>
      <c r="C326" s="62">
        <v>56</v>
      </c>
      <c r="D326" s="62">
        <v>45</v>
      </c>
      <c r="E326" s="62">
        <v>86</v>
      </c>
      <c r="F326" s="62">
        <v>106</v>
      </c>
      <c r="G326" s="62">
        <v>129</v>
      </c>
      <c r="H326" s="62">
        <v>259</v>
      </c>
      <c r="I326" s="62">
        <v>443</v>
      </c>
      <c r="J326" s="62">
        <v>272</v>
      </c>
      <c r="K326" s="62">
        <v>0</v>
      </c>
      <c r="L326" s="68">
        <v>1396</v>
      </c>
    </row>
    <row r="327" spans="1:12" customFormat="1" ht="17.25" customHeight="1" x14ac:dyDescent="0.3">
      <c r="A327" s="60" t="s">
        <v>740</v>
      </c>
      <c r="B327" s="61" t="s">
        <v>741</v>
      </c>
      <c r="C327" s="62">
        <v>130</v>
      </c>
      <c r="D327" s="62">
        <v>90</v>
      </c>
      <c r="E327" s="62">
        <v>141</v>
      </c>
      <c r="F327" s="62">
        <v>156</v>
      </c>
      <c r="G327" s="62">
        <v>168</v>
      </c>
      <c r="H327" s="62">
        <v>391</v>
      </c>
      <c r="I327" s="62">
        <v>741</v>
      </c>
      <c r="J327" s="62">
        <v>434</v>
      </c>
      <c r="K327" s="62">
        <v>0</v>
      </c>
      <c r="L327" s="68">
        <v>2251</v>
      </c>
    </row>
    <row r="328" spans="1:12" customFormat="1" ht="17.25" customHeight="1" x14ac:dyDescent="0.3">
      <c r="A328" s="60" t="s">
        <v>742</v>
      </c>
      <c r="B328" s="61" t="s">
        <v>743</v>
      </c>
      <c r="C328" s="62">
        <v>108</v>
      </c>
      <c r="D328" s="62">
        <v>98</v>
      </c>
      <c r="E328" s="62">
        <v>158</v>
      </c>
      <c r="F328" s="62">
        <v>176</v>
      </c>
      <c r="G328" s="62">
        <v>206</v>
      </c>
      <c r="H328" s="62">
        <v>364</v>
      </c>
      <c r="I328" s="62">
        <v>685</v>
      </c>
      <c r="J328" s="62">
        <v>378</v>
      </c>
      <c r="K328" s="62">
        <v>0</v>
      </c>
      <c r="L328" s="68">
        <v>2173</v>
      </c>
    </row>
    <row r="329" spans="1:12" customFormat="1" ht="17.25" customHeight="1" x14ac:dyDescent="0.3">
      <c r="A329" s="60" t="s">
        <v>744</v>
      </c>
      <c r="B329" s="61" t="s">
        <v>745</v>
      </c>
      <c r="C329" s="62">
        <v>0</v>
      </c>
      <c r="D329" s="62">
        <v>0</v>
      </c>
      <c r="E329" s="62">
        <v>0</v>
      </c>
      <c r="F329" s="62">
        <v>0</v>
      </c>
      <c r="G329" s="62">
        <v>0</v>
      </c>
      <c r="H329" s="62">
        <v>0</v>
      </c>
      <c r="I329" s="62">
        <v>0</v>
      </c>
      <c r="J329" s="62">
        <v>0</v>
      </c>
      <c r="K329" s="62">
        <v>0</v>
      </c>
      <c r="L329" s="68">
        <v>0</v>
      </c>
    </row>
    <row r="330" spans="1:12" customFormat="1" ht="17.25" customHeight="1" x14ac:dyDescent="0.3">
      <c r="A330" s="60" t="s">
        <v>746</v>
      </c>
      <c r="B330" s="61" t="s">
        <v>747</v>
      </c>
      <c r="C330" s="62">
        <v>78</v>
      </c>
      <c r="D330" s="62">
        <v>70</v>
      </c>
      <c r="E330" s="62">
        <v>74</v>
      </c>
      <c r="F330" s="62">
        <v>127</v>
      </c>
      <c r="G330" s="62">
        <v>132</v>
      </c>
      <c r="H330" s="62">
        <v>269</v>
      </c>
      <c r="I330" s="62">
        <v>626</v>
      </c>
      <c r="J330" s="62">
        <v>346</v>
      </c>
      <c r="K330" s="62">
        <v>0</v>
      </c>
      <c r="L330" s="68">
        <v>1722</v>
      </c>
    </row>
    <row r="331" spans="1:12" customFormat="1" ht="17.25" customHeight="1" x14ac:dyDescent="0.3">
      <c r="A331" s="60" t="s">
        <v>748</v>
      </c>
      <c r="B331" s="61" t="s">
        <v>749</v>
      </c>
      <c r="C331" s="62">
        <v>23</v>
      </c>
      <c r="D331" s="62">
        <v>12</v>
      </c>
      <c r="E331" s="62">
        <v>28</v>
      </c>
      <c r="F331" s="62">
        <v>36</v>
      </c>
      <c r="G331" s="62">
        <v>31</v>
      </c>
      <c r="H331" s="62">
        <v>101</v>
      </c>
      <c r="I331" s="62">
        <v>215</v>
      </c>
      <c r="J331" s="62">
        <v>131</v>
      </c>
      <c r="K331" s="62">
        <v>0</v>
      </c>
      <c r="L331" s="68">
        <v>577</v>
      </c>
    </row>
    <row r="332" spans="1:12" customFormat="1" ht="17.25" customHeight="1" x14ac:dyDescent="0.3">
      <c r="A332" s="60" t="s">
        <v>750</v>
      </c>
      <c r="B332" s="61" t="s">
        <v>751</v>
      </c>
      <c r="C332" s="62">
        <v>104</v>
      </c>
      <c r="D332" s="62">
        <v>65</v>
      </c>
      <c r="E332" s="62">
        <v>103</v>
      </c>
      <c r="F332" s="62">
        <v>124</v>
      </c>
      <c r="G332" s="62">
        <v>153</v>
      </c>
      <c r="H332" s="62">
        <v>326</v>
      </c>
      <c r="I332" s="62">
        <v>677</v>
      </c>
      <c r="J332" s="62">
        <v>445</v>
      </c>
      <c r="K332" s="62">
        <v>0</v>
      </c>
      <c r="L332" s="68">
        <v>1997</v>
      </c>
    </row>
    <row r="333" spans="1:12" customFormat="1" ht="17.25" customHeight="1" x14ac:dyDescent="0.3">
      <c r="A333" s="60" t="s">
        <v>752</v>
      </c>
      <c r="B333" s="61" t="s">
        <v>753</v>
      </c>
      <c r="C333" s="62">
        <v>62</v>
      </c>
      <c r="D333" s="62">
        <v>47</v>
      </c>
      <c r="E333" s="62">
        <v>67</v>
      </c>
      <c r="F333" s="62">
        <v>73</v>
      </c>
      <c r="G333" s="62">
        <v>73</v>
      </c>
      <c r="H333" s="62">
        <v>196</v>
      </c>
      <c r="I333" s="62">
        <v>406</v>
      </c>
      <c r="J333" s="62">
        <v>225</v>
      </c>
      <c r="K333" s="62">
        <v>0</v>
      </c>
      <c r="L333" s="68">
        <v>1149</v>
      </c>
    </row>
    <row r="334" spans="1:12" customFormat="1" ht="17.25" customHeight="1" x14ac:dyDescent="0.3">
      <c r="A334" s="60" t="s">
        <v>754</v>
      </c>
      <c r="B334" s="61" t="s">
        <v>755</v>
      </c>
      <c r="C334" s="62">
        <v>18</v>
      </c>
      <c r="D334" s="62">
        <v>14</v>
      </c>
      <c r="E334" s="62">
        <v>27</v>
      </c>
      <c r="F334" s="62">
        <v>23</v>
      </c>
      <c r="G334" s="62">
        <v>31</v>
      </c>
      <c r="H334" s="62">
        <v>67</v>
      </c>
      <c r="I334" s="62">
        <v>157</v>
      </c>
      <c r="J334" s="62">
        <v>77</v>
      </c>
      <c r="K334" s="62">
        <v>0</v>
      </c>
      <c r="L334" s="68">
        <v>414</v>
      </c>
    </row>
    <row r="335" spans="1:12" customFormat="1" ht="17.25" customHeight="1" x14ac:dyDescent="0.3">
      <c r="A335" s="60" t="s">
        <v>756</v>
      </c>
      <c r="B335" s="61" t="s">
        <v>757</v>
      </c>
      <c r="C335" s="62">
        <v>191</v>
      </c>
      <c r="D335" s="62">
        <v>160</v>
      </c>
      <c r="E335" s="62">
        <v>202</v>
      </c>
      <c r="F335" s="62">
        <v>260</v>
      </c>
      <c r="G335" s="62">
        <v>303</v>
      </c>
      <c r="H335" s="62">
        <v>621</v>
      </c>
      <c r="I335" s="62">
        <v>1176</v>
      </c>
      <c r="J335" s="62">
        <v>676</v>
      </c>
      <c r="K335" s="62">
        <v>1</v>
      </c>
      <c r="L335" s="68">
        <v>3590</v>
      </c>
    </row>
    <row r="336" spans="1:12" customFormat="1" ht="17.25" customHeight="1" x14ac:dyDescent="0.3">
      <c r="A336" s="60" t="s">
        <v>758</v>
      </c>
      <c r="B336" s="56" t="s">
        <v>759</v>
      </c>
      <c r="C336" s="55">
        <v>218</v>
      </c>
      <c r="D336" s="55">
        <v>143</v>
      </c>
      <c r="E336" s="55">
        <v>205</v>
      </c>
      <c r="F336" s="55">
        <v>249</v>
      </c>
      <c r="G336" s="55">
        <v>319</v>
      </c>
      <c r="H336" s="55">
        <v>674</v>
      </c>
      <c r="I336" s="55">
        <v>1367</v>
      </c>
      <c r="J336" s="55">
        <v>795</v>
      </c>
      <c r="K336" s="55">
        <v>0</v>
      </c>
      <c r="L336" s="71">
        <v>3970</v>
      </c>
    </row>
    <row r="337" spans="1:12" customFormat="1" ht="17.25" customHeight="1" x14ac:dyDescent="0.3">
      <c r="A337" s="60" t="s">
        <v>760</v>
      </c>
      <c r="B337" s="61" t="s">
        <v>761</v>
      </c>
      <c r="C337" s="62">
        <v>35</v>
      </c>
      <c r="D337" s="62">
        <v>24</v>
      </c>
      <c r="E337" s="62">
        <v>44</v>
      </c>
      <c r="F337" s="62">
        <v>53</v>
      </c>
      <c r="G337" s="62">
        <v>71</v>
      </c>
      <c r="H337" s="62">
        <v>150</v>
      </c>
      <c r="I337" s="62">
        <v>318</v>
      </c>
      <c r="J337" s="62">
        <v>185</v>
      </c>
      <c r="K337" s="62">
        <v>0</v>
      </c>
      <c r="L337" s="68">
        <v>880</v>
      </c>
    </row>
    <row r="338" spans="1:12" customFormat="1" ht="17.25" customHeight="1" x14ac:dyDescent="0.3">
      <c r="A338" s="60" t="s">
        <v>762</v>
      </c>
      <c r="B338" s="61" t="s">
        <v>763</v>
      </c>
      <c r="C338" s="62">
        <v>14</v>
      </c>
      <c r="D338" s="62">
        <v>16</v>
      </c>
      <c r="E338" s="62">
        <v>15</v>
      </c>
      <c r="F338" s="62">
        <v>24</v>
      </c>
      <c r="G338" s="62">
        <v>29</v>
      </c>
      <c r="H338" s="62">
        <v>86</v>
      </c>
      <c r="I338" s="62">
        <v>133</v>
      </c>
      <c r="J338" s="62">
        <v>78</v>
      </c>
      <c r="K338" s="62">
        <v>0</v>
      </c>
      <c r="L338" s="68">
        <v>395</v>
      </c>
    </row>
    <row r="339" spans="1:12" customFormat="1" ht="17.25" customHeight="1" x14ac:dyDescent="0.3">
      <c r="A339" s="60" t="s">
        <v>764</v>
      </c>
      <c r="B339" s="61" t="s">
        <v>765</v>
      </c>
      <c r="C339" s="62">
        <v>21</v>
      </c>
      <c r="D339" s="62">
        <v>16</v>
      </c>
      <c r="E339" s="62">
        <v>21</v>
      </c>
      <c r="F339" s="62">
        <v>25</v>
      </c>
      <c r="G339" s="62">
        <v>35</v>
      </c>
      <c r="H339" s="62">
        <v>58</v>
      </c>
      <c r="I339" s="62">
        <v>137</v>
      </c>
      <c r="J339" s="62">
        <v>86</v>
      </c>
      <c r="K339" s="62">
        <v>0</v>
      </c>
      <c r="L339" s="68">
        <v>399</v>
      </c>
    </row>
    <row r="340" spans="1:12" customFormat="1" ht="17.25" customHeight="1" x14ac:dyDescent="0.3">
      <c r="A340" s="60" t="s">
        <v>766</v>
      </c>
      <c r="B340" s="61" t="s">
        <v>767</v>
      </c>
      <c r="C340" s="62">
        <v>32</v>
      </c>
      <c r="D340" s="62">
        <v>17</v>
      </c>
      <c r="E340" s="62">
        <v>22</v>
      </c>
      <c r="F340" s="62">
        <v>25</v>
      </c>
      <c r="G340" s="62">
        <v>34</v>
      </c>
      <c r="H340" s="62">
        <v>52</v>
      </c>
      <c r="I340" s="62">
        <v>125</v>
      </c>
      <c r="J340" s="62">
        <v>90</v>
      </c>
      <c r="K340" s="62">
        <v>0</v>
      </c>
      <c r="L340" s="68">
        <v>397</v>
      </c>
    </row>
    <row r="341" spans="1:12" customFormat="1" ht="17.25" customHeight="1" x14ac:dyDescent="0.3">
      <c r="A341" s="60" t="s">
        <v>768</v>
      </c>
      <c r="B341" s="61" t="s">
        <v>769</v>
      </c>
      <c r="C341" s="62">
        <v>41</v>
      </c>
      <c r="D341" s="62">
        <v>24</v>
      </c>
      <c r="E341" s="62">
        <v>27</v>
      </c>
      <c r="F341" s="62">
        <v>31</v>
      </c>
      <c r="G341" s="62">
        <v>53</v>
      </c>
      <c r="H341" s="62">
        <v>101</v>
      </c>
      <c r="I341" s="62">
        <v>193</v>
      </c>
      <c r="J341" s="62">
        <v>103</v>
      </c>
      <c r="K341" s="62">
        <v>0</v>
      </c>
      <c r="L341" s="68">
        <v>573</v>
      </c>
    </row>
    <row r="342" spans="1:12" customFormat="1" ht="17.25" customHeight="1" x14ac:dyDescent="0.3">
      <c r="A342" s="60" t="s">
        <v>770</v>
      </c>
      <c r="B342" s="61" t="s">
        <v>771</v>
      </c>
      <c r="C342" s="62">
        <v>37</v>
      </c>
      <c r="D342" s="62">
        <v>26</v>
      </c>
      <c r="E342" s="62">
        <v>45</v>
      </c>
      <c r="F342" s="62">
        <v>46</v>
      </c>
      <c r="G342" s="62">
        <v>50</v>
      </c>
      <c r="H342" s="62">
        <v>143</v>
      </c>
      <c r="I342" s="62">
        <v>279</v>
      </c>
      <c r="J342" s="62">
        <v>143</v>
      </c>
      <c r="K342" s="62">
        <v>0</v>
      </c>
      <c r="L342" s="68">
        <v>769</v>
      </c>
    </row>
    <row r="343" spans="1:12" customFormat="1" ht="17.25" customHeight="1" x14ac:dyDescent="0.3">
      <c r="A343" s="60" t="s">
        <v>772</v>
      </c>
      <c r="B343" s="61" t="s">
        <v>773</v>
      </c>
      <c r="C343" s="62">
        <v>28</v>
      </c>
      <c r="D343" s="62">
        <v>8</v>
      </c>
      <c r="E343" s="62">
        <v>18</v>
      </c>
      <c r="F343" s="62">
        <v>26</v>
      </c>
      <c r="G343" s="62">
        <v>21</v>
      </c>
      <c r="H343" s="62">
        <v>38</v>
      </c>
      <c r="I343" s="62">
        <v>85</v>
      </c>
      <c r="J343" s="62">
        <v>65</v>
      </c>
      <c r="K343" s="62">
        <v>0</v>
      </c>
      <c r="L343" s="68">
        <v>289</v>
      </c>
    </row>
    <row r="344" spans="1:12" customFormat="1" ht="17.25" customHeight="1" x14ac:dyDescent="0.3">
      <c r="A344" s="60" t="s">
        <v>774</v>
      </c>
      <c r="B344" s="61" t="s">
        <v>775</v>
      </c>
      <c r="C344" s="62">
        <v>10</v>
      </c>
      <c r="D344" s="62">
        <v>12</v>
      </c>
      <c r="E344" s="62">
        <v>13</v>
      </c>
      <c r="F344" s="62">
        <v>19</v>
      </c>
      <c r="G344" s="62">
        <v>26</v>
      </c>
      <c r="H344" s="62">
        <v>46</v>
      </c>
      <c r="I344" s="62">
        <v>97</v>
      </c>
      <c r="J344" s="62">
        <v>45</v>
      </c>
      <c r="K344" s="62">
        <v>0</v>
      </c>
      <c r="L344" s="68">
        <v>268</v>
      </c>
    </row>
    <row r="345" spans="1:12" customFormat="1" ht="17.25" customHeight="1" x14ac:dyDescent="0.3">
      <c r="A345" s="60" t="s">
        <v>776</v>
      </c>
      <c r="B345" s="56" t="s">
        <v>777</v>
      </c>
      <c r="C345" s="55">
        <v>254</v>
      </c>
      <c r="D345" s="55">
        <v>182</v>
      </c>
      <c r="E345" s="55">
        <v>225</v>
      </c>
      <c r="F345" s="55">
        <v>280</v>
      </c>
      <c r="G345" s="55">
        <v>415</v>
      </c>
      <c r="H345" s="55">
        <v>742</v>
      </c>
      <c r="I345" s="55">
        <v>1566</v>
      </c>
      <c r="J345" s="55">
        <v>949</v>
      </c>
      <c r="K345" s="55">
        <v>0</v>
      </c>
      <c r="L345" s="71">
        <v>4613</v>
      </c>
    </row>
    <row r="346" spans="1:12" customFormat="1" ht="17.25" customHeight="1" x14ac:dyDescent="0.3">
      <c r="A346" s="60" t="s">
        <v>778</v>
      </c>
      <c r="B346" s="61" t="s">
        <v>779</v>
      </c>
      <c r="C346" s="62">
        <v>44</v>
      </c>
      <c r="D346" s="62">
        <v>31</v>
      </c>
      <c r="E346" s="62">
        <v>36</v>
      </c>
      <c r="F346" s="62">
        <v>46</v>
      </c>
      <c r="G346" s="62">
        <v>53</v>
      </c>
      <c r="H346" s="62">
        <v>127</v>
      </c>
      <c r="I346" s="62">
        <v>259</v>
      </c>
      <c r="J346" s="62">
        <v>155</v>
      </c>
      <c r="K346" s="62">
        <v>0</v>
      </c>
      <c r="L346" s="68">
        <v>751</v>
      </c>
    </row>
    <row r="347" spans="1:12" customFormat="1" ht="17.25" customHeight="1" x14ac:dyDescent="0.3">
      <c r="A347" s="60" t="s">
        <v>780</v>
      </c>
      <c r="B347" s="61" t="s">
        <v>781</v>
      </c>
      <c r="C347" s="62">
        <v>75</v>
      </c>
      <c r="D347" s="62">
        <v>35</v>
      </c>
      <c r="E347" s="62">
        <v>40</v>
      </c>
      <c r="F347" s="62">
        <v>48</v>
      </c>
      <c r="G347" s="62">
        <v>99</v>
      </c>
      <c r="H347" s="62">
        <v>148</v>
      </c>
      <c r="I347" s="62">
        <v>300</v>
      </c>
      <c r="J347" s="62">
        <v>185</v>
      </c>
      <c r="K347" s="62">
        <v>0</v>
      </c>
      <c r="L347" s="68">
        <v>930</v>
      </c>
    </row>
    <row r="348" spans="1:12" customFormat="1" ht="17.25" customHeight="1" x14ac:dyDescent="0.3">
      <c r="A348" s="60" t="s">
        <v>782</v>
      </c>
      <c r="B348" s="61" t="s">
        <v>783</v>
      </c>
      <c r="C348" s="62">
        <v>21</v>
      </c>
      <c r="D348" s="62">
        <v>18</v>
      </c>
      <c r="E348" s="62">
        <v>43</v>
      </c>
      <c r="F348" s="62">
        <v>33</v>
      </c>
      <c r="G348" s="62">
        <v>40</v>
      </c>
      <c r="H348" s="62">
        <v>84</v>
      </c>
      <c r="I348" s="62">
        <v>174</v>
      </c>
      <c r="J348" s="62">
        <v>102</v>
      </c>
      <c r="K348" s="62">
        <v>0</v>
      </c>
      <c r="L348" s="68">
        <v>515</v>
      </c>
    </row>
    <row r="349" spans="1:12" customFormat="1" ht="17.25" customHeight="1" x14ac:dyDescent="0.3">
      <c r="A349" s="60" t="s">
        <v>784</v>
      </c>
      <c r="B349" s="61" t="s">
        <v>785</v>
      </c>
      <c r="C349" s="62">
        <v>34</v>
      </c>
      <c r="D349" s="62">
        <v>18</v>
      </c>
      <c r="E349" s="62">
        <v>25</v>
      </c>
      <c r="F349" s="62">
        <v>33</v>
      </c>
      <c r="G349" s="62">
        <v>48</v>
      </c>
      <c r="H349" s="62">
        <v>68</v>
      </c>
      <c r="I349" s="62">
        <v>184</v>
      </c>
      <c r="J349" s="62">
        <v>124</v>
      </c>
      <c r="K349" s="62">
        <v>0</v>
      </c>
      <c r="L349" s="68">
        <v>534</v>
      </c>
    </row>
    <row r="350" spans="1:12" customFormat="1" ht="17.25" customHeight="1" x14ac:dyDescent="0.3">
      <c r="A350" s="60" t="s">
        <v>786</v>
      </c>
      <c r="B350" s="61" t="s">
        <v>787</v>
      </c>
      <c r="C350" s="62">
        <v>52</v>
      </c>
      <c r="D350" s="62">
        <v>47</v>
      </c>
      <c r="E350" s="62">
        <v>43</v>
      </c>
      <c r="F350" s="62">
        <v>80</v>
      </c>
      <c r="G350" s="62">
        <v>106</v>
      </c>
      <c r="H350" s="62">
        <v>191</v>
      </c>
      <c r="I350" s="62">
        <v>340</v>
      </c>
      <c r="J350" s="62">
        <v>227</v>
      </c>
      <c r="K350" s="62">
        <v>0</v>
      </c>
      <c r="L350" s="68">
        <v>1086</v>
      </c>
    </row>
    <row r="351" spans="1:12" customFormat="1" ht="17.25" customHeight="1" x14ac:dyDescent="0.3">
      <c r="A351" s="60" t="s">
        <v>788</v>
      </c>
      <c r="B351" s="61" t="s">
        <v>789</v>
      </c>
      <c r="C351" s="62">
        <v>28</v>
      </c>
      <c r="D351" s="62">
        <v>33</v>
      </c>
      <c r="E351" s="62">
        <v>38</v>
      </c>
      <c r="F351" s="62">
        <v>40</v>
      </c>
      <c r="G351" s="62">
        <v>69</v>
      </c>
      <c r="H351" s="62">
        <v>124</v>
      </c>
      <c r="I351" s="62">
        <v>309</v>
      </c>
      <c r="J351" s="62">
        <v>156</v>
      </c>
      <c r="K351" s="62">
        <v>0</v>
      </c>
      <c r="L351" s="68">
        <v>797</v>
      </c>
    </row>
    <row r="352" spans="1:12" customFormat="1" ht="17.25" customHeight="1" x14ac:dyDescent="0.3">
      <c r="A352" s="60" t="s">
        <v>790</v>
      </c>
      <c r="B352" s="56" t="s">
        <v>791</v>
      </c>
      <c r="C352" s="55">
        <v>130</v>
      </c>
      <c r="D352" s="55">
        <v>111</v>
      </c>
      <c r="E352" s="55">
        <v>176</v>
      </c>
      <c r="F352" s="55">
        <v>177</v>
      </c>
      <c r="G352" s="55">
        <v>231</v>
      </c>
      <c r="H352" s="55">
        <v>461</v>
      </c>
      <c r="I352" s="55">
        <v>957</v>
      </c>
      <c r="J352" s="55">
        <v>559</v>
      </c>
      <c r="K352" s="55">
        <v>0</v>
      </c>
      <c r="L352" s="71">
        <v>2802</v>
      </c>
    </row>
    <row r="353" spans="1:12" customFormat="1" ht="17.25" customHeight="1" x14ac:dyDescent="0.3">
      <c r="A353" s="60" t="s">
        <v>792</v>
      </c>
      <c r="B353" s="61" t="s">
        <v>793</v>
      </c>
      <c r="C353" s="62">
        <v>29</v>
      </c>
      <c r="D353" s="62">
        <v>21</v>
      </c>
      <c r="E353" s="62">
        <v>46</v>
      </c>
      <c r="F353" s="62">
        <v>46</v>
      </c>
      <c r="G353" s="62">
        <v>69</v>
      </c>
      <c r="H353" s="62">
        <v>104</v>
      </c>
      <c r="I353" s="62">
        <v>218</v>
      </c>
      <c r="J353" s="62">
        <v>155</v>
      </c>
      <c r="K353" s="62">
        <v>0</v>
      </c>
      <c r="L353" s="68">
        <v>688</v>
      </c>
    </row>
    <row r="354" spans="1:12" customFormat="1" ht="17.25" customHeight="1" x14ac:dyDescent="0.3">
      <c r="A354" s="60" t="s">
        <v>794</v>
      </c>
      <c r="B354" s="61" t="s">
        <v>795</v>
      </c>
      <c r="C354" s="62">
        <v>26</v>
      </c>
      <c r="D354" s="62">
        <v>25</v>
      </c>
      <c r="E354" s="62">
        <v>27</v>
      </c>
      <c r="F354" s="62">
        <v>40</v>
      </c>
      <c r="G354" s="62">
        <v>57</v>
      </c>
      <c r="H354" s="62">
        <v>104</v>
      </c>
      <c r="I354" s="62">
        <v>219</v>
      </c>
      <c r="J354" s="62">
        <v>117</v>
      </c>
      <c r="K354" s="62">
        <v>0</v>
      </c>
      <c r="L354" s="68">
        <v>615</v>
      </c>
    </row>
    <row r="355" spans="1:12" customFormat="1" ht="17.25" customHeight="1" x14ac:dyDescent="0.3">
      <c r="A355" s="60" t="s">
        <v>796</v>
      </c>
      <c r="B355" s="61" t="s">
        <v>797</v>
      </c>
      <c r="C355" s="62">
        <v>36</v>
      </c>
      <c r="D355" s="62">
        <v>37</v>
      </c>
      <c r="E355" s="62">
        <v>51</v>
      </c>
      <c r="F355" s="62">
        <v>41</v>
      </c>
      <c r="G355" s="62">
        <v>41</v>
      </c>
      <c r="H355" s="62">
        <v>116</v>
      </c>
      <c r="I355" s="62">
        <v>267</v>
      </c>
      <c r="J355" s="62">
        <v>126</v>
      </c>
      <c r="K355" s="62">
        <v>0</v>
      </c>
      <c r="L355" s="68">
        <v>715</v>
      </c>
    </row>
    <row r="356" spans="1:12" customFormat="1" ht="17.25" customHeight="1" x14ac:dyDescent="0.3">
      <c r="A356" s="119" t="s">
        <v>798</v>
      </c>
      <c r="B356" s="64" t="s">
        <v>799</v>
      </c>
      <c r="C356" s="65">
        <v>39</v>
      </c>
      <c r="D356" s="65">
        <v>28</v>
      </c>
      <c r="E356" s="65">
        <v>52</v>
      </c>
      <c r="F356" s="65">
        <v>50</v>
      </c>
      <c r="G356" s="65">
        <v>64</v>
      </c>
      <c r="H356" s="65">
        <v>137</v>
      </c>
      <c r="I356" s="65">
        <v>253</v>
      </c>
      <c r="J356" s="65">
        <v>161</v>
      </c>
      <c r="K356" s="65">
        <v>0</v>
      </c>
      <c r="L356" s="67">
        <v>784</v>
      </c>
    </row>
    <row r="357" spans="1:12" customFormat="1" ht="17.25" customHeight="1" x14ac:dyDescent="0.3">
      <c r="A357" s="54" t="s">
        <v>800</v>
      </c>
      <c r="B357" s="56" t="s">
        <v>801</v>
      </c>
      <c r="C357" s="55">
        <v>1112</v>
      </c>
      <c r="D357" s="55">
        <v>878</v>
      </c>
      <c r="E357" s="55">
        <v>1382</v>
      </c>
      <c r="F357" s="55">
        <v>1729</v>
      </c>
      <c r="G357" s="55">
        <v>2061</v>
      </c>
      <c r="H357" s="55">
        <v>3730</v>
      </c>
      <c r="I357" s="55">
        <v>8525</v>
      </c>
      <c r="J357" s="55">
        <v>5973</v>
      </c>
      <c r="K357" s="55">
        <v>1</v>
      </c>
      <c r="L357" s="71">
        <v>25391</v>
      </c>
    </row>
    <row r="358" spans="1:12" customFormat="1" ht="17.25" customHeight="1" x14ac:dyDescent="0.3">
      <c r="A358" s="60" t="s">
        <v>802</v>
      </c>
      <c r="B358" s="61" t="s">
        <v>803</v>
      </c>
      <c r="C358" s="62">
        <v>37</v>
      </c>
      <c r="D358" s="62">
        <v>26</v>
      </c>
      <c r="E358" s="62">
        <v>60</v>
      </c>
      <c r="F358" s="62">
        <v>50</v>
      </c>
      <c r="G358" s="62">
        <v>79</v>
      </c>
      <c r="H358" s="62">
        <v>95</v>
      </c>
      <c r="I358" s="62">
        <v>295</v>
      </c>
      <c r="J358" s="62">
        <v>191</v>
      </c>
      <c r="K358" s="62">
        <v>0</v>
      </c>
      <c r="L358" s="68">
        <v>833</v>
      </c>
    </row>
    <row r="359" spans="1:12" customFormat="1" ht="17.25" customHeight="1" x14ac:dyDescent="0.3">
      <c r="A359" s="60" t="s">
        <v>804</v>
      </c>
      <c r="B359" s="61" t="s">
        <v>805</v>
      </c>
      <c r="C359" s="62">
        <v>93</v>
      </c>
      <c r="D359" s="62">
        <v>48</v>
      </c>
      <c r="E359" s="62">
        <v>110</v>
      </c>
      <c r="F359" s="62">
        <v>127</v>
      </c>
      <c r="G359" s="62">
        <v>170</v>
      </c>
      <c r="H359" s="62">
        <v>250</v>
      </c>
      <c r="I359" s="62">
        <v>590</v>
      </c>
      <c r="J359" s="62">
        <v>449</v>
      </c>
      <c r="K359" s="62">
        <v>1</v>
      </c>
      <c r="L359" s="68">
        <v>1838</v>
      </c>
    </row>
    <row r="360" spans="1:12" customFormat="1" ht="17.25" customHeight="1" x14ac:dyDescent="0.3">
      <c r="A360" s="60" t="s">
        <v>806</v>
      </c>
      <c r="B360" s="61" t="s">
        <v>807</v>
      </c>
      <c r="C360" s="62">
        <v>37</v>
      </c>
      <c r="D360" s="62">
        <v>20</v>
      </c>
      <c r="E360" s="62">
        <v>33</v>
      </c>
      <c r="F360" s="62">
        <v>63</v>
      </c>
      <c r="G360" s="62">
        <v>51</v>
      </c>
      <c r="H360" s="62">
        <v>95</v>
      </c>
      <c r="I360" s="62">
        <v>179</v>
      </c>
      <c r="J360" s="62">
        <v>147</v>
      </c>
      <c r="K360" s="62">
        <v>0</v>
      </c>
      <c r="L360" s="68">
        <v>625</v>
      </c>
    </row>
    <row r="361" spans="1:12" customFormat="1" ht="17.25" customHeight="1" x14ac:dyDescent="0.3">
      <c r="A361" s="60" t="s">
        <v>808</v>
      </c>
      <c r="B361" s="61" t="s">
        <v>809</v>
      </c>
      <c r="C361" s="62">
        <v>12</v>
      </c>
      <c r="D361" s="62">
        <v>12</v>
      </c>
      <c r="E361" s="62">
        <v>21</v>
      </c>
      <c r="F361" s="62">
        <v>31</v>
      </c>
      <c r="G361" s="62">
        <v>25</v>
      </c>
      <c r="H361" s="62">
        <v>43</v>
      </c>
      <c r="I361" s="62">
        <v>96</v>
      </c>
      <c r="J361" s="62">
        <v>44</v>
      </c>
      <c r="K361" s="62">
        <v>0</v>
      </c>
      <c r="L361" s="68">
        <v>284</v>
      </c>
    </row>
    <row r="362" spans="1:12" customFormat="1" ht="17.25" customHeight="1" x14ac:dyDescent="0.3">
      <c r="A362" s="60" t="s">
        <v>810</v>
      </c>
      <c r="B362" s="61" t="s">
        <v>811</v>
      </c>
      <c r="C362" s="62">
        <v>75</v>
      </c>
      <c r="D362" s="62">
        <v>100</v>
      </c>
      <c r="E362" s="62">
        <v>148</v>
      </c>
      <c r="F362" s="62">
        <v>148</v>
      </c>
      <c r="G362" s="62">
        <v>222</v>
      </c>
      <c r="H362" s="62">
        <v>392</v>
      </c>
      <c r="I362" s="62">
        <v>725</v>
      </c>
      <c r="J362" s="62">
        <v>493</v>
      </c>
      <c r="K362" s="62">
        <v>0</v>
      </c>
      <c r="L362" s="68">
        <v>2303</v>
      </c>
    </row>
    <row r="363" spans="1:12" customFormat="1" ht="17.25" customHeight="1" x14ac:dyDescent="0.3">
      <c r="A363" s="60" t="s">
        <v>812</v>
      </c>
      <c r="B363" s="61" t="s">
        <v>813</v>
      </c>
      <c r="C363" s="62">
        <v>10</v>
      </c>
      <c r="D363" s="62">
        <v>13</v>
      </c>
      <c r="E363" s="62">
        <v>16</v>
      </c>
      <c r="F363" s="62">
        <v>16</v>
      </c>
      <c r="G363" s="62">
        <v>15</v>
      </c>
      <c r="H363" s="62">
        <v>29</v>
      </c>
      <c r="I363" s="62">
        <v>72</v>
      </c>
      <c r="J363" s="62">
        <v>44</v>
      </c>
      <c r="K363" s="62">
        <v>0</v>
      </c>
      <c r="L363" s="68">
        <v>215</v>
      </c>
    </row>
    <row r="364" spans="1:12" customFormat="1" ht="17.25" customHeight="1" x14ac:dyDescent="0.3">
      <c r="A364" s="60" t="s">
        <v>814</v>
      </c>
      <c r="B364" s="61" t="s">
        <v>815</v>
      </c>
      <c r="C364" s="62">
        <v>16</v>
      </c>
      <c r="D364" s="62">
        <v>13</v>
      </c>
      <c r="E364" s="62">
        <v>20</v>
      </c>
      <c r="F364" s="62">
        <v>36</v>
      </c>
      <c r="G364" s="62">
        <v>38</v>
      </c>
      <c r="H364" s="62">
        <v>60</v>
      </c>
      <c r="I364" s="62">
        <v>176</v>
      </c>
      <c r="J364" s="62">
        <v>116</v>
      </c>
      <c r="K364" s="62">
        <v>0</v>
      </c>
      <c r="L364" s="68">
        <v>475</v>
      </c>
    </row>
    <row r="365" spans="1:12" customFormat="1" ht="17.25" customHeight="1" x14ac:dyDescent="0.3">
      <c r="A365" s="60" t="s">
        <v>816</v>
      </c>
      <c r="B365" s="61" t="s">
        <v>817</v>
      </c>
      <c r="C365" s="62">
        <v>20</v>
      </c>
      <c r="D365" s="62">
        <v>29</v>
      </c>
      <c r="E365" s="62">
        <v>29</v>
      </c>
      <c r="F365" s="62">
        <v>29</v>
      </c>
      <c r="G365" s="62">
        <v>34</v>
      </c>
      <c r="H365" s="62">
        <v>85</v>
      </c>
      <c r="I365" s="62">
        <v>141</v>
      </c>
      <c r="J365" s="62">
        <v>98</v>
      </c>
      <c r="K365" s="62">
        <v>0</v>
      </c>
      <c r="L365" s="68">
        <v>465</v>
      </c>
    </row>
    <row r="366" spans="1:12" customFormat="1" ht="17.25" customHeight="1" x14ac:dyDescent="0.3">
      <c r="A366" s="60" t="s">
        <v>818</v>
      </c>
      <c r="B366" s="61" t="s">
        <v>819</v>
      </c>
      <c r="C366" s="62">
        <v>22</v>
      </c>
      <c r="D366" s="62">
        <v>15</v>
      </c>
      <c r="E366" s="62">
        <v>28</v>
      </c>
      <c r="F366" s="62">
        <v>38</v>
      </c>
      <c r="G366" s="62">
        <v>33</v>
      </c>
      <c r="H366" s="62">
        <v>73</v>
      </c>
      <c r="I366" s="62">
        <v>189</v>
      </c>
      <c r="J366" s="62">
        <v>128</v>
      </c>
      <c r="K366" s="62">
        <v>0</v>
      </c>
      <c r="L366" s="68">
        <v>526</v>
      </c>
    </row>
    <row r="367" spans="1:12" customFormat="1" ht="17.25" customHeight="1" x14ac:dyDescent="0.3">
      <c r="A367" s="60" t="s">
        <v>820</v>
      </c>
      <c r="B367" s="61" t="s">
        <v>821</v>
      </c>
      <c r="C367" s="62">
        <v>23</v>
      </c>
      <c r="D367" s="62">
        <v>28</v>
      </c>
      <c r="E367" s="62">
        <v>41</v>
      </c>
      <c r="F367" s="62">
        <v>71</v>
      </c>
      <c r="G367" s="62">
        <v>78</v>
      </c>
      <c r="H367" s="62">
        <v>134</v>
      </c>
      <c r="I367" s="62">
        <v>317</v>
      </c>
      <c r="J367" s="62">
        <v>257</v>
      </c>
      <c r="K367" s="62">
        <v>0</v>
      </c>
      <c r="L367" s="68">
        <v>949</v>
      </c>
    </row>
    <row r="368" spans="1:12" customFormat="1" ht="17.25" customHeight="1" x14ac:dyDescent="0.3">
      <c r="A368" s="60" t="s">
        <v>822</v>
      </c>
      <c r="B368" s="61" t="s">
        <v>823</v>
      </c>
      <c r="C368" s="62">
        <v>25</v>
      </c>
      <c r="D368" s="62">
        <v>23</v>
      </c>
      <c r="E368" s="62">
        <v>42</v>
      </c>
      <c r="F368" s="62">
        <v>50</v>
      </c>
      <c r="G368" s="62">
        <v>70</v>
      </c>
      <c r="H368" s="62">
        <v>141</v>
      </c>
      <c r="I368" s="62">
        <v>268</v>
      </c>
      <c r="J368" s="62">
        <v>187</v>
      </c>
      <c r="K368" s="62">
        <v>0</v>
      </c>
      <c r="L368" s="68">
        <v>806</v>
      </c>
    </row>
    <row r="369" spans="1:12" customFormat="1" ht="17.25" customHeight="1" x14ac:dyDescent="0.3">
      <c r="A369" s="60" t="s">
        <v>824</v>
      </c>
      <c r="B369" s="61" t="s">
        <v>825</v>
      </c>
      <c r="C369" s="62">
        <v>32</v>
      </c>
      <c r="D369" s="62">
        <v>35</v>
      </c>
      <c r="E369" s="62">
        <v>55</v>
      </c>
      <c r="F369" s="62">
        <v>46</v>
      </c>
      <c r="G369" s="62">
        <v>81</v>
      </c>
      <c r="H369" s="62">
        <v>157</v>
      </c>
      <c r="I369" s="62">
        <v>338</v>
      </c>
      <c r="J369" s="62">
        <v>250</v>
      </c>
      <c r="K369" s="62">
        <v>0</v>
      </c>
      <c r="L369" s="68">
        <v>994</v>
      </c>
    </row>
    <row r="370" spans="1:12" customFormat="1" ht="17.25" customHeight="1" x14ac:dyDescent="0.3">
      <c r="A370" s="60" t="s">
        <v>826</v>
      </c>
      <c r="B370" s="61" t="s">
        <v>827</v>
      </c>
      <c r="C370" s="62">
        <v>25</v>
      </c>
      <c r="D370" s="62">
        <v>28</v>
      </c>
      <c r="E370" s="62">
        <v>38</v>
      </c>
      <c r="F370" s="62">
        <v>50</v>
      </c>
      <c r="G370" s="62">
        <v>69</v>
      </c>
      <c r="H370" s="62">
        <v>137</v>
      </c>
      <c r="I370" s="62">
        <v>319</v>
      </c>
      <c r="J370" s="62">
        <v>222</v>
      </c>
      <c r="K370" s="62">
        <v>0</v>
      </c>
      <c r="L370" s="68">
        <v>888</v>
      </c>
    </row>
    <row r="371" spans="1:12" customFormat="1" ht="17.25" customHeight="1" x14ac:dyDescent="0.3">
      <c r="A371" s="60" t="s">
        <v>828</v>
      </c>
      <c r="B371" s="61" t="s">
        <v>829</v>
      </c>
      <c r="C371" s="62">
        <v>82</v>
      </c>
      <c r="D371" s="62">
        <v>67</v>
      </c>
      <c r="E371" s="62">
        <v>100</v>
      </c>
      <c r="F371" s="62">
        <v>118</v>
      </c>
      <c r="G371" s="62">
        <v>155</v>
      </c>
      <c r="H371" s="62">
        <v>256</v>
      </c>
      <c r="I371" s="62">
        <v>558</v>
      </c>
      <c r="J371" s="62">
        <v>383</v>
      </c>
      <c r="K371" s="62">
        <v>0</v>
      </c>
      <c r="L371" s="68">
        <v>1719</v>
      </c>
    </row>
    <row r="372" spans="1:12" customFormat="1" ht="17.25" customHeight="1" x14ac:dyDescent="0.3">
      <c r="A372" s="60" t="s">
        <v>830</v>
      </c>
      <c r="B372" s="61" t="s">
        <v>831</v>
      </c>
      <c r="C372" s="62">
        <v>54</v>
      </c>
      <c r="D372" s="62">
        <v>34</v>
      </c>
      <c r="E372" s="62">
        <v>62</v>
      </c>
      <c r="F372" s="62">
        <v>62</v>
      </c>
      <c r="G372" s="62">
        <v>94</v>
      </c>
      <c r="H372" s="62">
        <v>163</v>
      </c>
      <c r="I372" s="62">
        <v>374</v>
      </c>
      <c r="J372" s="62">
        <v>257</v>
      </c>
      <c r="K372" s="62">
        <v>0</v>
      </c>
      <c r="L372" s="68">
        <v>1100</v>
      </c>
    </row>
    <row r="373" spans="1:12" customFormat="1" ht="17.25" customHeight="1" x14ac:dyDescent="0.3">
      <c r="A373" s="60" t="s">
        <v>832</v>
      </c>
      <c r="B373" s="61" t="s">
        <v>833</v>
      </c>
      <c r="C373" s="62">
        <v>37</v>
      </c>
      <c r="D373" s="62">
        <v>21</v>
      </c>
      <c r="E373" s="62">
        <v>42</v>
      </c>
      <c r="F373" s="62">
        <v>66</v>
      </c>
      <c r="G373" s="62">
        <v>67</v>
      </c>
      <c r="H373" s="62">
        <v>140</v>
      </c>
      <c r="I373" s="62">
        <v>306</v>
      </c>
      <c r="J373" s="62">
        <v>231</v>
      </c>
      <c r="K373" s="62">
        <v>0</v>
      </c>
      <c r="L373" s="68">
        <v>910</v>
      </c>
    </row>
    <row r="374" spans="1:12" customFormat="1" ht="17.25" customHeight="1" x14ac:dyDescent="0.3">
      <c r="A374" s="60" t="s">
        <v>834</v>
      </c>
      <c r="B374" s="61" t="s">
        <v>835</v>
      </c>
      <c r="C374" s="62">
        <v>11</v>
      </c>
      <c r="D374" s="62">
        <v>11</v>
      </c>
      <c r="E374" s="62">
        <v>17</v>
      </c>
      <c r="F374" s="62">
        <v>18</v>
      </c>
      <c r="G374" s="62">
        <v>24</v>
      </c>
      <c r="H374" s="62">
        <v>34</v>
      </c>
      <c r="I374" s="62">
        <v>94</v>
      </c>
      <c r="J374" s="62">
        <v>43</v>
      </c>
      <c r="K374" s="62">
        <v>0</v>
      </c>
      <c r="L374" s="68">
        <v>252</v>
      </c>
    </row>
    <row r="375" spans="1:12" customFormat="1" ht="17.25" customHeight="1" x14ac:dyDescent="0.3">
      <c r="A375" s="60" t="s">
        <v>836</v>
      </c>
      <c r="B375" s="61" t="s">
        <v>837</v>
      </c>
      <c r="C375" s="62">
        <v>21</v>
      </c>
      <c r="D375" s="62">
        <v>25</v>
      </c>
      <c r="E375" s="62">
        <v>33</v>
      </c>
      <c r="F375" s="62">
        <v>59</v>
      </c>
      <c r="G375" s="62">
        <v>56</v>
      </c>
      <c r="H375" s="62">
        <v>92</v>
      </c>
      <c r="I375" s="62">
        <v>177</v>
      </c>
      <c r="J375" s="62">
        <v>156</v>
      </c>
      <c r="K375" s="62">
        <v>0</v>
      </c>
      <c r="L375" s="68">
        <v>619</v>
      </c>
    </row>
    <row r="376" spans="1:12" customFormat="1" ht="17.25" customHeight="1" x14ac:dyDescent="0.3">
      <c r="A376" s="60" t="s">
        <v>838</v>
      </c>
      <c r="B376" s="61" t="s">
        <v>839</v>
      </c>
      <c r="C376" s="62">
        <v>7</v>
      </c>
      <c r="D376" s="62">
        <v>7</v>
      </c>
      <c r="E376" s="62">
        <v>15</v>
      </c>
      <c r="F376" s="62">
        <v>16</v>
      </c>
      <c r="G376" s="62">
        <v>20</v>
      </c>
      <c r="H376" s="62">
        <v>42</v>
      </c>
      <c r="I376" s="62">
        <v>95</v>
      </c>
      <c r="J376" s="62">
        <v>96</v>
      </c>
      <c r="K376" s="62">
        <v>0</v>
      </c>
      <c r="L376" s="68">
        <v>298</v>
      </c>
    </row>
    <row r="377" spans="1:12" customFormat="1" ht="17.25" customHeight="1" x14ac:dyDescent="0.3">
      <c r="A377" s="60" t="s">
        <v>840</v>
      </c>
      <c r="B377" s="61" t="s">
        <v>841</v>
      </c>
      <c r="C377" s="62">
        <v>0</v>
      </c>
      <c r="D377" s="62">
        <v>2</v>
      </c>
      <c r="E377" s="62">
        <v>2</v>
      </c>
      <c r="F377" s="62">
        <v>2</v>
      </c>
      <c r="G377" s="62">
        <v>3</v>
      </c>
      <c r="H377" s="62">
        <v>1</v>
      </c>
      <c r="I377" s="62">
        <v>5</v>
      </c>
      <c r="J377" s="62">
        <v>4</v>
      </c>
      <c r="K377" s="62">
        <v>0</v>
      </c>
      <c r="L377" s="68">
        <v>19</v>
      </c>
    </row>
    <row r="378" spans="1:12" customFormat="1" ht="17.25" customHeight="1" x14ac:dyDescent="0.3">
      <c r="A378" s="60" t="s">
        <v>842</v>
      </c>
      <c r="B378" s="61" t="s">
        <v>843</v>
      </c>
      <c r="C378" s="62">
        <v>32</v>
      </c>
      <c r="D378" s="62">
        <v>12</v>
      </c>
      <c r="E378" s="62">
        <v>22</v>
      </c>
      <c r="F378" s="62">
        <v>27</v>
      </c>
      <c r="G378" s="62">
        <v>29</v>
      </c>
      <c r="H378" s="62">
        <v>63</v>
      </c>
      <c r="I378" s="62">
        <v>162</v>
      </c>
      <c r="J378" s="62">
        <v>99</v>
      </c>
      <c r="K378" s="62">
        <v>0</v>
      </c>
      <c r="L378" s="68">
        <v>446</v>
      </c>
    </row>
    <row r="379" spans="1:12" customFormat="1" ht="17.25" customHeight="1" x14ac:dyDescent="0.3">
      <c r="A379" s="60" t="s">
        <v>844</v>
      </c>
      <c r="B379" s="61" t="s">
        <v>845</v>
      </c>
      <c r="C379" s="62">
        <v>63</v>
      </c>
      <c r="D379" s="62">
        <v>41</v>
      </c>
      <c r="E379" s="62">
        <v>56</v>
      </c>
      <c r="F379" s="62">
        <v>76</v>
      </c>
      <c r="G379" s="62">
        <v>84</v>
      </c>
      <c r="H379" s="62">
        <v>159</v>
      </c>
      <c r="I379" s="62">
        <v>505</v>
      </c>
      <c r="J379" s="62">
        <v>313</v>
      </c>
      <c r="K379" s="62">
        <v>0</v>
      </c>
      <c r="L379" s="68">
        <v>1297</v>
      </c>
    </row>
    <row r="380" spans="1:12" customFormat="1" ht="17.25" customHeight="1" x14ac:dyDescent="0.3">
      <c r="A380" s="60" t="s">
        <v>846</v>
      </c>
      <c r="B380" s="61" t="s">
        <v>847</v>
      </c>
      <c r="C380" s="62">
        <v>29</v>
      </c>
      <c r="D380" s="62">
        <v>6</v>
      </c>
      <c r="E380" s="62">
        <v>7</v>
      </c>
      <c r="F380" s="62">
        <v>19</v>
      </c>
      <c r="G380" s="62">
        <v>13</v>
      </c>
      <c r="H380" s="62">
        <v>6</v>
      </c>
      <c r="I380" s="62">
        <v>61</v>
      </c>
      <c r="J380" s="62">
        <v>55</v>
      </c>
      <c r="K380" s="62">
        <v>0</v>
      </c>
      <c r="L380" s="68">
        <v>196</v>
      </c>
    </row>
    <row r="381" spans="1:12" customFormat="1" ht="17.25" customHeight="1" x14ac:dyDescent="0.3">
      <c r="A381" s="60" t="s">
        <v>848</v>
      </c>
      <c r="B381" s="61" t="s">
        <v>849</v>
      </c>
      <c r="C381" s="62">
        <v>55</v>
      </c>
      <c r="D381" s="62">
        <v>45</v>
      </c>
      <c r="E381" s="62">
        <v>67</v>
      </c>
      <c r="F381" s="62">
        <v>84</v>
      </c>
      <c r="G381" s="62">
        <v>104</v>
      </c>
      <c r="H381" s="62">
        <v>185</v>
      </c>
      <c r="I381" s="62">
        <v>443</v>
      </c>
      <c r="J381" s="62">
        <v>301</v>
      </c>
      <c r="K381" s="62">
        <v>0</v>
      </c>
      <c r="L381" s="68">
        <v>1284</v>
      </c>
    </row>
    <row r="382" spans="1:12" customFormat="1" ht="17.25" customHeight="1" x14ac:dyDescent="0.3">
      <c r="A382" s="60" t="s">
        <v>850</v>
      </c>
      <c r="B382" s="61" t="s">
        <v>851</v>
      </c>
      <c r="C382" s="62">
        <v>35</v>
      </c>
      <c r="D382" s="62">
        <v>27</v>
      </c>
      <c r="E382" s="62">
        <v>39</v>
      </c>
      <c r="F382" s="62">
        <v>51</v>
      </c>
      <c r="G382" s="62">
        <v>65</v>
      </c>
      <c r="H382" s="62">
        <v>120</v>
      </c>
      <c r="I382" s="62">
        <v>273</v>
      </c>
      <c r="J382" s="62">
        <v>224</v>
      </c>
      <c r="K382" s="62">
        <v>0</v>
      </c>
      <c r="L382" s="68">
        <v>834</v>
      </c>
    </row>
    <row r="383" spans="1:12" customFormat="1" ht="17.25" customHeight="1" x14ac:dyDescent="0.3">
      <c r="A383" s="60" t="s">
        <v>852</v>
      </c>
      <c r="B383" s="61" t="s">
        <v>853</v>
      </c>
      <c r="C383" s="62">
        <v>39</v>
      </c>
      <c r="D383" s="62">
        <v>25</v>
      </c>
      <c r="E383" s="62">
        <v>41</v>
      </c>
      <c r="F383" s="62">
        <v>64</v>
      </c>
      <c r="G383" s="62">
        <v>61</v>
      </c>
      <c r="H383" s="62">
        <v>106</v>
      </c>
      <c r="I383" s="62">
        <v>191</v>
      </c>
      <c r="J383" s="62">
        <v>122</v>
      </c>
      <c r="K383" s="62">
        <v>0</v>
      </c>
      <c r="L383" s="68">
        <v>649</v>
      </c>
    </row>
    <row r="384" spans="1:12" customFormat="1" ht="17.25" customHeight="1" x14ac:dyDescent="0.3">
      <c r="A384" s="60" t="s">
        <v>854</v>
      </c>
      <c r="B384" s="61" t="s">
        <v>855</v>
      </c>
      <c r="C384" s="62">
        <v>2</v>
      </c>
      <c r="D384" s="62">
        <v>1</v>
      </c>
      <c r="E384" s="62">
        <v>0</v>
      </c>
      <c r="F384" s="62">
        <v>3</v>
      </c>
      <c r="G384" s="62">
        <v>1</v>
      </c>
      <c r="H384" s="62">
        <v>0</v>
      </c>
      <c r="I384" s="62">
        <v>39</v>
      </c>
      <c r="J384" s="62">
        <v>16</v>
      </c>
      <c r="K384" s="62">
        <v>0</v>
      </c>
      <c r="L384" s="68">
        <v>62</v>
      </c>
    </row>
    <row r="385" spans="1:12" customFormat="1" ht="17.25" customHeight="1" x14ac:dyDescent="0.3">
      <c r="A385" s="60" t="s">
        <v>856</v>
      </c>
      <c r="B385" s="61" t="s">
        <v>857</v>
      </c>
      <c r="C385" s="62">
        <v>23</v>
      </c>
      <c r="D385" s="62">
        <v>25</v>
      </c>
      <c r="E385" s="62">
        <v>30</v>
      </c>
      <c r="F385" s="62">
        <v>46</v>
      </c>
      <c r="G385" s="62">
        <v>40</v>
      </c>
      <c r="H385" s="62">
        <v>91</v>
      </c>
      <c r="I385" s="62">
        <v>197</v>
      </c>
      <c r="J385" s="62">
        <v>127</v>
      </c>
      <c r="K385" s="62">
        <v>0</v>
      </c>
      <c r="L385" s="68">
        <v>579</v>
      </c>
    </row>
    <row r="386" spans="1:12" customFormat="1" ht="17.25" customHeight="1" x14ac:dyDescent="0.3">
      <c r="A386" s="60" t="s">
        <v>858</v>
      </c>
      <c r="B386" s="61" t="s">
        <v>859</v>
      </c>
      <c r="C386" s="62">
        <v>105</v>
      </c>
      <c r="D386" s="62">
        <v>77</v>
      </c>
      <c r="E386" s="62">
        <v>100</v>
      </c>
      <c r="F386" s="62">
        <v>99</v>
      </c>
      <c r="G386" s="62">
        <v>115</v>
      </c>
      <c r="H386" s="62">
        <v>267</v>
      </c>
      <c r="I386" s="62">
        <v>590</v>
      </c>
      <c r="J386" s="62">
        <v>457</v>
      </c>
      <c r="K386" s="62">
        <v>0</v>
      </c>
      <c r="L386" s="68">
        <v>1810</v>
      </c>
    </row>
    <row r="387" spans="1:12" customFormat="1" ht="17.25" customHeight="1" x14ac:dyDescent="0.3">
      <c r="A387" s="60" t="s">
        <v>860</v>
      </c>
      <c r="B387" s="61" t="s">
        <v>861</v>
      </c>
      <c r="C387" s="62">
        <v>37</v>
      </c>
      <c r="D387" s="62">
        <v>29</v>
      </c>
      <c r="E387" s="62">
        <v>52</v>
      </c>
      <c r="F387" s="62">
        <v>55</v>
      </c>
      <c r="G387" s="62">
        <v>73</v>
      </c>
      <c r="H387" s="62">
        <v>110</v>
      </c>
      <c r="I387" s="62">
        <v>252</v>
      </c>
      <c r="J387" s="62">
        <v>158</v>
      </c>
      <c r="K387" s="62">
        <v>0</v>
      </c>
      <c r="L387" s="68">
        <v>766</v>
      </c>
    </row>
    <row r="388" spans="1:12" customFormat="1" ht="17.25" customHeight="1" x14ac:dyDescent="0.3">
      <c r="A388" s="60" t="s">
        <v>862</v>
      </c>
      <c r="B388" s="61" t="s">
        <v>863</v>
      </c>
      <c r="C388" s="62">
        <v>14</v>
      </c>
      <c r="D388" s="62">
        <v>6</v>
      </c>
      <c r="E388" s="62">
        <v>11</v>
      </c>
      <c r="F388" s="62">
        <v>24</v>
      </c>
      <c r="G388" s="62">
        <v>9</v>
      </c>
      <c r="H388" s="62">
        <v>28</v>
      </c>
      <c r="I388" s="62">
        <v>66</v>
      </c>
      <c r="J388" s="62">
        <v>56</v>
      </c>
      <c r="K388" s="62">
        <v>0</v>
      </c>
      <c r="L388" s="68">
        <v>214</v>
      </c>
    </row>
    <row r="389" spans="1:12" customFormat="1" ht="17.25" customHeight="1" x14ac:dyDescent="0.3">
      <c r="A389" s="119" t="s">
        <v>864</v>
      </c>
      <c r="B389" s="64" t="s">
        <v>865</v>
      </c>
      <c r="C389" s="65">
        <v>39</v>
      </c>
      <c r="D389" s="65">
        <v>27</v>
      </c>
      <c r="E389" s="65">
        <v>45</v>
      </c>
      <c r="F389" s="65">
        <v>85</v>
      </c>
      <c r="G389" s="65">
        <v>83</v>
      </c>
      <c r="H389" s="65">
        <v>176</v>
      </c>
      <c r="I389" s="65">
        <v>432</v>
      </c>
      <c r="J389" s="65">
        <v>249</v>
      </c>
      <c r="K389" s="65">
        <v>0</v>
      </c>
      <c r="L389" s="67">
        <v>1136</v>
      </c>
    </row>
    <row r="390" spans="1:12" customFormat="1" ht="17.25" customHeight="1" x14ac:dyDescent="0.3">
      <c r="A390" s="54" t="s">
        <v>866</v>
      </c>
      <c r="B390" s="56" t="s">
        <v>867</v>
      </c>
      <c r="C390" s="55">
        <v>634</v>
      </c>
      <c r="D390" s="55">
        <v>427</v>
      </c>
      <c r="E390" s="55">
        <v>618</v>
      </c>
      <c r="F390" s="55">
        <v>661</v>
      </c>
      <c r="G390" s="55">
        <v>664</v>
      </c>
      <c r="H390" s="55">
        <v>1985</v>
      </c>
      <c r="I390" s="55">
        <v>4670</v>
      </c>
      <c r="J390" s="55">
        <v>2923</v>
      </c>
      <c r="K390" s="55">
        <v>0</v>
      </c>
      <c r="L390" s="71">
        <v>12582</v>
      </c>
    </row>
    <row r="391" spans="1:12" customFormat="1" ht="17.25" customHeight="1" x14ac:dyDescent="0.3">
      <c r="A391" s="60" t="s">
        <v>868</v>
      </c>
      <c r="B391" s="61" t="s">
        <v>869</v>
      </c>
      <c r="C391" s="62">
        <v>4</v>
      </c>
      <c r="D391" s="62">
        <v>4</v>
      </c>
      <c r="E391" s="62">
        <v>3</v>
      </c>
      <c r="F391" s="62">
        <v>11</v>
      </c>
      <c r="G391" s="62">
        <v>8</v>
      </c>
      <c r="H391" s="62">
        <v>10</v>
      </c>
      <c r="I391" s="62">
        <v>40</v>
      </c>
      <c r="J391" s="62">
        <v>22</v>
      </c>
      <c r="K391" s="62">
        <v>0</v>
      </c>
      <c r="L391" s="68">
        <v>102</v>
      </c>
    </row>
    <row r="392" spans="1:12" customFormat="1" ht="17.25" customHeight="1" x14ac:dyDescent="0.3">
      <c r="A392" s="60" t="s">
        <v>870</v>
      </c>
      <c r="B392" s="61" t="s">
        <v>871</v>
      </c>
      <c r="C392" s="62">
        <v>29</v>
      </c>
      <c r="D392" s="62">
        <v>20</v>
      </c>
      <c r="E392" s="62">
        <v>34</v>
      </c>
      <c r="F392" s="62">
        <v>29</v>
      </c>
      <c r="G392" s="62">
        <v>26</v>
      </c>
      <c r="H392" s="62">
        <v>96</v>
      </c>
      <c r="I392" s="62">
        <v>307</v>
      </c>
      <c r="J392" s="62">
        <v>182</v>
      </c>
      <c r="K392" s="62">
        <v>0</v>
      </c>
      <c r="L392" s="68">
        <v>723</v>
      </c>
    </row>
    <row r="393" spans="1:12" customFormat="1" ht="17.25" customHeight="1" x14ac:dyDescent="0.3">
      <c r="A393" s="60" t="s">
        <v>872</v>
      </c>
      <c r="B393" s="61" t="s">
        <v>873</v>
      </c>
      <c r="C393" s="62">
        <v>32</v>
      </c>
      <c r="D393" s="62">
        <v>14</v>
      </c>
      <c r="E393" s="62">
        <v>26</v>
      </c>
      <c r="F393" s="62">
        <v>24</v>
      </c>
      <c r="G393" s="62">
        <v>37</v>
      </c>
      <c r="H393" s="62">
        <v>74</v>
      </c>
      <c r="I393" s="62">
        <v>228</v>
      </c>
      <c r="J393" s="62">
        <v>125</v>
      </c>
      <c r="K393" s="62">
        <v>0</v>
      </c>
      <c r="L393" s="68">
        <v>560</v>
      </c>
    </row>
    <row r="394" spans="1:12" customFormat="1" ht="17.25" customHeight="1" x14ac:dyDescent="0.3">
      <c r="A394" s="60" t="s">
        <v>874</v>
      </c>
      <c r="B394" s="61" t="s">
        <v>875</v>
      </c>
      <c r="C394" s="62">
        <v>57</v>
      </c>
      <c r="D394" s="62">
        <v>55</v>
      </c>
      <c r="E394" s="62">
        <v>75</v>
      </c>
      <c r="F394" s="62">
        <v>72</v>
      </c>
      <c r="G394" s="62">
        <v>80</v>
      </c>
      <c r="H394" s="62">
        <v>315</v>
      </c>
      <c r="I394" s="62">
        <v>594</v>
      </c>
      <c r="J394" s="62">
        <v>362</v>
      </c>
      <c r="K394" s="62">
        <v>0</v>
      </c>
      <c r="L394" s="68">
        <v>1610</v>
      </c>
    </row>
    <row r="395" spans="1:12" customFormat="1" ht="17.25" customHeight="1" x14ac:dyDescent="0.3">
      <c r="A395" s="60" t="s">
        <v>876</v>
      </c>
      <c r="B395" s="61" t="s">
        <v>877</v>
      </c>
      <c r="C395" s="62">
        <v>48</v>
      </c>
      <c r="D395" s="62">
        <v>19</v>
      </c>
      <c r="E395" s="62">
        <v>40</v>
      </c>
      <c r="F395" s="62">
        <v>41</v>
      </c>
      <c r="G395" s="62">
        <v>39</v>
      </c>
      <c r="H395" s="62">
        <v>109</v>
      </c>
      <c r="I395" s="62">
        <v>247</v>
      </c>
      <c r="J395" s="62">
        <v>186</v>
      </c>
      <c r="K395" s="62">
        <v>0</v>
      </c>
      <c r="L395" s="68">
        <v>729</v>
      </c>
    </row>
    <row r="396" spans="1:12" customFormat="1" ht="17.25" customHeight="1" x14ac:dyDescent="0.3">
      <c r="A396" s="60" t="s">
        <v>878</v>
      </c>
      <c r="B396" s="61" t="s">
        <v>879</v>
      </c>
      <c r="C396" s="62">
        <v>2</v>
      </c>
      <c r="D396" s="62">
        <v>6</v>
      </c>
      <c r="E396" s="62">
        <v>8</v>
      </c>
      <c r="F396" s="62">
        <v>10</v>
      </c>
      <c r="G396" s="62">
        <v>10</v>
      </c>
      <c r="H396" s="62">
        <v>30</v>
      </c>
      <c r="I396" s="62">
        <v>67</v>
      </c>
      <c r="J396" s="62">
        <v>49</v>
      </c>
      <c r="K396" s="62">
        <v>0</v>
      </c>
      <c r="L396" s="68">
        <v>182</v>
      </c>
    </row>
    <row r="397" spans="1:12" customFormat="1" ht="17.25" customHeight="1" x14ac:dyDescent="0.3">
      <c r="A397" s="60" t="s">
        <v>880</v>
      </c>
      <c r="B397" s="61" t="s">
        <v>881</v>
      </c>
      <c r="C397" s="62">
        <v>26</v>
      </c>
      <c r="D397" s="62">
        <v>21</v>
      </c>
      <c r="E397" s="62">
        <v>23</v>
      </c>
      <c r="F397" s="62">
        <v>33</v>
      </c>
      <c r="G397" s="62">
        <v>26</v>
      </c>
      <c r="H397" s="62">
        <v>61</v>
      </c>
      <c r="I397" s="62">
        <v>188</v>
      </c>
      <c r="J397" s="62">
        <v>119</v>
      </c>
      <c r="K397" s="62">
        <v>0</v>
      </c>
      <c r="L397" s="68">
        <v>497</v>
      </c>
    </row>
    <row r="398" spans="1:12" customFormat="1" ht="17.25" customHeight="1" x14ac:dyDescent="0.3">
      <c r="A398" s="60" t="s">
        <v>882</v>
      </c>
      <c r="B398" s="61" t="s">
        <v>883</v>
      </c>
      <c r="C398" s="62">
        <v>23</v>
      </c>
      <c r="D398" s="62">
        <v>16</v>
      </c>
      <c r="E398" s="62">
        <v>10</v>
      </c>
      <c r="F398" s="62">
        <v>28</v>
      </c>
      <c r="G398" s="62">
        <v>21</v>
      </c>
      <c r="H398" s="62">
        <v>45</v>
      </c>
      <c r="I398" s="62">
        <v>141</v>
      </c>
      <c r="J398" s="62">
        <v>91</v>
      </c>
      <c r="K398" s="62">
        <v>0</v>
      </c>
      <c r="L398" s="68">
        <v>375</v>
      </c>
    </row>
    <row r="399" spans="1:12" customFormat="1" ht="17.25" customHeight="1" x14ac:dyDescent="0.3">
      <c r="A399" s="60" t="s">
        <v>884</v>
      </c>
      <c r="B399" s="61" t="s">
        <v>885</v>
      </c>
      <c r="C399" s="62">
        <v>49</v>
      </c>
      <c r="D399" s="62">
        <v>15</v>
      </c>
      <c r="E399" s="62">
        <v>39</v>
      </c>
      <c r="F399" s="62">
        <v>48</v>
      </c>
      <c r="G399" s="62">
        <v>36</v>
      </c>
      <c r="H399" s="62">
        <v>132</v>
      </c>
      <c r="I399" s="62">
        <v>320</v>
      </c>
      <c r="J399" s="62">
        <v>243</v>
      </c>
      <c r="K399" s="62">
        <v>0</v>
      </c>
      <c r="L399" s="68">
        <v>882</v>
      </c>
    </row>
    <row r="400" spans="1:12" customFormat="1" ht="17.25" customHeight="1" x14ac:dyDescent="0.3">
      <c r="A400" s="60" t="s">
        <v>886</v>
      </c>
      <c r="B400" s="61" t="s">
        <v>887</v>
      </c>
      <c r="C400" s="62">
        <v>14</v>
      </c>
      <c r="D400" s="62">
        <v>14</v>
      </c>
      <c r="E400" s="62">
        <v>20</v>
      </c>
      <c r="F400" s="62">
        <v>24</v>
      </c>
      <c r="G400" s="62">
        <v>16</v>
      </c>
      <c r="H400" s="62">
        <v>55</v>
      </c>
      <c r="I400" s="62">
        <v>105</v>
      </c>
      <c r="J400" s="62">
        <v>70</v>
      </c>
      <c r="K400" s="62">
        <v>0</v>
      </c>
      <c r="L400" s="68">
        <v>318</v>
      </c>
    </row>
    <row r="401" spans="1:12" customFormat="1" ht="17.25" customHeight="1" x14ac:dyDescent="0.3">
      <c r="A401" s="60" t="s">
        <v>888</v>
      </c>
      <c r="B401" s="61" t="s">
        <v>889</v>
      </c>
      <c r="C401" s="62">
        <v>26</v>
      </c>
      <c r="D401" s="62">
        <v>10</v>
      </c>
      <c r="E401" s="62">
        <v>12</v>
      </c>
      <c r="F401" s="62">
        <v>11</v>
      </c>
      <c r="G401" s="62">
        <v>10</v>
      </c>
      <c r="H401" s="62">
        <v>39</v>
      </c>
      <c r="I401" s="62">
        <v>101</v>
      </c>
      <c r="J401" s="62">
        <v>65</v>
      </c>
      <c r="K401" s="62">
        <v>0</v>
      </c>
      <c r="L401" s="68">
        <v>274</v>
      </c>
    </row>
    <row r="402" spans="1:12" customFormat="1" ht="17.25" customHeight="1" x14ac:dyDescent="0.3">
      <c r="A402" s="60" t="s">
        <v>890</v>
      </c>
      <c r="B402" s="61" t="s">
        <v>891</v>
      </c>
      <c r="C402" s="62">
        <v>7</v>
      </c>
      <c r="D402" s="62">
        <v>3</v>
      </c>
      <c r="E402" s="62">
        <v>7</v>
      </c>
      <c r="F402" s="62">
        <v>7</v>
      </c>
      <c r="G402" s="62">
        <v>5</v>
      </c>
      <c r="H402" s="62">
        <v>15</v>
      </c>
      <c r="I402" s="62">
        <v>53</v>
      </c>
      <c r="J402" s="62">
        <v>27</v>
      </c>
      <c r="K402" s="62">
        <v>0</v>
      </c>
      <c r="L402" s="68">
        <v>124</v>
      </c>
    </row>
    <row r="403" spans="1:12" customFormat="1" ht="17.25" customHeight="1" x14ac:dyDescent="0.3">
      <c r="A403" s="60" t="s">
        <v>892</v>
      </c>
      <c r="B403" s="61" t="s">
        <v>893</v>
      </c>
      <c r="C403" s="62">
        <v>30</v>
      </c>
      <c r="D403" s="62">
        <v>32</v>
      </c>
      <c r="E403" s="62">
        <v>52</v>
      </c>
      <c r="F403" s="62">
        <v>45</v>
      </c>
      <c r="G403" s="62">
        <v>63</v>
      </c>
      <c r="H403" s="62">
        <v>135</v>
      </c>
      <c r="I403" s="62">
        <v>238</v>
      </c>
      <c r="J403" s="62">
        <v>139</v>
      </c>
      <c r="K403" s="62">
        <v>0</v>
      </c>
      <c r="L403" s="68">
        <v>734</v>
      </c>
    </row>
    <row r="404" spans="1:12" customFormat="1" ht="17.25" customHeight="1" x14ac:dyDescent="0.3">
      <c r="A404" s="60" t="s">
        <v>894</v>
      </c>
      <c r="B404" s="61" t="s">
        <v>895</v>
      </c>
      <c r="C404" s="62">
        <v>30</v>
      </c>
      <c r="D404" s="62">
        <v>19</v>
      </c>
      <c r="E404" s="62">
        <v>13</v>
      </c>
      <c r="F404" s="62">
        <v>16</v>
      </c>
      <c r="G404" s="62">
        <v>15</v>
      </c>
      <c r="H404" s="62">
        <v>75</v>
      </c>
      <c r="I404" s="62">
        <v>206</v>
      </c>
      <c r="J404" s="62">
        <v>127</v>
      </c>
      <c r="K404" s="62">
        <v>0</v>
      </c>
      <c r="L404" s="68">
        <v>501</v>
      </c>
    </row>
    <row r="405" spans="1:12" customFormat="1" ht="17.25" customHeight="1" x14ac:dyDescent="0.3">
      <c r="A405" s="60" t="s">
        <v>896</v>
      </c>
      <c r="B405" s="61" t="s">
        <v>897</v>
      </c>
      <c r="C405" s="62">
        <v>38</v>
      </c>
      <c r="D405" s="62">
        <v>27</v>
      </c>
      <c r="E405" s="62">
        <v>29</v>
      </c>
      <c r="F405" s="62">
        <v>39</v>
      </c>
      <c r="G405" s="62">
        <v>55</v>
      </c>
      <c r="H405" s="62">
        <v>111</v>
      </c>
      <c r="I405" s="62">
        <v>254</v>
      </c>
      <c r="J405" s="62">
        <v>170</v>
      </c>
      <c r="K405" s="62">
        <v>0</v>
      </c>
      <c r="L405" s="68">
        <v>723</v>
      </c>
    </row>
    <row r="406" spans="1:12" customFormat="1" ht="17.25" customHeight="1" x14ac:dyDescent="0.3">
      <c r="A406" s="60" t="s">
        <v>898</v>
      </c>
      <c r="B406" s="61" t="s">
        <v>899</v>
      </c>
      <c r="C406" s="62">
        <v>18</v>
      </c>
      <c r="D406" s="62">
        <v>11</v>
      </c>
      <c r="E406" s="62">
        <v>19</v>
      </c>
      <c r="F406" s="62">
        <v>22</v>
      </c>
      <c r="G406" s="62">
        <v>21</v>
      </c>
      <c r="H406" s="62">
        <v>54</v>
      </c>
      <c r="I406" s="62">
        <v>121</v>
      </c>
      <c r="J406" s="62">
        <v>66</v>
      </c>
      <c r="K406" s="62">
        <v>0</v>
      </c>
      <c r="L406" s="68">
        <v>332</v>
      </c>
    </row>
    <row r="407" spans="1:12" customFormat="1" ht="17.25" customHeight="1" x14ac:dyDescent="0.3">
      <c r="A407" s="60" t="s">
        <v>900</v>
      </c>
      <c r="B407" s="61" t="s">
        <v>901</v>
      </c>
      <c r="C407" s="62">
        <v>20</v>
      </c>
      <c r="D407" s="62">
        <v>16</v>
      </c>
      <c r="E407" s="62">
        <v>34</v>
      </c>
      <c r="F407" s="62">
        <v>33</v>
      </c>
      <c r="G407" s="62">
        <v>45</v>
      </c>
      <c r="H407" s="62">
        <v>80</v>
      </c>
      <c r="I407" s="62">
        <v>140</v>
      </c>
      <c r="J407" s="62">
        <v>101</v>
      </c>
      <c r="K407" s="62">
        <v>0</v>
      </c>
      <c r="L407" s="68">
        <v>469</v>
      </c>
    </row>
    <row r="408" spans="1:12" customFormat="1" ht="17.25" customHeight="1" x14ac:dyDescent="0.3">
      <c r="A408" s="60" t="s">
        <v>902</v>
      </c>
      <c r="B408" s="61" t="s">
        <v>903</v>
      </c>
      <c r="C408" s="62">
        <v>32</v>
      </c>
      <c r="D408" s="62">
        <v>27</v>
      </c>
      <c r="E408" s="62">
        <v>29</v>
      </c>
      <c r="F408" s="62">
        <v>31</v>
      </c>
      <c r="G408" s="62">
        <v>30</v>
      </c>
      <c r="H408" s="62">
        <v>99</v>
      </c>
      <c r="I408" s="62">
        <v>310</v>
      </c>
      <c r="J408" s="62">
        <v>157</v>
      </c>
      <c r="K408" s="62">
        <v>0</v>
      </c>
      <c r="L408" s="68">
        <v>715</v>
      </c>
    </row>
    <row r="409" spans="1:12" customFormat="1" ht="17.25" customHeight="1" x14ac:dyDescent="0.3">
      <c r="A409" s="60" t="s">
        <v>904</v>
      </c>
      <c r="B409" s="61" t="s">
        <v>905</v>
      </c>
      <c r="C409" s="62">
        <v>67</v>
      </c>
      <c r="D409" s="62">
        <v>30</v>
      </c>
      <c r="E409" s="62">
        <v>40</v>
      </c>
      <c r="F409" s="62">
        <v>54</v>
      </c>
      <c r="G409" s="62">
        <v>44</v>
      </c>
      <c r="H409" s="62">
        <v>181</v>
      </c>
      <c r="I409" s="62">
        <v>377</v>
      </c>
      <c r="J409" s="62">
        <v>234</v>
      </c>
      <c r="K409" s="62">
        <v>0</v>
      </c>
      <c r="L409" s="68">
        <v>1027</v>
      </c>
    </row>
    <row r="410" spans="1:12" customFormat="1" ht="17.25" customHeight="1" x14ac:dyDescent="0.3">
      <c r="A410" s="60" t="s">
        <v>906</v>
      </c>
      <c r="B410" s="61" t="s">
        <v>907</v>
      </c>
      <c r="C410" s="62">
        <v>18</v>
      </c>
      <c r="D410" s="62">
        <v>11</v>
      </c>
      <c r="E410" s="62">
        <v>11</v>
      </c>
      <c r="F410" s="62">
        <v>15</v>
      </c>
      <c r="G410" s="62">
        <v>9</v>
      </c>
      <c r="H410" s="62">
        <v>52</v>
      </c>
      <c r="I410" s="62">
        <v>116</v>
      </c>
      <c r="J410" s="62">
        <v>70</v>
      </c>
      <c r="K410" s="62">
        <v>0</v>
      </c>
      <c r="L410" s="68">
        <v>302</v>
      </c>
    </row>
    <row r="411" spans="1:12" customFormat="1" ht="17.25" customHeight="1" x14ac:dyDescent="0.3">
      <c r="A411" s="60" t="s">
        <v>908</v>
      </c>
      <c r="B411" s="61" t="s">
        <v>909</v>
      </c>
      <c r="C411" s="62">
        <v>41</v>
      </c>
      <c r="D411" s="62">
        <v>40</v>
      </c>
      <c r="E411" s="62">
        <v>60</v>
      </c>
      <c r="F411" s="62">
        <v>36</v>
      </c>
      <c r="G411" s="62">
        <v>48</v>
      </c>
      <c r="H411" s="62">
        <v>159</v>
      </c>
      <c r="I411" s="62">
        <v>307</v>
      </c>
      <c r="J411" s="62">
        <v>194</v>
      </c>
      <c r="K411" s="62">
        <v>0</v>
      </c>
      <c r="L411" s="68">
        <v>885</v>
      </c>
    </row>
    <row r="412" spans="1:12" customFormat="1" ht="17.25" customHeight="1" x14ac:dyDescent="0.3">
      <c r="A412" s="119" t="s">
        <v>910</v>
      </c>
      <c r="B412" s="64" t="s">
        <v>911</v>
      </c>
      <c r="C412" s="65">
        <v>23</v>
      </c>
      <c r="D412" s="65">
        <v>17</v>
      </c>
      <c r="E412" s="65">
        <v>34</v>
      </c>
      <c r="F412" s="65">
        <v>32</v>
      </c>
      <c r="G412" s="65">
        <v>20</v>
      </c>
      <c r="H412" s="65">
        <v>58</v>
      </c>
      <c r="I412" s="65">
        <v>210</v>
      </c>
      <c r="J412" s="65">
        <v>124</v>
      </c>
      <c r="K412" s="65">
        <v>0</v>
      </c>
      <c r="L412" s="67">
        <v>518</v>
      </c>
    </row>
    <row r="413" spans="1:12" customFormat="1" ht="17.25" customHeight="1" x14ac:dyDescent="0.3">
      <c r="A413" s="54" t="s">
        <v>912</v>
      </c>
      <c r="B413" s="56" t="s">
        <v>913</v>
      </c>
      <c r="C413" s="55">
        <v>415</v>
      </c>
      <c r="D413" s="55">
        <v>260</v>
      </c>
      <c r="E413" s="55">
        <v>403</v>
      </c>
      <c r="F413" s="55">
        <v>397</v>
      </c>
      <c r="G413" s="55">
        <v>350</v>
      </c>
      <c r="H413" s="55">
        <v>812</v>
      </c>
      <c r="I413" s="55">
        <v>1897</v>
      </c>
      <c r="J413" s="55">
        <v>1300</v>
      </c>
      <c r="K413" s="55">
        <v>0</v>
      </c>
      <c r="L413" s="71">
        <v>5834</v>
      </c>
    </row>
    <row r="414" spans="1:12" customFormat="1" ht="17.25" customHeight="1" x14ac:dyDescent="0.3">
      <c r="A414" s="60" t="s">
        <v>914</v>
      </c>
      <c r="B414" s="61" t="s">
        <v>915</v>
      </c>
      <c r="C414" s="62">
        <v>60</v>
      </c>
      <c r="D414" s="62">
        <v>28</v>
      </c>
      <c r="E414" s="62">
        <v>57</v>
      </c>
      <c r="F414" s="62">
        <v>45</v>
      </c>
      <c r="G414" s="62">
        <v>34</v>
      </c>
      <c r="H414" s="62">
        <v>96</v>
      </c>
      <c r="I414" s="62">
        <v>188</v>
      </c>
      <c r="J414" s="62">
        <v>137</v>
      </c>
      <c r="K414" s="62">
        <v>0</v>
      </c>
      <c r="L414" s="68">
        <v>645</v>
      </c>
    </row>
    <row r="415" spans="1:12" customFormat="1" ht="17.25" customHeight="1" x14ac:dyDescent="0.3">
      <c r="A415" s="60" t="s">
        <v>916</v>
      </c>
      <c r="B415" s="61" t="s">
        <v>917</v>
      </c>
      <c r="C415" s="62">
        <v>51</v>
      </c>
      <c r="D415" s="62">
        <v>31</v>
      </c>
      <c r="E415" s="62">
        <v>58</v>
      </c>
      <c r="F415" s="62">
        <v>50</v>
      </c>
      <c r="G415" s="62">
        <v>52</v>
      </c>
      <c r="H415" s="62">
        <v>130</v>
      </c>
      <c r="I415" s="62">
        <v>275</v>
      </c>
      <c r="J415" s="62">
        <v>185</v>
      </c>
      <c r="K415" s="62">
        <v>0</v>
      </c>
      <c r="L415" s="68">
        <v>832</v>
      </c>
    </row>
    <row r="416" spans="1:12" customFormat="1" ht="17.25" customHeight="1" x14ac:dyDescent="0.3">
      <c r="A416" s="60" t="s">
        <v>918</v>
      </c>
      <c r="B416" s="61" t="s">
        <v>919</v>
      </c>
      <c r="C416" s="62">
        <v>55</v>
      </c>
      <c r="D416" s="62">
        <v>33</v>
      </c>
      <c r="E416" s="62">
        <v>56</v>
      </c>
      <c r="F416" s="62">
        <v>51</v>
      </c>
      <c r="G416" s="62">
        <v>44</v>
      </c>
      <c r="H416" s="62">
        <v>65</v>
      </c>
      <c r="I416" s="62">
        <v>213</v>
      </c>
      <c r="J416" s="62">
        <v>139</v>
      </c>
      <c r="K416" s="62">
        <v>0</v>
      </c>
      <c r="L416" s="68">
        <v>656</v>
      </c>
    </row>
    <row r="417" spans="1:12" customFormat="1" ht="17.25" customHeight="1" x14ac:dyDescent="0.3">
      <c r="A417" s="60" t="s">
        <v>920</v>
      </c>
      <c r="B417" s="61" t="s">
        <v>921</v>
      </c>
      <c r="C417" s="62">
        <v>45</v>
      </c>
      <c r="D417" s="62">
        <v>37</v>
      </c>
      <c r="E417" s="62">
        <v>61</v>
      </c>
      <c r="F417" s="62">
        <v>63</v>
      </c>
      <c r="G417" s="62">
        <v>58</v>
      </c>
      <c r="H417" s="62">
        <v>162</v>
      </c>
      <c r="I417" s="62">
        <v>330</v>
      </c>
      <c r="J417" s="62">
        <v>206</v>
      </c>
      <c r="K417" s="62">
        <v>0</v>
      </c>
      <c r="L417" s="68">
        <v>962</v>
      </c>
    </row>
    <row r="418" spans="1:12" customFormat="1" ht="17.25" customHeight="1" x14ac:dyDescent="0.3">
      <c r="A418" s="60" t="s">
        <v>922</v>
      </c>
      <c r="B418" s="61" t="s">
        <v>923</v>
      </c>
      <c r="C418" s="62">
        <v>27</v>
      </c>
      <c r="D418" s="62">
        <v>14</v>
      </c>
      <c r="E418" s="62">
        <v>29</v>
      </c>
      <c r="F418" s="62">
        <v>23</v>
      </c>
      <c r="G418" s="62">
        <v>24</v>
      </c>
      <c r="H418" s="62">
        <v>44</v>
      </c>
      <c r="I418" s="62">
        <v>137</v>
      </c>
      <c r="J418" s="62">
        <v>101</v>
      </c>
      <c r="K418" s="62">
        <v>0</v>
      </c>
      <c r="L418" s="68">
        <v>399</v>
      </c>
    </row>
    <row r="419" spans="1:12" customFormat="1" ht="17.25" customHeight="1" x14ac:dyDescent="0.3">
      <c r="A419" s="60" t="s">
        <v>924</v>
      </c>
      <c r="B419" s="61" t="s">
        <v>925</v>
      </c>
      <c r="C419" s="62">
        <v>22</v>
      </c>
      <c r="D419" s="62">
        <v>8</v>
      </c>
      <c r="E419" s="62">
        <v>20</v>
      </c>
      <c r="F419" s="62">
        <v>15</v>
      </c>
      <c r="G419" s="62">
        <v>20</v>
      </c>
      <c r="H419" s="62">
        <v>18</v>
      </c>
      <c r="I419" s="62">
        <v>72</v>
      </c>
      <c r="J419" s="62">
        <v>38</v>
      </c>
      <c r="K419" s="62">
        <v>0</v>
      </c>
      <c r="L419" s="68">
        <v>213</v>
      </c>
    </row>
    <row r="420" spans="1:12" customFormat="1" ht="17.25" customHeight="1" x14ac:dyDescent="0.3">
      <c r="A420" s="60" t="s">
        <v>926</v>
      </c>
      <c r="B420" s="61" t="s">
        <v>927</v>
      </c>
      <c r="C420" s="62">
        <v>14</v>
      </c>
      <c r="D420" s="62">
        <v>7</v>
      </c>
      <c r="E420" s="62">
        <v>4</v>
      </c>
      <c r="F420" s="62">
        <v>12</v>
      </c>
      <c r="G420" s="62">
        <v>9</v>
      </c>
      <c r="H420" s="62">
        <v>22</v>
      </c>
      <c r="I420" s="62">
        <v>49</v>
      </c>
      <c r="J420" s="62">
        <v>48</v>
      </c>
      <c r="K420" s="62">
        <v>0</v>
      </c>
      <c r="L420" s="68">
        <v>165</v>
      </c>
    </row>
    <row r="421" spans="1:12" customFormat="1" ht="17.25" customHeight="1" x14ac:dyDescent="0.3">
      <c r="A421" s="60" t="s">
        <v>928</v>
      </c>
      <c r="B421" s="61" t="s">
        <v>929</v>
      </c>
      <c r="C421" s="62">
        <v>43</v>
      </c>
      <c r="D421" s="62">
        <v>37</v>
      </c>
      <c r="E421" s="62">
        <v>51</v>
      </c>
      <c r="F421" s="62">
        <v>57</v>
      </c>
      <c r="G421" s="62">
        <v>41</v>
      </c>
      <c r="H421" s="62">
        <v>132</v>
      </c>
      <c r="I421" s="62">
        <v>284</v>
      </c>
      <c r="J421" s="62">
        <v>183</v>
      </c>
      <c r="K421" s="62">
        <v>0</v>
      </c>
      <c r="L421" s="68">
        <v>828</v>
      </c>
    </row>
    <row r="422" spans="1:12" customFormat="1" ht="17.25" customHeight="1" x14ac:dyDescent="0.3">
      <c r="A422" s="60" t="s">
        <v>930</v>
      </c>
      <c r="B422" s="61" t="s">
        <v>931</v>
      </c>
      <c r="C422" s="62">
        <v>48</v>
      </c>
      <c r="D422" s="62">
        <v>25</v>
      </c>
      <c r="E422" s="62">
        <v>36</v>
      </c>
      <c r="F422" s="62">
        <v>36</v>
      </c>
      <c r="G422" s="62">
        <v>30</v>
      </c>
      <c r="H422" s="62">
        <v>50</v>
      </c>
      <c r="I422" s="62">
        <v>119</v>
      </c>
      <c r="J422" s="62">
        <v>106</v>
      </c>
      <c r="K422" s="62">
        <v>0</v>
      </c>
      <c r="L422" s="68">
        <v>450</v>
      </c>
    </row>
    <row r="423" spans="1:12" customFormat="1" ht="17.25" customHeight="1" x14ac:dyDescent="0.3">
      <c r="A423" s="60" t="s">
        <v>932</v>
      </c>
      <c r="B423" s="61" t="s">
        <v>933</v>
      </c>
      <c r="C423" s="62">
        <v>24</v>
      </c>
      <c r="D423" s="62">
        <v>17</v>
      </c>
      <c r="E423" s="62">
        <v>10</v>
      </c>
      <c r="F423" s="62">
        <v>18</v>
      </c>
      <c r="G423" s="62">
        <v>10</v>
      </c>
      <c r="H423" s="62">
        <v>43</v>
      </c>
      <c r="I423" s="62">
        <v>67</v>
      </c>
      <c r="J423" s="62">
        <v>57</v>
      </c>
      <c r="K423" s="62">
        <v>0</v>
      </c>
      <c r="L423" s="68">
        <v>246</v>
      </c>
    </row>
    <row r="424" spans="1:12" customFormat="1" ht="17.25" customHeight="1" x14ac:dyDescent="0.3">
      <c r="A424" s="119" t="s">
        <v>934</v>
      </c>
      <c r="B424" s="64" t="s">
        <v>935</v>
      </c>
      <c r="C424" s="65">
        <v>26</v>
      </c>
      <c r="D424" s="65">
        <v>23</v>
      </c>
      <c r="E424" s="65">
        <v>21</v>
      </c>
      <c r="F424" s="65">
        <v>27</v>
      </c>
      <c r="G424" s="65">
        <v>28</v>
      </c>
      <c r="H424" s="65">
        <v>50</v>
      </c>
      <c r="I424" s="65">
        <v>163</v>
      </c>
      <c r="J424" s="62">
        <v>100</v>
      </c>
      <c r="K424" s="62">
        <v>0</v>
      </c>
      <c r="L424" s="67">
        <v>438</v>
      </c>
    </row>
    <row r="425" spans="1:12" customFormat="1" ht="17.25" customHeight="1" x14ac:dyDescent="0.3">
      <c r="A425" s="122" t="s">
        <v>1158</v>
      </c>
      <c r="B425" s="123" t="s">
        <v>1158</v>
      </c>
      <c r="C425" s="124">
        <v>26</v>
      </c>
      <c r="D425" s="124">
        <v>11</v>
      </c>
      <c r="E425" s="124">
        <v>26</v>
      </c>
      <c r="F425" s="124">
        <v>91</v>
      </c>
      <c r="G425" s="124">
        <v>376</v>
      </c>
      <c r="H425" s="124">
        <v>769</v>
      </c>
      <c r="I425" s="124">
        <v>1076</v>
      </c>
      <c r="J425" s="124">
        <v>930</v>
      </c>
      <c r="K425" s="124">
        <v>31</v>
      </c>
      <c r="L425" s="125">
        <v>3336</v>
      </c>
    </row>
    <row r="426" spans="1:12" customFormat="1" ht="17.25" customHeight="1" x14ac:dyDescent="0.3">
      <c r="A426" s="116"/>
      <c r="B426" s="36"/>
      <c r="C426" s="118"/>
      <c r="D426" s="118"/>
      <c r="E426" s="118"/>
      <c r="F426" s="118"/>
      <c r="G426" s="118"/>
      <c r="H426" s="118"/>
      <c r="I426" s="118"/>
      <c r="J426" s="118"/>
      <c r="K426" s="118"/>
      <c r="L426" s="36"/>
    </row>
    <row r="427" spans="1:12" customFormat="1" ht="17.25" customHeight="1" x14ac:dyDescent="0.3">
      <c r="A427" s="111"/>
      <c r="B427" s="36"/>
      <c r="C427" s="118"/>
      <c r="D427" s="118"/>
      <c r="E427" s="118"/>
      <c r="F427" s="118"/>
      <c r="G427" s="118"/>
      <c r="H427" s="118"/>
      <c r="I427" s="118"/>
      <c r="J427" s="118"/>
      <c r="K427" s="118"/>
      <c r="L427" s="36"/>
    </row>
    <row r="428" spans="1:12" customFormat="1" ht="17.25" customHeight="1" x14ac:dyDescent="0.3">
      <c r="A428" s="111"/>
      <c r="B428" s="36"/>
      <c r="C428" s="118"/>
      <c r="D428" s="118"/>
      <c r="E428" s="118"/>
      <c r="F428" s="118"/>
      <c r="G428" s="118"/>
      <c r="H428" s="118"/>
      <c r="I428" s="118"/>
      <c r="J428" s="118"/>
      <c r="K428" s="118"/>
      <c r="L428" s="36"/>
    </row>
    <row r="429" spans="1:12" customFormat="1" ht="17.25" customHeight="1" x14ac:dyDescent="0.3">
      <c r="A429" s="111"/>
      <c r="B429" s="36"/>
      <c r="C429" s="118"/>
      <c r="D429" s="118"/>
      <c r="E429" s="118"/>
      <c r="F429" s="118"/>
      <c r="G429" s="118"/>
      <c r="H429" s="118"/>
      <c r="I429" s="118"/>
      <c r="J429" s="118"/>
      <c r="K429" s="118"/>
      <c r="L429" s="36"/>
    </row>
    <row r="431" spans="1:12" customFormat="1" ht="17.25" customHeight="1" x14ac:dyDescent="0.3">
      <c r="A431" s="111"/>
      <c r="B431" s="36"/>
      <c r="C431" s="118"/>
      <c r="D431" s="118"/>
      <c r="E431" s="118"/>
      <c r="F431" s="118"/>
      <c r="G431" s="118"/>
      <c r="H431" s="118"/>
      <c r="I431" s="118"/>
      <c r="J431" s="118"/>
      <c r="K431" s="118"/>
      <c r="L431" s="36"/>
    </row>
    <row r="432" spans="1:12" customFormat="1" ht="17.25" customHeight="1" x14ac:dyDescent="0.3">
      <c r="A432" s="111"/>
      <c r="B432" s="36"/>
      <c r="C432" s="118"/>
      <c r="D432" s="118"/>
      <c r="E432" s="118"/>
      <c r="F432" s="118"/>
      <c r="G432" s="118"/>
      <c r="H432" s="118"/>
      <c r="I432" s="118"/>
      <c r="J432" s="118"/>
      <c r="K432" s="118"/>
      <c r="L432" s="36"/>
    </row>
    <row r="433" spans="1:12" customFormat="1" ht="17.25" customHeight="1" x14ac:dyDescent="0.3">
      <c r="A433" s="111"/>
      <c r="B433" s="36"/>
      <c r="C433" s="118"/>
      <c r="D433" s="118"/>
      <c r="E433" s="118"/>
      <c r="F433" s="118"/>
      <c r="G433" s="118"/>
      <c r="H433" s="118"/>
      <c r="I433" s="118"/>
      <c r="J433" s="118"/>
      <c r="K433" s="118"/>
      <c r="L433" s="36"/>
    </row>
    <row r="436" spans="1:12" customFormat="1" ht="17.25" customHeight="1" x14ac:dyDescent="0.3">
      <c r="A436" s="126"/>
      <c r="B436" s="36"/>
      <c r="C436" s="118"/>
      <c r="D436" s="118"/>
      <c r="E436" s="118"/>
      <c r="F436" s="118"/>
      <c r="G436" s="118"/>
      <c r="H436" s="118"/>
      <c r="I436" s="118"/>
      <c r="J436" s="118"/>
      <c r="K436" s="118"/>
      <c r="L436" s="36"/>
    </row>
    <row r="437" spans="1:12" customFormat="1" ht="17.25" customHeight="1" x14ac:dyDescent="0.3">
      <c r="A437" s="126"/>
      <c r="B437" s="36"/>
      <c r="C437" s="118"/>
      <c r="D437" s="118"/>
      <c r="E437" s="118"/>
      <c r="F437" s="118"/>
      <c r="G437" s="118"/>
      <c r="H437" s="118"/>
      <c r="I437" s="118"/>
      <c r="J437" s="118"/>
      <c r="K437" s="118"/>
      <c r="L437" s="36"/>
    </row>
    <row r="438" spans="1:12" customFormat="1" ht="17.25" customHeight="1" x14ac:dyDescent="0.3">
      <c r="A438" s="126"/>
      <c r="B438" s="36"/>
      <c r="C438" s="118"/>
      <c r="D438" s="118"/>
      <c r="E438" s="118"/>
      <c r="F438" s="118"/>
      <c r="G438" s="118"/>
      <c r="H438" s="118"/>
      <c r="I438" s="118"/>
      <c r="J438" s="118"/>
      <c r="K438" s="118"/>
      <c r="L438" s="36"/>
    </row>
    <row r="439" spans="1:12" customFormat="1" ht="17.25" customHeight="1" x14ac:dyDescent="0.3">
      <c r="A439" s="126"/>
      <c r="B439" s="36"/>
      <c r="C439" s="118"/>
      <c r="D439" s="118"/>
      <c r="E439" s="118"/>
      <c r="F439" s="118"/>
      <c r="G439" s="118"/>
      <c r="H439" s="118"/>
      <c r="I439" s="118"/>
      <c r="J439" s="118"/>
      <c r="K439" s="118"/>
      <c r="L439"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C2A7-34DF-4AFC-9E03-A988E2834267}">
  <dimension ref="A1:W3123"/>
  <sheetViews>
    <sheetView workbookViewId="0"/>
  </sheetViews>
  <sheetFormatPr defaultColWidth="8.44140625" defaultRowHeight="14.4" x14ac:dyDescent="0.3"/>
  <cols>
    <col min="1" max="1" width="17.33203125" customWidth="1"/>
    <col min="2" max="2" width="23.33203125" style="135" customWidth="1"/>
    <col min="3" max="4" width="8.44140625" customWidth="1"/>
    <col min="5" max="5" width="9" customWidth="1"/>
    <col min="6" max="6" width="11.77734375" customWidth="1"/>
    <col min="7" max="7" width="10.88671875" customWidth="1"/>
    <col min="8" max="8" width="8.44140625" customWidth="1"/>
  </cols>
  <sheetData>
    <row r="1" spans="1:7" ht="19.2" x14ac:dyDescent="0.35">
      <c r="A1" s="28" t="s">
        <v>1159</v>
      </c>
      <c r="B1" s="29"/>
    </row>
    <row r="2" spans="1:7" ht="15.6" x14ac:dyDescent="0.3">
      <c r="A2" s="30" t="s">
        <v>62</v>
      </c>
      <c r="B2" s="127"/>
    </row>
    <row r="3" spans="1:7" ht="27.75" customHeight="1" thickBot="1" x14ac:dyDescent="0.35">
      <c r="A3" s="128" t="s">
        <v>1160</v>
      </c>
      <c r="B3" s="53" t="s">
        <v>1161</v>
      </c>
    </row>
    <row r="4" spans="1:7" ht="17.25" customHeight="1" x14ac:dyDescent="0.3">
      <c r="A4" s="129" t="s">
        <v>1162</v>
      </c>
      <c r="B4" s="130" t="s">
        <v>1163</v>
      </c>
    </row>
    <row r="5" spans="1:7" x14ac:dyDescent="0.3">
      <c r="A5" s="131" t="s">
        <v>1164</v>
      </c>
      <c r="B5" s="130">
        <v>43</v>
      </c>
    </row>
    <row r="6" spans="1:7" x14ac:dyDescent="0.3">
      <c r="A6" s="131" t="s">
        <v>1165</v>
      </c>
      <c r="B6" s="130">
        <v>16</v>
      </c>
      <c r="C6" s="31"/>
      <c r="D6" s="31"/>
      <c r="E6" s="31"/>
      <c r="F6" s="31"/>
      <c r="G6" s="31"/>
    </row>
    <row r="7" spans="1:7" x14ac:dyDescent="0.3">
      <c r="A7" s="131" t="s">
        <v>1166</v>
      </c>
      <c r="B7" s="130">
        <v>173</v>
      </c>
      <c r="C7" s="31"/>
      <c r="D7" s="31"/>
      <c r="E7" s="31"/>
      <c r="F7" s="31"/>
      <c r="G7" s="31"/>
    </row>
    <row r="8" spans="1:7" x14ac:dyDescent="0.3">
      <c r="A8" s="131" t="s">
        <v>1167</v>
      </c>
      <c r="B8" s="130">
        <v>44</v>
      </c>
      <c r="C8" s="31"/>
      <c r="D8" s="31"/>
      <c r="E8" s="31"/>
      <c r="F8" s="31"/>
      <c r="G8" s="31"/>
    </row>
    <row r="9" spans="1:7" x14ac:dyDescent="0.3">
      <c r="A9" s="131" t="s">
        <v>1168</v>
      </c>
      <c r="B9" s="130">
        <v>30</v>
      </c>
      <c r="C9" s="31"/>
      <c r="D9" s="31"/>
      <c r="E9" s="31"/>
      <c r="F9" s="31"/>
      <c r="G9" s="31"/>
    </row>
    <row r="10" spans="1:7" x14ac:dyDescent="0.3">
      <c r="A10" s="131" t="s">
        <v>1169</v>
      </c>
      <c r="B10" s="130">
        <v>400</v>
      </c>
      <c r="C10" s="31"/>
      <c r="D10" s="31"/>
      <c r="E10" s="31"/>
      <c r="F10" s="31"/>
      <c r="G10" s="31"/>
    </row>
    <row r="11" spans="1:7" x14ac:dyDescent="0.3">
      <c r="A11" s="131" t="s">
        <v>1170</v>
      </c>
      <c r="B11" s="130">
        <v>23</v>
      </c>
      <c r="C11" s="31"/>
      <c r="D11" s="31"/>
      <c r="E11" s="31"/>
      <c r="F11" s="31"/>
      <c r="G11" s="31"/>
    </row>
    <row r="12" spans="1:7" x14ac:dyDescent="0.3">
      <c r="A12" s="131" t="s">
        <v>1171</v>
      </c>
      <c r="B12" s="130">
        <v>0</v>
      </c>
      <c r="C12" s="31"/>
      <c r="D12" s="31"/>
      <c r="E12" s="31"/>
      <c r="F12" s="31"/>
      <c r="G12" s="31"/>
    </row>
    <row r="13" spans="1:7" x14ac:dyDescent="0.3">
      <c r="A13" s="131" t="s">
        <v>1172</v>
      </c>
      <c r="B13" s="130">
        <v>148</v>
      </c>
      <c r="C13" s="31"/>
      <c r="D13" s="31"/>
      <c r="E13" s="31"/>
      <c r="F13" s="31"/>
      <c r="G13" s="31"/>
    </row>
    <row r="14" spans="1:7" x14ac:dyDescent="0.3">
      <c r="A14" s="131" t="s">
        <v>1173</v>
      </c>
      <c r="B14" s="130">
        <v>60</v>
      </c>
      <c r="C14" s="31"/>
      <c r="D14" s="31"/>
      <c r="E14" s="31"/>
      <c r="F14" s="31"/>
      <c r="G14" s="31"/>
    </row>
    <row r="15" spans="1:7" x14ac:dyDescent="0.3">
      <c r="A15" s="131" t="s">
        <v>1174</v>
      </c>
      <c r="B15" s="130">
        <v>81</v>
      </c>
      <c r="C15" s="31"/>
      <c r="D15" s="31"/>
      <c r="E15" s="31"/>
      <c r="F15" s="31"/>
      <c r="G15" s="31"/>
    </row>
    <row r="16" spans="1:7" x14ac:dyDescent="0.3">
      <c r="A16" s="131" t="s">
        <v>1175</v>
      </c>
      <c r="B16" s="130">
        <v>23</v>
      </c>
      <c r="C16" s="31"/>
      <c r="D16" s="31"/>
      <c r="E16" s="31"/>
      <c r="F16" s="31"/>
      <c r="G16" s="31"/>
    </row>
    <row r="17" spans="1:7" x14ac:dyDescent="0.3">
      <c r="A17" s="131" t="s">
        <v>1176</v>
      </c>
      <c r="B17" s="130">
        <v>26</v>
      </c>
      <c r="C17" s="31"/>
      <c r="D17" s="31"/>
      <c r="E17" s="31"/>
      <c r="F17" s="31"/>
      <c r="G17" s="31"/>
    </row>
    <row r="18" spans="1:7" x14ac:dyDescent="0.3">
      <c r="A18" s="131" t="s">
        <v>1177</v>
      </c>
      <c r="B18" s="130" t="s">
        <v>1163</v>
      </c>
      <c r="C18" s="31"/>
      <c r="D18" s="31"/>
      <c r="E18" s="31"/>
      <c r="F18" s="31"/>
      <c r="G18" s="31"/>
    </row>
    <row r="19" spans="1:7" x14ac:dyDescent="0.3">
      <c r="A19" s="131" t="s">
        <v>1178</v>
      </c>
      <c r="B19" s="130">
        <v>61</v>
      </c>
      <c r="C19" s="31"/>
      <c r="D19" s="31"/>
      <c r="E19" s="31"/>
      <c r="F19" s="31"/>
      <c r="G19" s="31"/>
    </row>
    <row r="20" spans="1:7" x14ac:dyDescent="0.3">
      <c r="A20" s="131" t="s">
        <v>1179</v>
      </c>
      <c r="B20" s="130">
        <v>182</v>
      </c>
      <c r="C20" s="31"/>
      <c r="D20" s="31"/>
      <c r="E20" s="31"/>
      <c r="F20" s="31"/>
      <c r="G20" s="31"/>
    </row>
    <row r="21" spans="1:7" x14ac:dyDescent="0.3">
      <c r="A21" s="131" t="s">
        <v>1180</v>
      </c>
      <c r="B21" s="130">
        <v>141</v>
      </c>
      <c r="C21" s="31"/>
      <c r="D21" s="31"/>
      <c r="E21" s="31"/>
      <c r="F21" s="31"/>
      <c r="G21" s="31"/>
    </row>
    <row r="22" spans="1:7" x14ac:dyDescent="0.3">
      <c r="A22" s="131" t="s">
        <v>1181</v>
      </c>
      <c r="B22" s="130">
        <v>45</v>
      </c>
      <c r="C22" s="31"/>
      <c r="D22" s="31"/>
      <c r="E22" s="31"/>
      <c r="F22" s="31"/>
      <c r="G22" s="31"/>
    </row>
    <row r="23" spans="1:7" x14ac:dyDescent="0.3">
      <c r="A23" s="131" t="s">
        <v>1182</v>
      </c>
      <c r="B23" s="130">
        <v>41</v>
      </c>
      <c r="C23" s="31"/>
      <c r="D23" s="31"/>
      <c r="E23" s="31"/>
      <c r="F23" s="31"/>
      <c r="G23" s="31"/>
    </row>
    <row r="24" spans="1:7" x14ac:dyDescent="0.3">
      <c r="A24" s="131" t="s">
        <v>1183</v>
      </c>
      <c r="B24" s="130">
        <v>17</v>
      </c>
      <c r="C24" s="31"/>
      <c r="D24" s="31"/>
      <c r="E24" s="31"/>
      <c r="F24" s="31"/>
      <c r="G24" s="31"/>
    </row>
    <row r="25" spans="1:7" x14ac:dyDescent="0.3">
      <c r="A25" s="131" t="s">
        <v>1184</v>
      </c>
      <c r="B25" s="130">
        <v>0</v>
      </c>
      <c r="C25" s="31"/>
      <c r="D25" s="31"/>
      <c r="E25" s="31"/>
      <c r="F25" s="31"/>
      <c r="G25" s="31"/>
    </row>
    <row r="26" spans="1:7" x14ac:dyDescent="0.3">
      <c r="A26" s="131" t="s">
        <v>1185</v>
      </c>
      <c r="B26" s="130">
        <v>11</v>
      </c>
      <c r="C26" s="31"/>
      <c r="D26" s="31"/>
      <c r="E26" s="31"/>
      <c r="F26" s="31"/>
      <c r="G26" s="31"/>
    </row>
    <row r="27" spans="1:7" x14ac:dyDescent="0.3">
      <c r="A27" s="131" t="s">
        <v>1186</v>
      </c>
      <c r="B27" s="130">
        <v>25</v>
      </c>
      <c r="C27" s="31"/>
      <c r="D27" s="31"/>
      <c r="E27" s="31"/>
      <c r="F27" s="31"/>
      <c r="G27" s="31"/>
    </row>
    <row r="28" spans="1:7" x14ac:dyDescent="0.3">
      <c r="A28" s="131" t="s">
        <v>1187</v>
      </c>
      <c r="B28" s="130">
        <v>175</v>
      </c>
      <c r="C28" s="31"/>
      <c r="D28" s="31"/>
      <c r="E28" s="31"/>
      <c r="F28" s="31"/>
      <c r="G28" s="31"/>
    </row>
    <row r="29" spans="1:7" x14ac:dyDescent="0.3">
      <c r="A29" s="131" t="s">
        <v>1188</v>
      </c>
      <c r="B29" s="130" t="s">
        <v>1163</v>
      </c>
      <c r="C29" s="31"/>
      <c r="D29" s="31"/>
      <c r="E29" s="31"/>
      <c r="F29" s="31"/>
      <c r="G29" s="31"/>
    </row>
    <row r="30" spans="1:7" x14ac:dyDescent="0.3">
      <c r="A30" s="131" t="s">
        <v>1189</v>
      </c>
      <c r="B30" s="130">
        <v>195</v>
      </c>
      <c r="C30" s="31"/>
      <c r="D30" s="31"/>
      <c r="E30" s="31"/>
      <c r="F30" s="31"/>
      <c r="G30" s="31"/>
    </row>
    <row r="31" spans="1:7" x14ac:dyDescent="0.3">
      <c r="A31" s="131" t="s">
        <v>1190</v>
      </c>
      <c r="B31" s="130">
        <v>160</v>
      </c>
      <c r="C31" s="31"/>
      <c r="D31" s="31"/>
      <c r="E31" s="31"/>
      <c r="F31" s="31"/>
      <c r="G31" s="31"/>
    </row>
    <row r="32" spans="1:7" x14ac:dyDescent="0.3">
      <c r="A32" s="131" t="s">
        <v>1191</v>
      </c>
      <c r="B32" s="130">
        <v>86</v>
      </c>
      <c r="C32" s="31"/>
      <c r="D32" s="31"/>
      <c r="E32" s="31"/>
      <c r="F32" s="31"/>
      <c r="G32" s="31"/>
    </row>
    <row r="33" spans="1:7" x14ac:dyDescent="0.3">
      <c r="A33" s="131" t="s">
        <v>1192</v>
      </c>
      <c r="B33" s="130" t="s">
        <v>1163</v>
      </c>
      <c r="C33" s="31"/>
      <c r="D33" s="31"/>
      <c r="E33" s="31"/>
      <c r="F33" s="31"/>
      <c r="G33" s="31"/>
    </row>
    <row r="34" spans="1:7" x14ac:dyDescent="0.3">
      <c r="A34" s="131" t="s">
        <v>1193</v>
      </c>
      <c r="B34" s="130">
        <v>34</v>
      </c>
      <c r="C34" s="31"/>
      <c r="D34" s="31"/>
      <c r="E34" s="31"/>
      <c r="F34" s="31"/>
      <c r="G34" s="31"/>
    </row>
    <row r="35" spans="1:7" x14ac:dyDescent="0.3">
      <c r="A35" s="131" t="s">
        <v>1194</v>
      </c>
      <c r="B35" s="130">
        <v>0</v>
      </c>
      <c r="C35" s="31"/>
      <c r="D35" s="31"/>
      <c r="E35" s="31"/>
      <c r="F35" s="31"/>
      <c r="G35" s="31"/>
    </row>
    <row r="36" spans="1:7" x14ac:dyDescent="0.3">
      <c r="A36" s="131" t="s">
        <v>1195</v>
      </c>
      <c r="B36" s="130">
        <v>262</v>
      </c>
      <c r="C36" s="31"/>
      <c r="D36" s="31"/>
      <c r="E36" s="31"/>
      <c r="F36" s="31"/>
      <c r="G36" s="31"/>
    </row>
    <row r="37" spans="1:7" x14ac:dyDescent="0.3">
      <c r="A37" s="131" t="s">
        <v>1196</v>
      </c>
      <c r="B37" s="130">
        <v>60</v>
      </c>
      <c r="C37" s="31"/>
      <c r="D37" s="31"/>
      <c r="E37" s="31"/>
      <c r="F37" s="31"/>
      <c r="G37" s="31"/>
    </row>
    <row r="38" spans="1:7" x14ac:dyDescent="0.3">
      <c r="A38" s="131" t="s">
        <v>1197</v>
      </c>
      <c r="B38" s="130">
        <v>57</v>
      </c>
      <c r="C38" s="31"/>
      <c r="D38" s="31"/>
      <c r="E38" s="31"/>
      <c r="F38" s="31"/>
      <c r="G38" s="31"/>
    </row>
    <row r="39" spans="1:7" x14ac:dyDescent="0.3">
      <c r="A39" s="131" t="s">
        <v>1198</v>
      </c>
      <c r="B39" s="130">
        <v>53</v>
      </c>
      <c r="C39" s="31"/>
      <c r="D39" s="31"/>
      <c r="E39" s="31"/>
      <c r="F39" s="31"/>
      <c r="G39" s="31"/>
    </row>
    <row r="40" spans="1:7" x14ac:dyDescent="0.3">
      <c r="A40" s="131" t="s">
        <v>1199</v>
      </c>
      <c r="B40" s="130">
        <v>24</v>
      </c>
      <c r="C40" s="31"/>
      <c r="D40" s="31"/>
      <c r="E40" s="31"/>
      <c r="F40" s="31"/>
      <c r="G40" s="31"/>
    </row>
    <row r="41" spans="1:7" x14ac:dyDescent="0.3">
      <c r="A41" s="131" t="s">
        <v>1200</v>
      </c>
      <c r="B41" s="130">
        <v>35</v>
      </c>
      <c r="C41" s="31"/>
      <c r="D41" s="31"/>
      <c r="E41" s="31"/>
      <c r="F41" s="31"/>
      <c r="G41" s="31"/>
    </row>
    <row r="42" spans="1:7" x14ac:dyDescent="0.3">
      <c r="A42" s="131" t="s">
        <v>1201</v>
      </c>
      <c r="B42" s="130" t="s">
        <v>1163</v>
      </c>
      <c r="C42" s="31"/>
      <c r="D42" s="31"/>
      <c r="E42" s="31"/>
      <c r="F42" s="31"/>
      <c r="G42" s="31"/>
    </row>
    <row r="43" spans="1:7" x14ac:dyDescent="0.3">
      <c r="A43" s="131" t="s">
        <v>1202</v>
      </c>
      <c r="B43" s="130">
        <v>0</v>
      </c>
      <c r="C43" s="31"/>
      <c r="D43" s="31"/>
      <c r="E43" s="31"/>
      <c r="F43" s="31"/>
      <c r="G43" s="31"/>
    </row>
    <row r="44" spans="1:7" x14ac:dyDescent="0.3">
      <c r="A44" s="131" t="s">
        <v>1203</v>
      </c>
      <c r="B44" s="130">
        <v>292</v>
      </c>
      <c r="C44" s="31"/>
      <c r="D44" s="31"/>
      <c r="E44" s="31"/>
      <c r="F44" s="31"/>
      <c r="G44" s="31"/>
    </row>
    <row r="45" spans="1:7" x14ac:dyDescent="0.3">
      <c r="A45" s="131" t="s">
        <v>1204</v>
      </c>
      <c r="B45" s="130">
        <v>94</v>
      </c>
      <c r="C45" s="31"/>
      <c r="D45" s="31"/>
      <c r="E45" s="31"/>
      <c r="F45" s="31"/>
      <c r="G45" s="31"/>
    </row>
    <row r="46" spans="1:7" x14ac:dyDescent="0.3">
      <c r="A46" s="131" t="s">
        <v>1205</v>
      </c>
      <c r="B46" s="130">
        <v>279</v>
      </c>
      <c r="C46" s="31"/>
      <c r="D46" s="31"/>
      <c r="E46" s="31"/>
      <c r="F46" s="31"/>
      <c r="G46" s="31"/>
    </row>
    <row r="47" spans="1:7" x14ac:dyDescent="0.3">
      <c r="A47" s="131" t="s">
        <v>1206</v>
      </c>
      <c r="B47" s="130">
        <v>324</v>
      </c>
      <c r="C47" s="31"/>
      <c r="D47" s="31"/>
      <c r="E47" s="31"/>
      <c r="F47" s="31"/>
      <c r="G47" s="31"/>
    </row>
    <row r="48" spans="1:7" x14ac:dyDescent="0.3">
      <c r="A48" s="131" t="s">
        <v>1207</v>
      </c>
      <c r="B48" s="130">
        <v>382</v>
      </c>
      <c r="C48" s="31"/>
      <c r="D48" s="31"/>
      <c r="E48" s="31"/>
      <c r="F48" s="31"/>
      <c r="G48" s="31"/>
    </row>
    <row r="49" spans="1:7" x14ac:dyDescent="0.3">
      <c r="A49" s="131" t="s">
        <v>1208</v>
      </c>
      <c r="B49" s="130">
        <v>535</v>
      </c>
      <c r="C49" s="31"/>
      <c r="D49" s="31"/>
      <c r="E49" s="31"/>
      <c r="F49" s="31"/>
      <c r="G49" s="31"/>
    </row>
    <row r="50" spans="1:7" x14ac:dyDescent="0.3">
      <c r="A50" s="131" t="s">
        <v>1209</v>
      </c>
      <c r="B50" s="130">
        <v>226</v>
      </c>
      <c r="C50" s="31"/>
      <c r="D50" s="31"/>
      <c r="E50" s="31"/>
      <c r="F50" s="31"/>
      <c r="G50" s="31"/>
    </row>
    <row r="51" spans="1:7" x14ac:dyDescent="0.3">
      <c r="A51" s="131" t="s">
        <v>1210</v>
      </c>
      <c r="B51" s="130">
        <v>166</v>
      </c>
      <c r="C51" s="31"/>
      <c r="D51" s="31"/>
      <c r="E51" s="31"/>
      <c r="F51" s="31"/>
      <c r="G51" s="31"/>
    </row>
    <row r="52" spans="1:7" x14ac:dyDescent="0.3">
      <c r="A52" s="131" t="s">
        <v>1211</v>
      </c>
      <c r="B52" s="130">
        <v>135</v>
      </c>
      <c r="C52" s="31"/>
      <c r="D52" s="31"/>
      <c r="E52" s="31"/>
      <c r="F52" s="31"/>
      <c r="G52" s="31"/>
    </row>
    <row r="53" spans="1:7" x14ac:dyDescent="0.3">
      <c r="A53" s="131" t="s">
        <v>1212</v>
      </c>
      <c r="B53" s="130">
        <v>138</v>
      </c>
      <c r="C53" s="31"/>
      <c r="D53" s="31"/>
      <c r="E53" s="31"/>
      <c r="F53" s="31"/>
      <c r="G53" s="31"/>
    </row>
    <row r="54" spans="1:7" x14ac:dyDescent="0.3">
      <c r="A54" s="131" t="s">
        <v>1213</v>
      </c>
      <c r="B54" s="130" t="s">
        <v>1163</v>
      </c>
      <c r="C54" s="31"/>
      <c r="D54" s="31"/>
      <c r="E54" s="31"/>
      <c r="F54" s="31"/>
      <c r="G54" s="31"/>
    </row>
    <row r="55" spans="1:7" x14ac:dyDescent="0.3">
      <c r="A55" s="131" t="s">
        <v>1214</v>
      </c>
      <c r="B55" s="130" t="s">
        <v>1163</v>
      </c>
      <c r="C55" s="31"/>
      <c r="D55" s="31"/>
      <c r="E55" s="31"/>
      <c r="F55" s="31"/>
      <c r="G55" s="31"/>
    </row>
    <row r="56" spans="1:7" x14ac:dyDescent="0.3">
      <c r="A56" s="131" t="s">
        <v>1215</v>
      </c>
      <c r="B56" s="130">
        <v>23</v>
      </c>
      <c r="C56" s="31"/>
      <c r="D56" s="31"/>
      <c r="E56" s="31"/>
      <c r="F56" s="31"/>
      <c r="G56" s="31"/>
    </row>
    <row r="57" spans="1:7" x14ac:dyDescent="0.3">
      <c r="A57" s="131" t="s">
        <v>1216</v>
      </c>
      <c r="B57" s="130" t="s">
        <v>1163</v>
      </c>
      <c r="C57" s="31"/>
      <c r="D57" s="31"/>
      <c r="E57" s="31"/>
      <c r="F57" s="31"/>
      <c r="G57" s="31"/>
    </row>
    <row r="58" spans="1:7" x14ac:dyDescent="0.3">
      <c r="A58" s="131" t="s">
        <v>1217</v>
      </c>
      <c r="B58" s="130">
        <v>189</v>
      </c>
      <c r="C58" s="31"/>
      <c r="D58" s="31"/>
      <c r="E58" s="31"/>
      <c r="F58" s="31"/>
      <c r="G58" s="31"/>
    </row>
    <row r="59" spans="1:7" x14ac:dyDescent="0.3">
      <c r="A59" s="131" t="s">
        <v>1218</v>
      </c>
      <c r="B59" s="130">
        <v>121</v>
      </c>
      <c r="C59" s="31"/>
      <c r="D59" s="31"/>
      <c r="E59" s="31"/>
      <c r="F59" s="31"/>
      <c r="G59" s="31"/>
    </row>
    <row r="60" spans="1:7" x14ac:dyDescent="0.3">
      <c r="A60" s="131" t="s">
        <v>1219</v>
      </c>
      <c r="B60" s="130">
        <v>112</v>
      </c>
      <c r="C60" s="31"/>
      <c r="D60" s="31"/>
      <c r="E60" s="31"/>
      <c r="F60" s="31"/>
      <c r="G60" s="31"/>
    </row>
    <row r="61" spans="1:7" x14ac:dyDescent="0.3">
      <c r="A61" s="131" t="s">
        <v>1220</v>
      </c>
      <c r="B61" s="130">
        <v>66</v>
      </c>
      <c r="C61" s="31"/>
      <c r="D61" s="31"/>
      <c r="E61" s="31"/>
      <c r="F61" s="31"/>
      <c r="G61" s="31"/>
    </row>
    <row r="62" spans="1:7" x14ac:dyDescent="0.3">
      <c r="A62" s="131" t="s">
        <v>1221</v>
      </c>
      <c r="B62" s="130">
        <v>216</v>
      </c>
      <c r="C62" s="31"/>
      <c r="D62" s="31"/>
      <c r="E62" s="31"/>
      <c r="F62" s="31"/>
      <c r="G62" s="31"/>
    </row>
    <row r="63" spans="1:7" x14ac:dyDescent="0.3">
      <c r="A63" s="131" t="s">
        <v>1222</v>
      </c>
      <c r="B63" s="130" t="s">
        <v>1163</v>
      </c>
      <c r="C63" s="31"/>
      <c r="D63" s="31"/>
      <c r="E63" s="31"/>
      <c r="F63" s="31"/>
      <c r="G63" s="31"/>
    </row>
    <row r="64" spans="1:7" x14ac:dyDescent="0.3">
      <c r="A64" s="131" t="s">
        <v>1223</v>
      </c>
      <c r="B64" s="130" t="s">
        <v>1163</v>
      </c>
      <c r="C64" s="31"/>
      <c r="D64" s="31"/>
      <c r="E64" s="31"/>
      <c r="F64" s="31"/>
      <c r="G64" s="31"/>
    </row>
    <row r="65" spans="1:7" x14ac:dyDescent="0.3">
      <c r="A65" s="131" t="s">
        <v>1224</v>
      </c>
      <c r="B65" s="130" t="s">
        <v>1163</v>
      </c>
      <c r="C65" s="31"/>
      <c r="D65" s="31"/>
      <c r="E65" s="31"/>
      <c r="F65" s="31"/>
      <c r="G65" s="31"/>
    </row>
    <row r="66" spans="1:7" x14ac:dyDescent="0.3">
      <c r="A66" s="131" t="s">
        <v>1225</v>
      </c>
      <c r="B66" s="130">
        <v>72</v>
      </c>
      <c r="C66" s="31"/>
      <c r="D66" s="31"/>
      <c r="E66" s="31"/>
      <c r="F66" s="31"/>
      <c r="G66" s="31"/>
    </row>
    <row r="67" spans="1:7" x14ac:dyDescent="0.3">
      <c r="A67" s="131" t="s">
        <v>1226</v>
      </c>
      <c r="B67" s="130">
        <v>15</v>
      </c>
      <c r="C67" s="31"/>
      <c r="D67" s="31"/>
      <c r="E67" s="31"/>
      <c r="F67" s="31"/>
      <c r="G67" s="31"/>
    </row>
    <row r="68" spans="1:7" x14ac:dyDescent="0.3">
      <c r="A68" s="131" t="s">
        <v>1227</v>
      </c>
      <c r="B68" s="130">
        <v>0</v>
      </c>
      <c r="C68" s="31"/>
      <c r="D68" s="31"/>
      <c r="E68" s="31"/>
      <c r="F68" s="31"/>
      <c r="G68" s="31"/>
    </row>
    <row r="69" spans="1:7" x14ac:dyDescent="0.3">
      <c r="A69" s="131" t="s">
        <v>1228</v>
      </c>
      <c r="B69" s="130">
        <v>72</v>
      </c>
      <c r="C69" s="31"/>
      <c r="D69" s="31"/>
      <c r="E69" s="31"/>
      <c r="F69" s="31"/>
      <c r="G69" s="31"/>
    </row>
    <row r="70" spans="1:7" x14ac:dyDescent="0.3">
      <c r="A70" s="131" t="s">
        <v>1229</v>
      </c>
      <c r="B70" s="130">
        <v>76</v>
      </c>
      <c r="C70" s="31"/>
      <c r="D70" s="31"/>
      <c r="E70" s="31"/>
      <c r="F70" s="31"/>
      <c r="G70" s="31"/>
    </row>
    <row r="71" spans="1:7" x14ac:dyDescent="0.3">
      <c r="A71" s="131" t="s">
        <v>1230</v>
      </c>
      <c r="B71" s="130">
        <v>19</v>
      </c>
      <c r="C71" s="31"/>
      <c r="D71" s="31"/>
      <c r="E71" s="31"/>
      <c r="F71" s="31"/>
      <c r="G71" s="31"/>
    </row>
    <row r="72" spans="1:7" x14ac:dyDescent="0.3">
      <c r="A72" s="131" t="s">
        <v>1231</v>
      </c>
      <c r="B72" s="130">
        <v>75</v>
      </c>
      <c r="C72" s="31"/>
      <c r="D72" s="31"/>
      <c r="E72" s="31"/>
      <c r="F72" s="31"/>
      <c r="G72" s="31"/>
    </row>
    <row r="73" spans="1:7" x14ac:dyDescent="0.3">
      <c r="A73" s="131" t="s">
        <v>1232</v>
      </c>
      <c r="B73" s="130">
        <v>43</v>
      </c>
      <c r="C73" s="31"/>
      <c r="D73" s="31"/>
      <c r="E73" s="31"/>
      <c r="F73" s="31"/>
      <c r="G73" s="31"/>
    </row>
    <row r="74" spans="1:7" x14ac:dyDescent="0.3">
      <c r="A74" s="131" t="s">
        <v>1233</v>
      </c>
      <c r="B74" s="130">
        <v>133</v>
      </c>
      <c r="C74" s="31"/>
      <c r="D74" s="31"/>
      <c r="E74" s="31"/>
      <c r="F74" s="31"/>
      <c r="G74" s="31"/>
    </row>
    <row r="75" spans="1:7" x14ac:dyDescent="0.3">
      <c r="A75" s="131" t="s">
        <v>1234</v>
      </c>
      <c r="B75" s="130">
        <v>131</v>
      </c>
      <c r="C75" s="31"/>
      <c r="D75" s="31"/>
      <c r="E75" s="31"/>
      <c r="F75" s="31"/>
      <c r="G75" s="31"/>
    </row>
    <row r="76" spans="1:7" x14ac:dyDescent="0.3">
      <c r="A76" s="131" t="s">
        <v>1235</v>
      </c>
      <c r="B76" s="130" t="s">
        <v>1163</v>
      </c>
      <c r="C76" s="31"/>
      <c r="D76" s="31"/>
      <c r="E76" s="31"/>
      <c r="F76" s="31"/>
      <c r="G76" s="31"/>
    </row>
    <row r="77" spans="1:7" x14ac:dyDescent="0.3">
      <c r="A77" s="131" t="s">
        <v>1236</v>
      </c>
      <c r="B77" s="130">
        <v>125</v>
      </c>
      <c r="C77" s="31"/>
      <c r="D77" s="31"/>
      <c r="E77" s="31"/>
      <c r="F77" s="31"/>
      <c r="G77" s="31"/>
    </row>
    <row r="78" spans="1:7" x14ac:dyDescent="0.3">
      <c r="A78" s="131" t="s">
        <v>1237</v>
      </c>
      <c r="B78" s="130">
        <v>220</v>
      </c>
      <c r="C78" s="31"/>
      <c r="D78" s="31"/>
      <c r="E78" s="31"/>
      <c r="F78" s="31"/>
      <c r="G78" s="31"/>
    </row>
    <row r="79" spans="1:7" x14ac:dyDescent="0.3">
      <c r="A79" s="131" t="s">
        <v>1238</v>
      </c>
      <c r="B79" s="130">
        <v>125</v>
      </c>
      <c r="C79" s="31"/>
      <c r="D79" s="31"/>
      <c r="E79" s="31"/>
      <c r="F79" s="31"/>
      <c r="G79" s="31"/>
    </row>
    <row r="80" spans="1:7" x14ac:dyDescent="0.3">
      <c r="A80" s="131" t="s">
        <v>1239</v>
      </c>
      <c r="B80" s="130">
        <v>47</v>
      </c>
      <c r="C80" s="31"/>
      <c r="D80" s="31"/>
      <c r="E80" s="31"/>
      <c r="F80" s="31"/>
      <c r="G80" s="31"/>
    </row>
    <row r="81" spans="1:7" x14ac:dyDescent="0.3">
      <c r="A81" s="131" t="s">
        <v>1240</v>
      </c>
      <c r="B81" s="130">
        <v>43</v>
      </c>
      <c r="C81" s="31"/>
      <c r="D81" s="31"/>
      <c r="E81" s="31"/>
      <c r="F81" s="31"/>
      <c r="G81" s="31"/>
    </row>
    <row r="82" spans="1:7" x14ac:dyDescent="0.3">
      <c r="A82" s="131" t="s">
        <v>1241</v>
      </c>
      <c r="B82" s="130" t="s">
        <v>1163</v>
      </c>
      <c r="C82" s="31"/>
      <c r="D82" s="31"/>
      <c r="E82" s="31"/>
      <c r="F82" s="31"/>
      <c r="G82" s="31"/>
    </row>
    <row r="83" spans="1:7" x14ac:dyDescent="0.3">
      <c r="A83" s="131" t="s">
        <v>1242</v>
      </c>
      <c r="B83" s="130">
        <v>89</v>
      </c>
      <c r="C83" s="31"/>
      <c r="D83" s="31"/>
      <c r="E83" s="31"/>
      <c r="F83" s="31"/>
      <c r="G83" s="31"/>
    </row>
    <row r="84" spans="1:7" x14ac:dyDescent="0.3">
      <c r="A84" s="131" t="s">
        <v>1243</v>
      </c>
      <c r="B84" s="130">
        <v>88</v>
      </c>
      <c r="C84" s="31"/>
      <c r="D84" s="31"/>
      <c r="E84" s="31"/>
      <c r="F84" s="31"/>
      <c r="G84" s="31"/>
    </row>
    <row r="85" spans="1:7" x14ac:dyDescent="0.3">
      <c r="A85" s="131" t="s">
        <v>1244</v>
      </c>
      <c r="B85" s="130">
        <v>94</v>
      </c>
      <c r="C85" s="31"/>
      <c r="D85" s="31"/>
      <c r="E85" s="31"/>
      <c r="F85" s="31"/>
      <c r="G85" s="31"/>
    </row>
    <row r="86" spans="1:7" x14ac:dyDescent="0.3">
      <c r="A86" s="131" t="s">
        <v>1245</v>
      </c>
      <c r="B86" s="130" t="s">
        <v>1163</v>
      </c>
      <c r="C86" s="31"/>
      <c r="D86" s="31"/>
      <c r="E86" s="31"/>
      <c r="F86" s="31"/>
      <c r="G86" s="31"/>
    </row>
    <row r="87" spans="1:7" x14ac:dyDescent="0.3">
      <c r="A87" s="131" t="s">
        <v>1246</v>
      </c>
      <c r="B87" s="130">
        <v>0</v>
      </c>
      <c r="C87" s="31"/>
      <c r="D87" s="31"/>
      <c r="E87" s="31"/>
      <c r="F87" s="31"/>
      <c r="G87" s="31"/>
    </row>
    <row r="88" spans="1:7" x14ac:dyDescent="0.3">
      <c r="A88" s="131" t="s">
        <v>1247</v>
      </c>
      <c r="B88" s="130">
        <v>54</v>
      </c>
      <c r="C88" s="31"/>
      <c r="D88" s="31"/>
      <c r="E88" s="31"/>
      <c r="F88" s="31"/>
      <c r="G88" s="31"/>
    </row>
    <row r="89" spans="1:7" x14ac:dyDescent="0.3">
      <c r="A89" s="131" t="s">
        <v>1248</v>
      </c>
      <c r="B89" s="130">
        <v>101</v>
      </c>
      <c r="C89" s="31"/>
      <c r="D89" s="31"/>
      <c r="E89" s="31"/>
      <c r="F89" s="31"/>
      <c r="G89" s="31"/>
    </row>
    <row r="90" spans="1:7" x14ac:dyDescent="0.3">
      <c r="A90" s="131" t="s">
        <v>1249</v>
      </c>
      <c r="B90" s="130">
        <v>60</v>
      </c>
      <c r="C90" s="31"/>
      <c r="D90" s="31"/>
      <c r="E90" s="31"/>
      <c r="F90" s="31"/>
      <c r="G90" s="31"/>
    </row>
    <row r="91" spans="1:7" x14ac:dyDescent="0.3">
      <c r="A91" s="131" t="s">
        <v>1250</v>
      </c>
      <c r="B91" s="130">
        <v>226</v>
      </c>
      <c r="C91" s="31"/>
      <c r="D91" s="31"/>
      <c r="E91" s="31"/>
      <c r="F91" s="31"/>
      <c r="G91" s="31"/>
    </row>
    <row r="92" spans="1:7" x14ac:dyDescent="0.3">
      <c r="A92" s="131" t="s">
        <v>1251</v>
      </c>
      <c r="B92" s="130">
        <v>96</v>
      </c>
      <c r="C92" s="31"/>
      <c r="D92" s="31"/>
      <c r="E92" s="31"/>
      <c r="F92" s="31"/>
      <c r="G92" s="31"/>
    </row>
    <row r="93" spans="1:7" x14ac:dyDescent="0.3">
      <c r="A93" s="131" t="s">
        <v>1252</v>
      </c>
      <c r="B93" s="130">
        <v>96</v>
      </c>
      <c r="C93" s="31"/>
      <c r="D93" s="31"/>
      <c r="E93" s="31"/>
      <c r="F93" s="31"/>
      <c r="G93" s="31"/>
    </row>
    <row r="94" spans="1:7" x14ac:dyDescent="0.3">
      <c r="A94" s="131" t="s">
        <v>1253</v>
      </c>
      <c r="B94" s="130">
        <v>62</v>
      </c>
      <c r="C94" s="31"/>
      <c r="D94" s="31"/>
      <c r="E94" s="31"/>
      <c r="F94" s="31"/>
      <c r="G94" s="31"/>
    </row>
    <row r="95" spans="1:7" x14ac:dyDescent="0.3">
      <c r="A95" s="131" t="s">
        <v>1254</v>
      </c>
      <c r="B95" s="130">
        <v>92</v>
      </c>
      <c r="C95" s="31"/>
      <c r="D95" s="31"/>
      <c r="E95" s="31"/>
      <c r="F95" s="31"/>
      <c r="G95" s="31"/>
    </row>
    <row r="96" spans="1:7" x14ac:dyDescent="0.3">
      <c r="A96" s="131" t="s">
        <v>1255</v>
      </c>
      <c r="B96" s="130">
        <v>27</v>
      </c>
      <c r="C96" s="31"/>
      <c r="D96" s="31"/>
      <c r="E96" s="31"/>
      <c r="F96" s="31"/>
      <c r="G96" s="31"/>
    </row>
    <row r="97" spans="1:7" x14ac:dyDescent="0.3">
      <c r="A97" s="131" t="s">
        <v>1256</v>
      </c>
      <c r="B97" s="130">
        <v>85</v>
      </c>
      <c r="C97" s="31"/>
      <c r="D97" s="31"/>
      <c r="E97" s="31"/>
      <c r="F97" s="31"/>
      <c r="G97" s="31"/>
    </row>
    <row r="98" spans="1:7" x14ac:dyDescent="0.3">
      <c r="A98" s="131" t="s">
        <v>1257</v>
      </c>
      <c r="B98" s="130" t="s">
        <v>1163</v>
      </c>
      <c r="C98" s="31"/>
      <c r="D98" s="31"/>
      <c r="E98" s="31"/>
      <c r="F98" s="31"/>
      <c r="G98" s="31"/>
    </row>
    <row r="99" spans="1:7" x14ac:dyDescent="0.3">
      <c r="A99" s="131" t="s">
        <v>1258</v>
      </c>
      <c r="B99" s="130">
        <v>337</v>
      </c>
      <c r="C99" s="31"/>
      <c r="D99" s="31"/>
      <c r="E99" s="31"/>
      <c r="F99" s="31"/>
      <c r="G99" s="31"/>
    </row>
    <row r="100" spans="1:7" x14ac:dyDescent="0.3">
      <c r="A100" s="131" t="s">
        <v>1259</v>
      </c>
      <c r="B100" s="130">
        <v>205</v>
      </c>
      <c r="C100" s="31"/>
      <c r="D100" s="31"/>
      <c r="E100" s="31"/>
      <c r="F100" s="31"/>
      <c r="G100" s="31"/>
    </row>
    <row r="101" spans="1:7" x14ac:dyDescent="0.3">
      <c r="A101" s="131" t="s">
        <v>1260</v>
      </c>
      <c r="B101" s="130">
        <v>194</v>
      </c>
      <c r="C101" s="31"/>
      <c r="D101" s="31"/>
      <c r="E101" s="31"/>
      <c r="F101" s="31"/>
      <c r="G101" s="31"/>
    </row>
    <row r="102" spans="1:7" x14ac:dyDescent="0.3">
      <c r="A102" s="131" t="s">
        <v>1261</v>
      </c>
      <c r="B102" s="130">
        <v>156</v>
      </c>
      <c r="C102" s="31"/>
      <c r="D102" s="31"/>
      <c r="E102" s="31"/>
      <c r="F102" s="31"/>
      <c r="G102" s="31"/>
    </row>
    <row r="103" spans="1:7" x14ac:dyDescent="0.3">
      <c r="A103" s="131" t="s">
        <v>1262</v>
      </c>
      <c r="B103" s="130">
        <v>62</v>
      </c>
      <c r="C103" s="31"/>
      <c r="D103" s="31"/>
      <c r="E103" s="31"/>
      <c r="F103" s="31"/>
      <c r="G103" s="31"/>
    </row>
    <row r="104" spans="1:7" x14ac:dyDescent="0.3">
      <c r="A104" s="131" t="s">
        <v>1263</v>
      </c>
      <c r="B104" s="130">
        <v>68</v>
      </c>
      <c r="C104" s="31"/>
      <c r="D104" s="31"/>
      <c r="E104" s="31"/>
      <c r="F104" s="31"/>
      <c r="G104" s="31"/>
    </row>
    <row r="105" spans="1:7" x14ac:dyDescent="0.3">
      <c r="A105" s="131" t="s">
        <v>1264</v>
      </c>
      <c r="B105" s="130">
        <v>15</v>
      </c>
      <c r="C105" s="31"/>
      <c r="D105" s="31"/>
      <c r="E105" s="31"/>
      <c r="F105" s="31"/>
      <c r="G105" s="31"/>
    </row>
    <row r="106" spans="1:7" x14ac:dyDescent="0.3">
      <c r="A106" s="131" t="s">
        <v>1265</v>
      </c>
      <c r="B106" s="130">
        <v>42</v>
      </c>
      <c r="C106" s="31"/>
      <c r="D106" s="31"/>
      <c r="E106" s="31"/>
      <c r="F106" s="31"/>
      <c r="G106" s="31"/>
    </row>
    <row r="107" spans="1:7" x14ac:dyDescent="0.3">
      <c r="A107" s="131" t="s">
        <v>1266</v>
      </c>
      <c r="B107" s="130">
        <v>86</v>
      </c>
      <c r="C107" s="31"/>
      <c r="D107" s="31"/>
      <c r="E107" s="31"/>
      <c r="F107" s="31"/>
      <c r="G107" s="31"/>
    </row>
    <row r="108" spans="1:7" x14ac:dyDescent="0.3">
      <c r="A108" s="131" t="s">
        <v>1267</v>
      </c>
      <c r="B108" s="130">
        <v>74</v>
      </c>
      <c r="C108" s="31"/>
      <c r="D108" s="31"/>
      <c r="E108" s="31"/>
      <c r="F108" s="31"/>
      <c r="G108" s="31"/>
    </row>
    <row r="109" spans="1:7" x14ac:dyDescent="0.3">
      <c r="A109" s="131" t="s">
        <v>1268</v>
      </c>
      <c r="B109" s="130" t="s">
        <v>1163</v>
      </c>
      <c r="C109" s="31"/>
      <c r="D109" s="31"/>
      <c r="E109" s="31"/>
      <c r="F109" s="31"/>
      <c r="G109" s="31"/>
    </row>
    <row r="110" spans="1:7" x14ac:dyDescent="0.3">
      <c r="A110" s="131" t="s">
        <v>1269</v>
      </c>
      <c r="B110" s="130">
        <v>35</v>
      </c>
      <c r="C110" s="31"/>
      <c r="D110" s="31"/>
      <c r="E110" s="31"/>
      <c r="F110" s="31"/>
      <c r="G110" s="31"/>
    </row>
    <row r="111" spans="1:7" x14ac:dyDescent="0.3">
      <c r="A111" s="131" t="s">
        <v>1270</v>
      </c>
      <c r="B111" s="130">
        <v>60</v>
      </c>
      <c r="C111" s="31"/>
      <c r="D111" s="31"/>
      <c r="E111" s="31"/>
      <c r="F111" s="31"/>
      <c r="G111" s="31"/>
    </row>
    <row r="112" spans="1:7" x14ac:dyDescent="0.3">
      <c r="A112" s="131" t="s">
        <v>1271</v>
      </c>
      <c r="B112" s="130">
        <v>111</v>
      </c>
      <c r="C112" s="31"/>
      <c r="D112" s="31"/>
      <c r="E112" s="31"/>
      <c r="F112" s="31"/>
      <c r="G112" s="31"/>
    </row>
    <row r="113" spans="1:7" x14ac:dyDescent="0.3">
      <c r="A113" s="131" t="s">
        <v>1272</v>
      </c>
      <c r="B113" s="130">
        <v>262</v>
      </c>
      <c r="C113" s="31"/>
      <c r="D113" s="31"/>
      <c r="E113" s="31"/>
      <c r="F113" s="31"/>
      <c r="G113" s="31"/>
    </row>
    <row r="114" spans="1:7" x14ac:dyDescent="0.3">
      <c r="A114" s="131" t="s">
        <v>1273</v>
      </c>
      <c r="B114" s="130">
        <v>468</v>
      </c>
      <c r="C114" s="31"/>
      <c r="D114" s="31"/>
      <c r="E114" s="31"/>
      <c r="F114" s="31"/>
      <c r="G114" s="31"/>
    </row>
    <row r="115" spans="1:7" x14ac:dyDescent="0.3">
      <c r="A115" s="131" t="s">
        <v>1274</v>
      </c>
      <c r="B115" s="130">
        <v>304</v>
      </c>
      <c r="C115" s="31"/>
      <c r="D115" s="31"/>
      <c r="E115" s="31"/>
      <c r="F115" s="31"/>
      <c r="G115" s="31"/>
    </row>
    <row r="116" spans="1:7" x14ac:dyDescent="0.3">
      <c r="A116" s="131" t="s">
        <v>1275</v>
      </c>
      <c r="B116" s="130">
        <v>175</v>
      </c>
      <c r="C116" s="31"/>
      <c r="D116" s="31"/>
      <c r="E116" s="31"/>
      <c r="F116" s="31"/>
      <c r="G116" s="31"/>
    </row>
    <row r="117" spans="1:7" x14ac:dyDescent="0.3">
      <c r="A117" s="131" t="s">
        <v>1276</v>
      </c>
      <c r="B117" s="130">
        <v>329</v>
      </c>
      <c r="C117" s="31"/>
      <c r="D117" s="31"/>
      <c r="E117" s="31"/>
      <c r="F117" s="31"/>
      <c r="G117" s="31"/>
    </row>
    <row r="118" spans="1:7" x14ac:dyDescent="0.3">
      <c r="A118" s="131" t="s">
        <v>1277</v>
      </c>
      <c r="B118" s="130">
        <v>146</v>
      </c>
      <c r="C118" s="31"/>
      <c r="D118" s="31"/>
      <c r="E118" s="31"/>
      <c r="F118" s="31"/>
      <c r="G118" s="31"/>
    </row>
    <row r="119" spans="1:7" x14ac:dyDescent="0.3">
      <c r="A119" s="131" t="s">
        <v>1278</v>
      </c>
      <c r="B119" s="130">
        <v>172</v>
      </c>
      <c r="C119" s="31"/>
      <c r="D119" s="31"/>
      <c r="E119" s="31"/>
      <c r="F119" s="31"/>
      <c r="G119" s="31"/>
    </row>
    <row r="120" spans="1:7" x14ac:dyDescent="0.3">
      <c r="A120" s="131" t="s">
        <v>1279</v>
      </c>
      <c r="B120" s="130">
        <v>13</v>
      </c>
      <c r="C120" s="31"/>
      <c r="D120" s="31"/>
      <c r="E120" s="31"/>
      <c r="F120" s="31"/>
      <c r="G120" s="31"/>
    </row>
    <row r="121" spans="1:7" x14ac:dyDescent="0.3">
      <c r="A121" s="131" t="s">
        <v>1280</v>
      </c>
      <c r="B121" s="130">
        <v>52</v>
      </c>
      <c r="C121" s="31"/>
      <c r="D121" s="31"/>
      <c r="E121" s="31"/>
      <c r="F121" s="31"/>
      <c r="G121" s="31"/>
    </row>
    <row r="122" spans="1:7" x14ac:dyDescent="0.3">
      <c r="A122" s="131" t="s">
        <v>1281</v>
      </c>
      <c r="B122" s="130">
        <v>17</v>
      </c>
      <c r="C122" s="31"/>
      <c r="D122" s="31"/>
      <c r="E122" s="31"/>
      <c r="F122" s="31"/>
      <c r="G122" s="31"/>
    </row>
    <row r="123" spans="1:7" x14ac:dyDescent="0.3">
      <c r="A123" s="131" t="s">
        <v>1282</v>
      </c>
      <c r="B123" s="130">
        <v>405</v>
      </c>
      <c r="C123" s="31"/>
      <c r="D123" s="31"/>
      <c r="E123" s="31"/>
      <c r="F123" s="31"/>
      <c r="G123" s="31"/>
    </row>
    <row r="124" spans="1:7" x14ac:dyDescent="0.3">
      <c r="A124" s="131" t="s">
        <v>1283</v>
      </c>
      <c r="B124" s="130">
        <v>474</v>
      </c>
      <c r="C124" s="31"/>
      <c r="D124" s="31"/>
      <c r="E124" s="31"/>
      <c r="F124" s="31"/>
      <c r="G124" s="31"/>
    </row>
    <row r="125" spans="1:7" x14ac:dyDescent="0.3">
      <c r="A125" s="131" t="s">
        <v>1284</v>
      </c>
      <c r="B125" s="130">
        <v>276</v>
      </c>
      <c r="C125" s="31"/>
      <c r="D125" s="31"/>
      <c r="E125" s="31"/>
      <c r="F125" s="31"/>
      <c r="G125" s="31"/>
    </row>
    <row r="126" spans="1:7" x14ac:dyDescent="0.3">
      <c r="A126" s="131" t="s">
        <v>1285</v>
      </c>
      <c r="B126" s="130">
        <v>349</v>
      </c>
      <c r="C126" s="31"/>
      <c r="D126" s="31"/>
      <c r="E126" s="31"/>
      <c r="F126" s="31"/>
      <c r="G126" s="31"/>
    </row>
    <row r="127" spans="1:7" x14ac:dyDescent="0.3">
      <c r="A127" s="131" t="s">
        <v>1286</v>
      </c>
      <c r="B127" s="130">
        <v>136</v>
      </c>
      <c r="C127" s="31"/>
      <c r="D127" s="31"/>
      <c r="E127" s="31"/>
      <c r="F127" s="31"/>
      <c r="G127" s="31"/>
    </row>
    <row r="128" spans="1:7" x14ac:dyDescent="0.3">
      <c r="A128" s="131" t="s">
        <v>1287</v>
      </c>
      <c r="B128" s="130">
        <v>75</v>
      </c>
      <c r="C128" s="31"/>
      <c r="D128" s="31"/>
      <c r="E128" s="31"/>
      <c r="F128" s="31"/>
      <c r="G128" s="31"/>
    </row>
    <row r="129" spans="1:7" x14ac:dyDescent="0.3">
      <c r="A129" s="131" t="s">
        <v>1288</v>
      </c>
      <c r="B129" s="130">
        <v>53</v>
      </c>
      <c r="C129" s="31"/>
      <c r="D129" s="31"/>
      <c r="E129" s="31"/>
      <c r="F129" s="31"/>
      <c r="G129" s="31"/>
    </row>
    <row r="130" spans="1:7" x14ac:dyDescent="0.3">
      <c r="A130" s="131" t="s">
        <v>1289</v>
      </c>
      <c r="B130" s="130">
        <v>284</v>
      </c>
      <c r="C130" s="31"/>
      <c r="D130" s="31"/>
      <c r="E130" s="31"/>
      <c r="F130" s="31"/>
      <c r="G130" s="31"/>
    </row>
    <row r="131" spans="1:7" x14ac:dyDescent="0.3">
      <c r="A131" s="131" t="s">
        <v>1290</v>
      </c>
      <c r="B131" s="130">
        <v>183</v>
      </c>
      <c r="C131" s="31"/>
      <c r="D131" s="31"/>
      <c r="E131" s="31"/>
      <c r="F131" s="31"/>
      <c r="G131" s="31"/>
    </row>
    <row r="132" spans="1:7" x14ac:dyDescent="0.3">
      <c r="A132" s="131" t="s">
        <v>1291</v>
      </c>
      <c r="B132" s="130">
        <v>0</v>
      </c>
      <c r="C132" s="31"/>
      <c r="D132" s="31"/>
      <c r="E132" s="31"/>
      <c r="F132" s="31"/>
      <c r="G132" s="31"/>
    </row>
    <row r="133" spans="1:7" x14ac:dyDescent="0.3">
      <c r="A133" s="131" t="s">
        <v>1292</v>
      </c>
      <c r="B133" s="130">
        <v>285</v>
      </c>
      <c r="C133" s="31"/>
      <c r="D133" s="31"/>
      <c r="E133" s="31"/>
      <c r="F133" s="31"/>
      <c r="G133" s="31"/>
    </row>
    <row r="134" spans="1:7" x14ac:dyDescent="0.3">
      <c r="A134" s="131" t="s">
        <v>1293</v>
      </c>
      <c r="B134" s="130">
        <v>27</v>
      </c>
      <c r="C134" s="31"/>
      <c r="D134" s="31"/>
      <c r="E134" s="31"/>
      <c r="F134" s="31"/>
      <c r="G134" s="31"/>
    </row>
    <row r="135" spans="1:7" x14ac:dyDescent="0.3">
      <c r="A135" s="131" t="s">
        <v>1294</v>
      </c>
      <c r="B135" s="130">
        <v>183</v>
      </c>
      <c r="C135" s="31"/>
      <c r="D135" s="31"/>
      <c r="E135" s="31"/>
      <c r="F135" s="31"/>
      <c r="G135" s="31"/>
    </row>
    <row r="136" spans="1:7" x14ac:dyDescent="0.3">
      <c r="A136" s="131" t="s">
        <v>1295</v>
      </c>
      <c r="B136" s="130">
        <v>147</v>
      </c>
      <c r="C136" s="31"/>
      <c r="D136" s="31"/>
      <c r="E136" s="31"/>
      <c r="F136" s="31"/>
      <c r="G136" s="31"/>
    </row>
    <row r="137" spans="1:7" x14ac:dyDescent="0.3">
      <c r="A137" s="131" t="s">
        <v>1296</v>
      </c>
      <c r="B137" s="130">
        <v>146</v>
      </c>
      <c r="C137" s="31"/>
      <c r="D137" s="31"/>
      <c r="E137" s="31"/>
      <c r="F137" s="31"/>
      <c r="G137" s="31"/>
    </row>
    <row r="138" spans="1:7" x14ac:dyDescent="0.3">
      <c r="A138" s="131" t="s">
        <v>1297</v>
      </c>
      <c r="B138" s="130">
        <v>284</v>
      </c>
      <c r="C138" s="31"/>
      <c r="D138" s="31"/>
      <c r="E138" s="31"/>
      <c r="F138" s="31"/>
      <c r="G138" s="31"/>
    </row>
    <row r="139" spans="1:7" x14ac:dyDescent="0.3">
      <c r="A139" s="131" t="s">
        <v>1298</v>
      </c>
      <c r="B139" s="130">
        <v>124</v>
      </c>
      <c r="C139" s="31"/>
      <c r="D139" s="31"/>
      <c r="E139" s="31"/>
      <c r="F139" s="31"/>
      <c r="G139" s="31"/>
    </row>
    <row r="140" spans="1:7" x14ac:dyDescent="0.3">
      <c r="A140" s="131" t="s">
        <v>1299</v>
      </c>
      <c r="B140" s="130">
        <v>48</v>
      </c>
      <c r="C140" s="31"/>
      <c r="D140" s="31"/>
      <c r="E140" s="31"/>
      <c r="F140" s="31"/>
      <c r="G140" s="31"/>
    </row>
    <row r="141" spans="1:7" x14ac:dyDescent="0.3">
      <c r="A141" s="131" t="s">
        <v>1300</v>
      </c>
      <c r="B141" s="130">
        <v>516</v>
      </c>
      <c r="C141" s="31"/>
      <c r="D141" s="31"/>
      <c r="E141" s="31"/>
      <c r="F141" s="31"/>
      <c r="G141" s="31"/>
    </row>
    <row r="142" spans="1:7" x14ac:dyDescent="0.3">
      <c r="A142" s="131" t="s">
        <v>1301</v>
      </c>
      <c r="B142" s="130">
        <v>44</v>
      </c>
      <c r="C142" s="31"/>
      <c r="D142" s="31"/>
      <c r="E142" s="31"/>
      <c r="F142" s="31"/>
      <c r="G142" s="31"/>
    </row>
    <row r="143" spans="1:7" x14ac:dyDescent="0.3">
      <c r="A143" s="131" t="s">
        <v>1302</v>
      </c>
      <c r="B143" s="130">
        <v>118</v>
      </c>
      <c r="C143" s="31"/>
      <c r="D143" s="31"/>
      <c r="E143" s="31"/>
      <c r="F143" s="31"/>
      <c r="G143" s="31"/>
    </row>
    <row r="144" spans="1:7" x14ac:dyDescent="0.3">
      <c r="A144" s="131" t="s">
        <v>1303</v>
      </c>
      <c r="B144" s="130">
        <v>119</v>
      </c>
      <c r="C144" s="31"/>
      <c r="D144" s="31"/>
      <c r="E144" s="31"/>
      <c r="F144" s="31"/>
      <c r="G144" s="31"/>
    </row>
    <row r="145" spans="1:7" x14ac:dyDescent="0.3">
      <c r="A145" s="131" t="s">
        <v>1304</v>
      </c>
      <c r="B145" s="130">
        <v>211</v>
      </c>
      <c r="C145" s="31"/>
      <c r="D145" s="31"/>
      <c r="E145" s="31"/>
      <c r="F145" s="31"/>
      <c r="G145" s="31"/>
    </row>
    <row r="146" spans="1:7" x14ac:dyDescent="0.3">
      <c r="A146" s="131" t="s">
        <v>1305</v>
      </c>
      <c r="B146" s="130">
        <v>102</v>
      </c>
      <c r="C146" s="31"/>
      <c r="D146" s="31"/>
      <c r="E146" s="31"/>
      <c r="F146" s="31"/>
      <c r="G146" s="31"/>
    </row>
    <row r="147" spans="1:7" x14ac:dyDescent="0.3">
      <c r="A147" s="131" t="s">
        <v>1306</v>
      </c>
      <c r="B147" s="130">
        <v>143</v>
      </c>
      <c r="C147" s="31"/>
      <c r="D147" s="31"/>
      <c r="E147" s="31"/>
      <c r="F147" s="31"/>
      <c r="G147" s="31"/>
    </row>
    <row r="148" spans="1:7" x14ac:dyDescent="0.3">
      <c r="A148" s="131" t="s">
        <v>1307</v>
      </c>
      <c r="B148" s="130">
        <v>64</v>
      </c>
      <c r="C148" s="31"/>
      <c r="D148" s="31"/>
      <c r="E148" s="31"/>
      <c r="F148" s="31"/>
      <c r="G148" s="31"/>
    </row>
    <row r="149" spans="1:7" x14ac:dyDescent="0.3">
      <c r="A149" s="131" t="s">
        <v>1308</v>
      </c>
      <c r="B149" s="130">
        <v>14</v>
      </c>
      <c r="C149" s="31"/>
      <c r="D149" s="31"/>
      <c r="E149" s="31"/>
      <c r="F149" s="31"/>
      <c r="G149" s="31"/>
    </row>
    <row r="150" spans="1:7" x14ac:dyDescent="0.3">
      <c r="A150" s="131" t="s">
        <v>1309</v>
      </c>
      <c r="B150" s="130">
        <v>22</v>
      </c>
      <c r="C150" s="31"/>
      <c r="D150" s="31"/>
      <c r="E150" s="31"/>
      <c r="F150" s="31"/>
      <c r="G150" s="31"/>
    </row>
    <row r="151" spans="1:7" x14ac:dyDescent="0.3">
      <c r="A151" s="131" t="s">
        <v>1310</v>
      </c>
      <c r="B151" s="130">
        <v>39</v>
      </c>
      <c r="C151" s="31"/>
      <c r="D151" s="31"/>
      <c r="E151" s="31"/>
      <c r="F151" s="31"/>
      <c r="G151" s="31"/>
    </row>
    <row r="152" spans="1:7" x14ac:dyDescent="0.3">
      <c r="A152" s="131" t="s">
        <v>1311</v>
      </c>
      <c r="B152" s="130">
        <v>0</v>
      </c>
      <c r="C152" s="31"/>
      <c r="D152" s="31"/>
      <c r="E152" s="31"/>
      <c r="F152" s="31"/>
      <c r="G152" s="31"/>
    </row>
    <row r="153" spans="1:7" ht="14.25" customHeight="1" x14ac:dyDescent="0.3">
      <c r="A153" s="131" t="s">
        <v>1312</v>
      </c>
      <c r="B153" s="130">
        <v>191</v>
      </c>
      <c r="C153" s="31"/>
      <c r="D153" s="31"/>
      <c r="E153" s="31"/>
      <c r="F153" s="31"/>
      <c r="G153" s="31"/>
    </row>
    <row r="154" spans="1:7" x14ac:dyDescent="0.3">
      <c r="A154" s="131" t="s">
        <v>1313</v>
      </c>
      <c r="B154" s="130">
        <v>119</v>
      </c>
      <c r="C154" s="31"/>
      <c r="D154" s="31"/>
      <c r="E154" s="31"/>
      <c r="F154" s="31"/>
      <c r="G154" s="31"/>
    </row>
    <row r="155" spans="1:7" x14ac:dyDescent="0.3">
      <c r="A155" s="131" t="s">
        <v>1314</v>
      </c>
      <c r="B155" s="130">
        <v>56</v>
      </c>
      <c r="C155" s="31"/>
      <c r="D155" s="31"/>
      <c r="E155" s="31"/>
      <c r="F155" s="31"/>
      <c r="G155" s="31"/>
    </row>
    <row r="156" spans="1:7" x14ac:dyDescent="0.3">
      <c r="A156" s="131" t="s">
        <v>1315</v>
      </c>
      <c r="B156" s="130">
        <v>162</v>
      </c>
      <c r="C156" s="31"/>
      <c r="D156" s="31"/>
      <c r="E156" s="31"/>
      <c r="F156" s="31"/>
      <c r="G156" s="31"/>
    </row>
    <row r="157" spans="1:7" x14ac:dyDescent="0.3">
      <c r="A157" s="131" t="s">
        <v>1316</v>
      </c>
      <c r="B157" s="130">
        <v>56</v>
      </c>
      <c r="C157" s="31"/>
      <c r="D157" s="31"/>
      <c r="E157" s="31"/>
      <c r="F157" s="31"/>
      <c r="G157" s="31"/>
    </row>
    <row r="158" spans="1:7" x14ac:dyDescent="0.3">
      <c r="A158" s="131" t="s">
        <v>1317</v>
      </c>
      <c r="B158" s="130">
        <v>269</v>
      </c>
      <c r="C158" s="31"/>
      <c r="D158" s="31"/>
      <c r="E158" s="31"/>
      <c r="F158" s="31"/>
      <c r="G158" s="31"/>
    </row>
    <row r="159" spans="1:7" x14ac:dyDescent="0.3">
      <c r="A159" s="131" t="s">
        <v>1318</v>
      </c>
      <c r="B159" s="130">
        <v>149</v>
      </c>
      <c r="C159" s="31"/>
      <c r="D159" s="31"/>
      <c r="E159" s="31"/>
      <c r="F159" s="31"/>
      <c r="G159" s="31"/>
    </row>
    <row r="160" spans="1:7" x14ac:dyDescent="0.3">
      <c r="A160" s="131" t="s">
        <v>1319</v>
      </c>
      <c r="B160" s="130">
        <v>275</v>
      </c>
      <c r="C160" s="31"/>
      <c r="D160" s="31"/>
      <c r="E160" s="31"/>
      <c r="F160" s="31"/>
      <c r="G160" s="31"/>
    </row>
    <row r="161" spans="1:7" x14ac:dyDescent="0.3">
      <c r="A161" s="131" t="s">
        <v>1320</v>
      </c>
      <c r="B161" s="130">
        <v>153</v>
      </c>
      <c r="C161" s="31"/>
      <c r="D161" s="31"/>
      <c r="E161" s="31"/>
      <c r="F161" s="31"/>
      <c r="G161" s="31"/>
    </row>
    <row r="162" spans="1:7" x14ac:dyDescent="0.3">
      <c r="A162" s="131" t="s">
        <v>1321</v>
      </c>
      <c r="B162" s="130">
        <v>87</v>
      </c>
      <c r="C162" s="31"/>
      <c r="D162" s="31"/>
      <c r="E162" s="31"/>
      <c r="F162" s="31"/>
      <c r="G162" s="31"/>
    </row>
    <row r="163" spans="1:7" x14ac:dyDescent="0.3">
      <c r="A163" s="131" t="s">
        <v>1322</v>
      </c>
      <c r="B163" s="130">
        <v>374</v>
      </c>
      <c r="C163" s="31"/>
      <c r="D163" s="31"/>
      <c r="E163" s="31"/>
      <c r="F163" s="31"/>
      <c r="G163" s="31"/>
    </row>
    <row r="164" spans="1:7" x14ac:dyDescent="0.3">
      <c r="A164" s="131" t="s">
        <v>1323</v>
      </c>
      <c r="B164" s="130">
        <v>76</v>
      </c>
      <c r="C164" s="31"/>
      <c r="D164" s="31"/>
      <c r="E164" s="31"/>
      <c r="F164" s="31"/>
      <c r="G164" s="31"/>
    </row>
    <row r="165" spans="1:7" x14ac:dyDescent="0.3">
      <c r="A165" s="131" t="s">
        <v>1324</v>
      </c>
      <c r="B165" s="130">
        <v>118</v>
      </c>
      <c r="C165" s="31"/>
      <c r="D165" s="31"/>
      <c r="E165" s="31"/>
      <c r="F165" s="31"/>
      <c r="G165" s="31"/>
    </row>
    <row r="166" spans="1:7" x14ac:dyDescent="0.3">
      <c r="A166" s="131" t="s">
        <v>1325</v>
      </c>
      <c r="B166" s="130">
        <v>0</v>
      </c>
      <c r="C166" s="31"/>
      <c r="D166" s="31"/>
      <c r="E166" s="31"/>
      <c r="F166" s="31"/>
      <c r="G166" s="31"/>
    </row>
    <row r="167" spans="1:7" x14ac:dyDescent="0.3">
      <c r="A167" s="131" t="s">
        <v>1326</v>
      </c>
      <c r="B167" s="130" t="s">
        <v>1163</v>
      </c>
      <c r="C167" s="31"/>
      <c r="D167" s="31"/>
      <c r="E167" s="31"/>
      <c r="F167" s="31"/>
      <c r="G167" s="31"/>
    </row>
    <row r="168" spans="1:7" x14ac:dyDescent="0.3">
      <c r="A168" s="131" t="s">
        <v>1327</v>
      </c>
      <c r="B168" s="130">
        <v>146</v>
      </c>
      <c r="C168" s="31"/>
      <c r="D168" s="31"/>
      <c r="E168" s="31"/>
      <c r="F168" s="31"/>
      <c r="G168" s="31"/>
    </row>
    <row r="169" spans="1:7" x14ac:dyDescent="0.3">
      <c r="A169" s="131" t="s">
        <v>1328</v>
      </c>
      <c r="B169" s="130">
        <v>97</v>
      </c>
      <c r="C169" s="31"/>
      <c r="D169" s="31"/>
      <c r="E169" s="31"/>
      <c r="F169" s="31"/>
      <c r="G169" s="31"/>
    </row>
    <row r="170" spans="1:7" x14ac:dyDescent="0.3">
      <c r="A170" s="131" t="s">
        <v>1329</v>
      </c>
      <c r="B170" s="130">
        <v>59</v>
      </c>
      <c r="C170" s="31"/>
      <c r="D170" s="31"/>
      <c r="E170" s="31"/>
      <c r="F170" s="31"/>
      <c r="G170" s="31"/>
    </row>
    <row r="171" spans="1:7" x14ac:dyDescent="0.3">
      <c r="A171" s="131" t="s">
        <v>1330</v>
      </c>
      <c r="B171" s="130">
        <v>199</v>
      </c>
      <c r="C171" s="31"/>
      <c r="D171" s="31"/>
      <c r="E171" s="31"/>
      <c r="F171" s="31"/>
      <c r="G171" s="31"/>
    </row>
    <row r="172" spans="1:7" x14ac:dyDescent="0.3">
      <c r="A172" s="131" t="s">
        <v>1331</v>
      </c>
      <c r="B172" s="130">
        <v>19</v>
      </c>
      <c r="C172" s="31"/>
      <c r="D172" s="31"/>
      <c r="E172" s="31"/>
      <c r="F172" s="31"/>
      <c r="G172" s="31"/>
    </row>
    <row r="173" spans="1:7" x14ac:dyDescent="0.3">
      <c r="A173" s="131" t="s">
        <v>1332</v>
      </c>
      <c r="B173" s="130">
        <v>75</v>
      </c>
      <c r="C173" s="31"/>
      <c r="D173" s="31"/>
      <c r="E173" s="31"/>
      <c r="F173" s="31"/>
      <c r="G173" s="31"/>
    </row>
    <row r="174" spans="1:7" x14ac:dyDescent="0.3">
      <c r="A174" s="131" t="s">
        <v>1333</v>
      </c>
      <c r="B174" s="130">
        <v>188</v>
      </c>
      <c r="C174" s="31"/>
      <c r="D174" s="31"/>
      <c r="E174" s="31"/>
      <c r="F174" s="31"/>
      <c r="G174" s="31"/>
    </row>
    <row r="175" spans="1:7" x14ac:dyDescent="0.3">
      <c r="A175" s="131" t="s">
        <v>1334</v>
      </c>
      <c r="B175" s="130">
        <v>138</v>
      </c>
      <c r="C175" s="31"/>
      <c r="D175" s="31"/>
      <c r="E175" s="31"/>
      <c r="F175" s="31"/>
      <c r="G175" s="31"/>
    </row>
    <row r="176" spans="1:7" x14ac:dyDescent="0.3">
      <c r="A176" s="131" t="s">
        <v>1335</v>
      </c>
      <c r="B176" s="130">
        <v>90</v>
      </c>
      <c r="C176" s="31"/>
      <c r="D176" s="31"/>
      <c r="E176" s="31"/>
      <c r="F176" s="31"/>
      <c r="G176" s="31"/>
    </row>
    <row r="177" spans="1:7" x14ac:dyDescent="0.3">
      <c r="A177" s="131" t="s">
        <v>1336</v>
      </c>
      <c r="B177" s="130">
        <v>148</v>
      </c>
      <c r="C177" s="31"/>
      <c r="D177" s="31"/>
      <c r="E177" s="31"/>
      <c r="F177" s="31"/>
      <c r="G177" s="31"/>
    </row>
    <row r="178" spans="1:7" x14ac:dyDescent="0.3">
      <c r="A178" s="131" t="s">
        <v>1337</v>
      </c>
      <c r="B178" s="130">
        <v>51</v>
      </c>
      <c r="C178" s="31"/>
      <c r="D178" s="31"/>
      <c r="E178" s="31"/>
      <c r="F178" s="31"/>
      <c r="G178" s="31"/>
    </row>
    <row r="179" spans="1:7" x14ac:dyDescent="0.3">
      <c r="A179" s="131" t="s">
        <v>1338</v>
      </c>
      <c r="B179" s="130">
        <v>287</v>
      </c>
      <c r="C179" s="31"/>
      <c r="D179" s="31"/>
      <c r="E179" s="31"/>
      <c r="F179" s="31"/>
      <c r="G179" s="31"/>
    </row>
    <row r="180" spans="1:7" x14ac:dyDescent="0.3">
      <c r="A180" s="131" t="s">
        <v>1339</v>
      </c>
      <c r="B180" s="130">
        <v>39</v>
      </c>
      <c r="C180" s="31"/>
      <c r="D180" s="31"/>
      <c r="E180" s="31"/>
      <c r="F180" s="31"/>
      <c r="G180" s="31"/>
    </row>
    <row r="181" spans="1:7" x14ac:dyDescent="0.3">
      <c r="A181" s="131" t="s">
        <v>1340</v>
      </c>
      <c r="B181" s="130">
        <v>159</v>
      </c>
      <c r="C181" s="31"/>
      <c r="D181" s="31"/>
      <c r="E181" s="31"/>
      <c r="F181" s="31"/>
      <c r="G181" s="31"/>
    </row>
    <row r="182" spans="1:7" x14ac:dyDescent="0.3">
      <c r="A182" s="131" t="s">
        <v>1341</v>
      </c>
      <c r="B182" s="130">
        <v>223</v>
      </c>
      <c r="C182" s="31"/>
      <c r="D182" s="31"/>
      <c r="E182" s="31"/>
      <c r="F182" s="31"/>
      <c r="G182" s="31"/>
    </row>
    <row r="183" spans="1:7" x14ac:dyDescent="0.3">
      <c r="A183" s="131" t="s">
        <v>1342</v>
      </c>
      <c r="B183" s="130">
        <v>30</v>
      </c>
      <c r="C183" s="31"/>
      <c r="D183" s="31"/>
      <c r="E183" s="31"/>
      <c r="F183" s="31"/>
      <c r="G183" s="31"/>
    </row>
    <row r="184" spans="1:7" x14ac:dyDescent="0.3">
      <c r="A184" s="131" t="s">
        <v>1343</v>
      </c>
      <c r="B184" s="130">
        <v>17</v>
      </c>
      <c r="C184" s="31"/>
      <c r="D184" s="31"/>
      <c r="E184" s="31"/>
      <c r="F184" s="31"/>
      <c r="G184" s="31"/>
    </row>
    <row r="185" spans="1:7" x14ac:dyDescent="0.3">
      <c r="A185" s="131" t="s">
        <v>1344</v>
      </c>
      <c r="B185" s="130">
        <v>74</v>
      </c>
      <c r="C185" s="31"/>
      <c r="D185" s="31"/>
      <c r="E185" s="31"/>
      <c r="F185" s="31"/>
      <c r="G185" s="31"/>
    </row>
    <row r="186" spans="1:7" x14ac:dyDescent="0.3">
      <c r="A186" s="131" t="s">
        <v>1345</v>
      </c>
      <c r="B186" s="130">
        <v>29</v>
      </c>
      <c r="C186" s="31"/>
      <c r="D186" s="31"/>
      <c r="E186" s="31"/>
      <c r="F186" s="31"/>
      <c r="G186" s="31"/>
    </row>
    <row r="187" spans="1:7" x14ac:dyDescent="0.3">
      <c r="A187" s="131" t="s">
        <v>1346</v>
      </c>
      <c r="B187" s="130">
        <v>85</v>
      </c>
      <c r="C187" s="31"/>
      <c r="D187" s="31"/>
      <c r="E187" s="31"/>
      <c r="F187" s="31"/>
      <c r="G187" s="31"/>
    </row>
    <row r="188" spans="1:7" x14ac:dyDescent="0.3">
      <c r="A188" s="131" t="s">
        <v>1347</v>
      </c>
      <c r="B188" s="130">
        <v>32</v>
      </c>
      <c r="C188" s="31"/>
      <c r="D188" s="31"/>
      <c r="E188" s="31"/>
      <c r="F188" s="31"/>
      <c r="G188" s="31"/>
    </row>
    <row r="189" spans="1:7" x14ac:dyDescent="0.3">
      <c r="A189" s="131" t="s">
        <v>1348</v>
      </c>
      <c r="B189" s="130">
        <v>28</v>
      </c>
      <c r="C189" s="31"/>
      <c r="D189" s="31"/>
      <c r="E189" s="31"/>
      <c r="F189" s="31"/>
      <c r="G189" s="31"/>
    </row>
    <row r="190" spans="1:7" x14ac:dyDescent="0.3">
      <c r="A190" s="131" t="s">
        <v>1349</v>
      </c>
      <c r="B190" s="130">
        <v>61</v>
      </c>
      <c r="C190" s="31"/>
      <c r="D190" s="31"/>
      <c r="E190" s="31"/>
      <c r="F190" s="31"/>
      <c r="G190" s="31"/>
    </row>
    <row r="191" spans="1:7" x14ac:dyDescent="0.3">
      <c r="A191" s="131" t="s">
        <v>1350</v>
      </c>
      <c r="B191" s="130">
        <v>0</v>
      </c>
      <c r="C191" s="31"/>
      <c r="D191" s="31"/>
      <c r="E191" s="31"/>
      <c r="F191" s="31"/>
      <c r="G191" s="31"/>
    </row>
    <row r="192" spans="1:7" x14ac:dyDescent="0.3">
      <c r="A192" s="131" t="s">
        <v>1351</v>
      </c>
      <c r="B192" s="130">
        <v>0</v>
      </c>
      <c r="C192" s="31"/>
      <c r="D192" s="31"/>
      <c r="E192" s="31"/>
      <c r="F192" s="31"/>
      <c r="G192" s="31"/>
    </row>
    <row r="193" spans="1:7" x14ac:dyDescent="0.3">
      <c r="A193" s="131" t="s">
        <v>1352</v>
      </c>
      <c r="B193" s="130">
        <v>0</v>
      </c>
      <c r="C193" s="31"/>
      <c r="D193" s="31"/>
      <c r="E193" s="31"/>
      <c r="F193" s="31"/>
      <c r="G193" s="31"/>
    </row>
    <row r="194" spans="1:7" x14ac:dyDescent="0.3">
      <c r="A194" s="131" t="s">
        <v>1353</v>
      </c>
      <c r="B194" s="130">
        <v>17</v>
      </c>
      <c r="C194" s="31"/>
      <c r="D194" s="31"/>
      <c r="E194" s="31"/>
      <c r="F194" s="31"/>
      <c r="G194" s="31"/>
    </row>
    <row r="195" spans="1:7" x14ac:dyDescent="0.3">
      <c r="A195" s="131" t="s">
        <v>1354</v>
      </c>
      <c r="B195" s="130">
        <v>77</v>
      </c>
      <c r="C195" s="31"/>
      <c r="D195" s="31"/>
      <c r="E195" s="31"/>
      <c r="F195" s="31"/>
      <c r="G195" s="31"/>
    </row>
    <row r="196" spans="1:7" x14ac:dyDescent="0.3">
      <c r="A196" s="131" t="s">
        <v>1355</v>
      </c>
      <c r="B196" s="130">
        <v>76</v>
      </c>
      <c r="C196" s="31"/>
      <c r="D196" s="31"/>
      <c r="E196" s="31"/>
      <c r="F196" s="31"/>
      <c r="G196" s="31"/>
    </row>
    <row r="197" spans="1:7" x14ac:dyDescent="0.3">
      <c r="A197" s="131" t="s">
        <v>1356</v>
      </c>
      <c r="B197" s="130">
        <v>117</v>
      </c>
      <c r="C197" s="31"/>
      <c r="D197" s="31"/>
      <c r="E197" s="31"/>
      <c r="F197" s="31"/>
      <c r="G197" s="31"/>
    </row>
    <row r="198" spans="1:7" x14ac:dyDescent="0.3">
      <c r="A198" s="131" t="s">
        <v>1357</v>
      </c>
      <c r="B198" s="130">
        <v>85</v>
      </c>
      <c r="C198" s="31"/>
      <c r="D198" s="31"/>
      <c r="E198" s="31"/>
      <c r="F198" s="31"/>
      <c r="G198" s="31"/>
    </row>
    <row r="199" spans="1:7" x14ac:dyDescent="0.3">
      <c r="A199" s="131" t="s">
        <v>1358</v>
      </c>
      <c r="B199" s="130">
        <v>214</v>
      </c>
      <c r="C199" s="31"/>
      <c r="D199" s="31"/>
      <c r="E199" s="31"/>
      <c r="F199" s="31"/>
      <c r="G199" s="31"/>
    </row>
    <row r="200" spans="1:7" x14ac:dyDescent="0.3">
      <c r="A200" s="131" t="s">
        <v>1359</v>
      </c>
      <c r="B200" s="130">
        <v>99</v>
      </c>
      <c r="C200" s="31"/>
      <c r="D200" s="31"/>
      <c r="E200" s="31"/>
      <c r="F200" s="31"/>
      <c r="G200" s="31"/>
    </row>
    <row r="201" spans="1:7" x14ac:dyDescent="0.3">
      <c r="A201" s="131" t="s">
        <v>1360</v>
      </c>
      <c r="B201" s="130">
        <v>89</v>
      </c>
      <c r="C201" s="31"/>
      <c r="D201" s="31"/>
      <c r="E201" s="31"/>
      <c r="F201" s="31"/>
      <c r="G201" s="31"/>
    </row>
    <row r="202" spans="1:7" x14ac:dyDescent="0.3">
      <c r="A202" s="131" t="s">
        <v>1361</v>
      </c>
      <c r="B202" s="130">
        <v>97</v>
      </c>
      <c r="C202" s="31"/>
      <c r="D202" s="31"/>
      <c r="E202" s="31"/>
      <c r="F202" s="31"/>
      <c r="G202" s="31"/>
    </row>
    <row r="203" spans="1:7" x14ac:dyDescent="0.3">
      <c r="A203" s="131" t="s">
        <v>1362</v>
      </c>
      <c r="B203" s="130">
        <v>141</v>
      </c>
      <c r="C203" s="31"/>
      <c r="D203" s="31"/>
      <c r="E203" s="31"/>
      <c r="F203" s="31"/>
      <c r="G203" s="31"/>
    </row>
    <row r="204" spans="1:7" x14ac:dyDescent="0.3">
      <c r="A204" s="131" t="s">
        <v>1363</v>
      </c>
      <c r="B204" s="130">
        <v>47</v>
      </c>
      <c r="C204" s="31"/>
      <c r="D204" s="31"/>
      <c r="E204" s="31"/>
      <c r="F204" s="31"/>
      <c r="G204" s="31"/>
    </row>
    <row r="205" spans="1:7" x14ac:dyDescent="0.3">
      <c r="A205" s="131" t="s">
        <v>1364</v>
      </c>
      <c r="B205" s="130">
        <v>17</v>
      </c>
      <c r="C205" s="31"/>
      <c r="D205" s="31"/>
      <c r="E205" s="31"/>
      <c r="F205" s="31"/>
      <c r="G205" s="31"/>
    </row>
    <row r="206" spans="1:7" x14ac:dyDescent="0.3">
      <c r="A206" s="131" t="s">
        <v>1365</v>
      </c>
      <c r="B206" s="130">
        <v>92</v>
      </c>
      <c r="C206" s="31"/>
      <c r="D206" s="31"/>
      <c r="E206" s="31"/>
      <c r="F206" s="31"/>
      <c r="G206" s="31"/>
    </row>
    <row r="207" spans="1:7" x14ac:dyDescent="0.3">
      <c r="A207" s="131" t="s">
        <v>1366</v>
      </c>
      <c r="B207" s="130">
        <v>383</v>
      </c>
      <c r="C207" s="31"/>
      <c r="D207" s="31"/>
      <c r="E207" s="31"/>
      <c r="F207" s="31"/>
      <c r="G207" s="31"/>
    </row>
    <row r="208" spans="1:7" x14ac:dyDescent="0.3">
      <c r="A208" s="131" t="s">
        <v>1367</v>
      </c>
      <c r="B208" s="130">
        <v>192</v>
      </c>
      <c r="C208" s="31"/>
      <c r="D208" s="31"/>
      <c r="E208" s="31"/>
      <c r="F208" s="31"/>
      <c r="G208" s="31"/>
    </row>
    <row r="209" spans="1:7" x14ac:dyDescent="0.3">
      <c r="A209" s="131" t="s">
        <v>1368</v>
      </c>
      <c r="B209" s="130">
        <v>360</v>
      </c>
      <c r="C209" s="31"/>
      <c r="D209" s="31"/>
      <c r="E209" s="31"/>
      <c r="F209" s="31"/>
      <c r="G209" s="31"/>
    </row>
    <row r="210" spans="1:7" x14ac:dyDescent="0.3">
      <c r="A210" s="131" t="s">
        <v>1369</v>
      </c>
      <c r="B210" s="130">
        <v>237</v>
      </c>
      <c r="C210" s="31"/>
      <c r="D210" s="31"/>
      <c r="E210" s="31"/>
      <c r="F210" s="31"/>
      <c r="G210" s="31"/>
    </row>
    <row r="211" spans="1:7" x14ac:dyDescent="0.3">
      <c r="A211" s="131" t="s">
        <v>1370</v>
      </c>
      <c r="B211" s="130">
        <v>107</v>
      </c>
      <c r="C211" s="31"/>
      <c r="D211" s="31"/>
      <c r="E211" s="31"/>
      <c r="F211" s="31"/>
      <c r="G211" s="31"/>
    </row>
    <row r="212" spans="1:7" x14ac:dyDescent="0.3">
      <c r="A212" s="131" t="s">
        <v>1371</v>
      </c>
      <c r="B212" s="130">
        <v>34</v>
      </c>
      <c r="C212" s="31"/>
      <c r="D212" s="31"/>
      <c r="E212" s="31"/>
      <c r="F212" s="31"/>
      <c r="G212" s="31"/>
    </row>
    <row r="213" spans="1:7" x14ac:dyDescent="0.3">
      <c r="A213" s="131" t="s">
        <v>1372</v>
      </c>
      <c r="B213" s="130">
        <v>135</v>
      </c>
      <c r="C213" s="31"/>
      <c r="D213" s="31"/>
      <c r="E213" s="31"/>
      <c r="F213" s="31"/>
      <c r="G213" s="31"/>
    </row>
    <row r="214" spans="1:7" x14ac:dyDescent="0.3">
      <c r="A214" s="131" t="s">
        <v>1373</v>
      </c>
      <c r="B214" s="130">
        <v>45</v>
      </c>
      <c r="C214" s="31"/>
      <c r="D214" s="31"/>
      <c r="E214" s="31"/>
      <c r="F214" s="31"/>
      <c r="G214" s="31"/>
    </row>
    <row r="215" spans="1:7" x14ac:dyDescent="0.3">
      <c r="A215" s="131" t="s">
        <v>1374</v>
      </c>
      <c r="B215" s="130">
        <v>26</v>
      </c>
      <c r="C215" s="31"/>
      <c r="D215" s="31"/>
      <c r="E215" s="31"/>
      <c r="F215" s="31"/>
      <c r="G215" s="31"/>
    </row>
    <row r="216" spans="1:7" x14ac:dyDescent="0.3">
      <c r="A216" s="131" t="s">
        <v>1375</v>
      </c>
      <c r="B216" s="130">
        <v>136</v>
      </c>
      <c r="C216" s="31"/>
      <c r="D216" s="31"/>
      <c r="E216" s="31"/>
      <c r="F216" s="31"/>
      <c r="G216" s="31"/>
    </row>
    <row r="217" spans="1:7" x14ac:dyDescent="0.3">
      <c r="A217" s="131" t="s">
        <v>1376</v>
      </c>
      <c r="B217" s="130">
        <v>65</v>
      </c>
      <c r="C217" s="31"/>
      <c r="D217" s="31"/>
      <c r="E217" s="31"/>
      <c r="F217" s="31"/>
      <c r="G217" s="31"/>
    </row>
    <row r="218" spans="1:7" x14ac:dyDescent="0.3">
      <c r="A218" s="131" t="s">
        <v>1377</v>
      </c>
      <c r="B218" s="130">
        <v>97</v>
      </c>
      <c r="C218" s="31"/>
      <c r="D218" s="31"/>
      <c r="E218" s="31"/>
      <c r="F218" s="31"/>
      <c r="G218" s="31"/>
    </row>
    <row r="219" spans="1:7" x14ac:dyDescent="0.3">
      <c r="A219" s="131" t="s">
        <v>1378</v>
      </c>
      <c r="B219" s="130">
        <v>108</v>
      </c>
      <c r="C219" s="31"/>
      <c r="D219" s="31"/>
      <c r="E219" s="31"/>
      <c r="F219" s="31"/>
      <c r="G219" s="31"/>
    </row>
    <row r="220" spans="1:7" x14ac:dyDescent="0.3">
      <c r="A220" s="131" t="s">
        <v>1379</v>
      </c>
      <c r="B220" s="130">
        <v>145</v>
      </c>
      <c r="C220" s="31"/>
      <c r="D220" s="31"/>
      <c r="E220" s="31"/>
      <c r="F220" s="31"/>
      <c r="G220" s="31"/>
    </row>
    <row r="221" spans="1:7" x14ac:dyDescent="0.3">
      <c r="A221" s="131" t="s">
        <v>1380</v>
      </c>
      <c r="B221" s="130">
        <v>263</v>
      </c>
      <c r="C221" s="31"/>
      <c r="D221" s="31"/>
      <c r="E221" s="31"/>
      <c r="F221" s="31"/>
      <c r="G221" s="31"/>
    </row>
    <row r="222" spans="1:7" x14ac:dyDescent="0.3">
      <c r="A222" s="131" t="s">
        <v>1381</v>
      </c>
      <c r="B222" s="130">
        <v>0</v>
      </c>
      <c r="C222" s="31"/>
      <c r="D222" s="31"/>
      <c r="E222" s="31"/>
      <c r="F222" s="31"/>
      <c r="G222" s="31"/>
    </row>
    <row r="223" spans="1:7" x14ac:dyDescent="0.3">
      <c r="A223" s="131" t="s">
        <v>1382</v>
      </c>
      <c r="B223" s="130">
        <v>161</v>
      </c>
      <c r="C223" s="31"/>
      <c r="D223" s="31"/>
      <c r="E223" s="31"/>
      <c r="F223" s="31"/>
      <c r="G223" s="31"/>
    </row>
    <row r="224" spans="1:7" x14ac:dyDescent="0.3">
      <c r="A224" s="131" t="s">
        <v>1383</v>
      </c>
      <c r="B224" s="130">
        <v>109</v>
      </c>
      <c r="C224" s="31"/>
      <c r="D224" s="31"/>
      <c r="E224" s="31"/>
      <c r="F224" s="31"/>
      <c r="G224" s="31"/>
    </row>
    <row r="225" spans="1:7" x14ac:dyDescent="0.3">
      <c r="A225" s="131" t="s">
        <v>1384</v>
      </c>
      <c r="B225" s="130">
        <v>69</v>
      </c>
      <c r="C225" s="31"/>
      <c r="D225" s="31"/>
      <c r="E225" s="31"/>
      <c r="F225" s="31"/>
      <c r="G225" s="31"/>
    </row>
    <row r="226" spans="1:7" x14ac:dyDescent="0.3">
      <c r="A226" s="131" t="s">
        <v>1385</v>
      </c>
      <c r="B226" s="130">
        <v>169</v>
      </c>
      <c r="C226" s="31"/>
      <c r="D226" s="31"/>
      <c r="E226" s="31"/>
      <c r="F226" s="31"/>
      <c r="G226" s="31"/>
    </row>
    <row r="227" spans="1:7" x14ac:dyDescent="0.3">
      <c r="A227" s="131" t="s">
        <v>1386</v>
      </c>
      <c r="B227" s="130">
        <v>220</v>
      </c>
      <c r="C227" s="31"/>
      <c r="D227" s="31"/>
      <c r="E227" s="31"/>
      <c r="F227" s="31"/>
      <c r="G227" s="31"/>
    </row>
    <row r="228" spans="1:7" x14ac:dyDescent="0.3">
      <c r="A228" s="131" t="s">
        <v>1387</v>
      </c>
      <c r="B228" s="130">
        <v>169</v>
      </c>
      <c r="C228" s="31"/>
      <c r="D228" s="31"/>
      <c r="E228" s="31"/>
      <c r="F228" s="31"/>
      <c r="G228" s="31"/>
    </row>
    <row r="229" spans="1:7" x14ac:dyDescent="0.3">
      <c r="A229" s="131" t="s">
        <v>1388</v>
      </c>
      <c r="B229" s="130">
        <v>0</v>
      </c>
      <c r="C229" s="31"/>
      <c r="D229" s="31"/>
      <c r="E229" s="31"/>
      <c r="F229" s="31"/>
      <c r="G229" s="31"/>
    </row>
    <row r="230" spans="1:7" x14ac:dyDescent="0.3">
      <c r="A230" s="131" t="s">
        <v>1389</v>
      </c>
      <c r="B230" s="130">
        <v>255</v>
      </c>
      <c r="C230" s="31"/>
      <c r="D230" s="31"/>
      <c r="E230" s="31"/>
      <c r="F230" s="31"/>
      <c r="G230" s="31"/>
    </row>
    <row r="231" spans="1:7" x14ac:dyDescent="0.3">
      <c r="A231" s="131" t="s">
        <v>1390</v>
      </c>
      <c r="B231" s="130">
        <v>183</v>
      </c>
      <c r="C231" s="31"/>
      <c r="D231" s="31"/>
      <c r="E231" s="31"/>
      <c r="F231" s="31"/>
      <c r="G231" s="31"/>
    </row>
    <row r="232" spans="1:7" x14ac:dyDescent="0.3">
      <c r="A232" s="131" t="s">
        <v>1391</v>
      </c>
      <c r="B232" s="130">
        <v>293</v>
      </c>
      <c r="C232" s="31"/>
      <c r="D232" s="31"/>
      <c r="E232" s="31"/>
      <c r="F232" s="31"/>
      <c r="G232" s="31"/>
    </row>
    <row r="233" spans="1:7" x14ac:dyDescent="0.3">
      <c r="A233" s="131" t="s">
        <v>1392</v>
      </c>
      <c r="B233" s="130">
        <v>91</v>
      </c>
      <c r="C233" s="31"/>
      <c r="D233" s="31"/>
      <c r="E233" s="31"/>
      <c r="F233" s="31"/>
      <c r="G233" s="31"/>
    </row>
    <row r="234" spans="1:7" x14ac:dyDescent="0.3">
      <c r="A234" s="131" t="s">
        <v>1393</v>
      </c>
      <c r="B234" s="130">
        <v>85</v>
      </c>
      <c r="C234" s="31"/>
      <c r="D234" s="31"/>
      <c r="E234" s="31"/>
      <c r="F234" s="31"/>
      <c r="G234" s="31"/>
    </row>
    <row r="235" spans="1:7" x14ac:dyDescent="0.3">
      <c r="A235" s="131" t="s">
        <v>1394</v>
      </c>
      <c r="B235" s="130">
        <v>134</v>
      </c>
      <c r="C235" s="31"/>
      <c r="D235" s="31"/>
      <c r="E235" s="31"/>
      <c r="F235" s="31"/>
      <c r="G235" s="31"/>
    </row>
    <row r="236" spans="1:7" x14ac:dyDescent="0.3">
      <c r="A236" s="131" t="s">
        <v>1395</v>
      </c>
      <c r="B236" s="130">
        <v>154</v>
      </c>
      <c r="C236" s="31"/>
      <c r="D236" s="31"/>
      <c r="E236" s="31"/>
      <c r="F236" s="31"/>
      <c r="G236" s="31"/>
    </row>
    <row r="237" spans="1:7" x14ac:dyDescent="0.3">
      <c r="A237" s="131" t="s">
        <v>1396</v>
      </c>
      <c r="B237" s="130">
        <v>173</v>
      </c>
      <c r="C237" s="31"/>
      <c r="D237" s="31"/>
      <c r="E237" s="31"/>
      <c r="F237" s="31"/>
      <c r="G237" s="31"/>
    </row>
    <row r="238" spans="1:7" x14ac:dyDescent="0.3">
      <c r="A238" s="131" t="s">
        <v>1397</v>
      </c>
      <c r="B238" s="130">
        <v>109</v>
      </c>
      <c r="C238" s="31"/>
      <c r="D238" s="31"/>
      <c r="E238" s="31"/>
      <c r="F238" s="31"/>
      <c r="G238" s="31"/>
    </row>
    <row r="239" spans="1:7" x14ac:dyDescent="0.3">
      <c r="A239" s="131" t="s">
        <v>1398</v>
      </c>
      <c r="B239" s="130">
        <v>236</v>
      </c>
      <c r="C239" s="31"/>
      <c r="D239" s="31"/>
      <c r="E239" s="31"/>
      <c r="F239" s="31"/>
      <c r="G239" s="31"/>
    </row>
    <row r="240" spans="1:7" x14ac:dyDescent="0.3">
      <c r="A240" s="131" t="s">
        <v>1399</v>
      </c>
      <c r="B240" s="130">
        <v>111</v>
      </c>
      <c r="C240" s="31"/>
      <c r="D240" s="31"/>
      <c r="E240" s="31"/>
      <c r="F240" s="31"/>
      <c r="G240" s="31"/>
    </row>
    <row r="241" spans="1:7" x14ac:dyDescent="0.3">
      <c r="A241" s="131" t="s">
        <v>1400</v>
      </c>
      <c r="B241" s="130">
        <v>106</v>
      </c>
      <c r="C241" s="31"/>
      <c r="D241" s="31"/>
      <c r="E241" s="31"/>
      <c r="F241" s="31"/>
      <c r="G241" s="31"/>
    </row>
    <row r="242" spans="1:7" x14ac:dyDescent="0.3">
      <c r="A242" s="131" t="s">
        <v>1401</v>
      </c>
      <c r="B242" s="130">
        <v>208</v>
      </c>
      <c r="C242" s="31"/>
      <c r="D242" s="31"/>
      <c r="E242" s="31"/>
      <c r="F242" s="31"/>
      <c r="G242" s="31"/>
    </row>
    <row r="243" spans="1:7" x14ac:dyDescent="0.3">
      <c r="A243" s="131" t="s">
        <v>1402</v>
      </c>
      <c r="B243" s="130">
        <v>113</v>
      </c>
      <c r="C243" s="31"/>
      <c r="D243" s="31"/>
      <c r="E243" s="31"/>
      <c r="F243" s="31"/>
      <c r="G243" s="31"/>
    </row>
    <row r="244" spans="1:7" x14ac:dyDescent="0.3">
      <c r="A244" s="131" t="s">
        <v>1403</v>
      </c>
      <c r="B244" s="130">
        <v>56</v>
      </c>
      <c r="C244" s="31"/>
      <c r="D244" s="31"/>
      <c r="E244" s="31"/>
      <c r="F244" s="31"/>
      <c r="G244" s="31"/>
    </row>
    <row r="245" spans="1:7" x14ac:dyDescent="0.3">
      <c r="A245" s="131" t="s">
        <v>1404</v>
      </c>
      <c r="B245" s="130">
        <v>64</v>
      </c>
      <c r="C245" s="31"/>
      <c r="D245" s="31"/>
      <c r="E245" s="31"/>
      <c r="F245" s="31"/>
      <c r="G245" s="31"/>
    </row>
    <row r="246" spans="1:7" x14ac:dyDescent="0.3">
      <c r="A246" s="131" t="s">
        <v>1405</v>
      </c>
      <c r="B246" s="130">
        <v>107</v>
      </c>
      <c r="C246" s="31"/>
      <c r="D246" s="31"/>
      <c r="E246" s="31"/>
      <c r="F246" s="31"/>
      <c r="G246" s="31"/>
    </row>
    <row r="247" spans="1:7" x14ac:dyDescent="0.3">
      <c r="A247" s="131" t="s">
        <v>1406</v>
      </c>
      <c r="B247" s="130">
        <v>69</v>
      </c>
      <c r="C247" s="31"/>
      <c r="D247" s="31"/>
      <c r="E247" s="31"/>
      <c r="F247" s="31"/>
      <c r="G247" s="31"/>
    </row>
    <row r="248" spans="1:7" x14ac:dyDescent="0.3">
      <c r="A248" s="131" t="s">
        <v>1407</v>
      </c>
      <c r="B248" s="130">
        <v>130</v>
      </c>
      <c r="C248" s="31"/>
      <c r="D248" s="31"/>
      <c r="E248" s="31"/>
      <c r="F248" s="31"/>
      <c r="G248" s="31"/>
    </row>
    <row r="249" spans="1:7" x14ac:dyDescent="0.3">
      <c r="A249" s="131" t="s">
        <v>1408</v>
      </c>
      <c r="B249" s="130">
        <v>95</v>
      </c>
      <c r="C249" s="31"/>
      <c r="D249" s="31"/>
      <c r="E249" s="31"/>
      <c r="F249" s="31"/>
      <c r="G249" s="31"/>
    </row>
    <row r="250" spans="1:7" x14ac:dyDescent="0.3">
      <c r="A250" s="131" t="s">
        <v>1409</v>
      </c>
      <c r="B250" s="130">
        <v>165</v>
      </c>
      <c r="C250" s="31"/>
      <c r="D250" s="31"/>
      <c r="E250" s="31"/>
      <c r="F250" s="31"/>
      <c r="G250" s="31"/>
    </row>
    <row r="251" spans="1:7" x14ac:dyDescent="0.3">
      <c r="A251" s="131" t="s">
        <v>1410</v>
      </c>
      <c r="B251" s="130">
        <v>386</v>
      </c>
      <c r="C251" s="31"/>
      <c r="D251" s="31"/>
      <c r="E251" s="31"/>
      <c r="F251" s="31"/>
      <c r="G251" s="31"/>
    </row>
    <row r="252" spans="1:7" x14ac:dyDescent="0.3">
      <c r="A252" s="131" t="s">
        <v>1411</v>
      </c>
      <c r="B252" s="130" t="s">
        <v>1163</v>
      </c>
      <c r="C252" s="31"/>
      <c r="D252" s="31"/>
      <c r="E252" s="31"/>
      <c r="F252" s="31"/>
      <c r="G252" s="31"/>
    </row>
    <row r="253" spans="1:7" x14ac:dyDescent="0.3">
      <c r="A253" s="131" t="s">
        <v>1412</v>
      </c>
      <c r="B253" s="130">
        <v>62</v>
      </c>
      <c r="C253" s="31"/>
      <c r="D253" s="31"/>
      <c r="E253" s="31"/>
      <c r="F253" s="31"/>
      <c r="G253" s="31"/>
    </row>
    <row r="254" spans="1:7" x14ac:dyDescent="0.3">
      <c r="A254" s="131" t="s">
        <v>1413</v>
      </c>
      <c r="B254" s="130">
        <v>38</v>
      </c>
      <c r="C254" s="31"/>
      <c r="D254" s="31"/>
      <c r="E254" s="31"/>
      <c r="F254" s="31"/>
      <c r="G254" s="31"/>
    </row>
    <row r="255" spans="1:7" x14ac:dyDescent="0.3">
      <c r="A255" s="131" t="s">
        <v>1414</v>
      </c>
      <c r="B255" s="130">
        <v>140</v>
      </c>
      <c r="C255" s="31"/>
      <c r="D255" s="31"/>
      <c r="E255" s="31"/>
      <c r="F255" s="31"/>
      <c r="G255" s="31"/>
    </row>
    <row r="256" spans="1:7" x14ac:dyDescent="0.3">
      <c r="A256" s="131" t="s">
        <v>1415</v>
      </c>
      <c r="B256" s="130">
        <v>91</v>
      </c>
      <c r="C256" s="31"/>
      <c r="D256" s="31"/>
      <c r="E256" s="31"/>
      <c r="F256" s="31"/>
      <c r="G256" s="31"/>
    </row>
    <row r="257" spans="1:7" x14ac:dyDescent="0.3">
      <c r="A257" s="131" t="s">
        <v>1416</v>
      </c>
      <c r="B257" s="130">
        <v>14</v>
      </c>
      <c r="C257" s="31"/>
      <c r="D257" s="31"/>
      <c r="E257" s="31"/>
      <c r="F257" s="31"/>
      <c r="G257" s="31"/>
    </row>
    <row r="258" spans="1:7" x14ac:dyDescent="0.3">
      <c r="A258" s="131" t="s">
        <v>1417</v>
      </c>
      <c r="B258" s="130">
        <v>96</v>
      </c>
      <c r="C258" s="31"/>
      <c r="D258" s="31"/>
      <c r="E258" s="31"/>
      <c r="F258" s="31"/>
      <c r="G258" s="31"/>
    </row>
    <row r="259" spans="1:7" x14ac:dyDescent="0.3">
      <c r="A259" s="131" t="s">
        <v>1418</v>
      </c>
      <c r="B259" s="130">
        <v>0</v>
      </c>
      <c r="C259" s="31"/>
      <c r="D259" s="31"/>
      <c r="E259" s="31"/>
      <c r="F259" s="31"/>
      <c r="G259" s="31"/>
    </row>
    <row r="260" spans="1:7" x14ac:dyDescent="0.3">
      <c r="A260" s="131" t="s">
        <v>1419</v>
      </c>
      <c r="B260" s="130">
        <v>0</v>
      </c>
      <c r="C260" s="31"/>
      <c r="D260" s="31"/>
      <c r="E260" s="31"/>
      <c r="F260" s="31"/>
      <c r="G260" s="31"/>
    </row>
    <row r="261" spans="1:7" x14ac:dyDescent="0.3">
      <c r="A261" s="131" t="s">
        <v>1420</v>
      </c>
      <c r="B261" s="130">
        <v>0</v>
      </c>
      <c r="C261" s="31"/>
      <c r="D261" s="31"/>
      <c r="E261" s="31"/>
      <c r="F261" s="31"/>
      <c r="G261" s="31"/>
    </row>
    <row r="262" spans="1:7" x14ac:dyDescent="0.3">
      <c r="A262" s="131" t="s">
        <v>1421</v>
      </c>
      <c r="B262" s="130">
        <v>236</v>
      </c>
      <c r="C262" s="31"/>
      <c r="D262" s="31"/>
      <c r="E262" s="31"/>
      <c r="F262" s="31"/>
      <c r="G262" s="31"/>
    </row>
    <row r="263" spans="1:7" x14ac:dyDescent="0.3">
      <c r="A263" s="131" t="s">
        <v>1422</v>
      </c>
      <c r="B263" s="130">
        <v>142</v>
      </c>
      <c r="C263" s="31"/>
      <c r="D263" s="31"/>
      <c r="E263" s="31"/>
      <c r="F263" s="31"/>
      <c r="G263" s="31"/>
    </row>
    <row r="264" spans="1:7" x14ac:dyDescent="0.3">
      <c r="A264" s="131" t="s">
        <v>1423</v>
      </c>
      <c r="B264" s="130">
        <v>175</v>
      </c>
      <c r="C264" s="31"/>
      <c r="D264" s="31"/>
      <c r="E264" s="31"/>
      <c r="F264" s="31"/>
      <c r="G264" s="31"/>
    </row>
    <row r="265" spans="1:7" x14ac:dyDescent="0.3">
      <c r="A265" s="131" t="s">
        <v>1424</v>
      </c>
      <c r="B265" s="130">
        <v>0</v>
      </c>
      <c r="C265" s="31"/>
      <c r="D265" s="31"/>
      <c r="E265" s="31"/>
      <c r="F265" s="31"/>
      <c r="G265" s="31"/>
    </row>
    <row r="266" spans="1:7" x14ac:dyDescent="0.3">
      <c r="A266" s="131" t="s">
        <v>1425</v>
      </c>
      <c r="B266" s="130">
        <v>38</v>
      </c>
      <c r="C266" s="31"/>
      <c r="D266" s="31"/>
      <c r="E266" s="31"/>
      <c r="F266" s="31"/>
      <c r="G266" s="31"/>
    </row>
    <row r="267" spans="1:7" x14ac:dyDescent="0.3">
      <c r="A267" s="131" t="s">
        <v>1426</v>
      </c>
      <c r="B267" s="130">
        <v>0</v>
      </c>
      <c r="C267" s="31"/>
      <c r="D267" s="31"/>
      <c r="E267" s="31"/>
      <c r="F267" s="31"/>
      <c r="G267" s="31"/>
    </row>
    <row r="268" spans="1:7" x14ac:dyDescent="0.3">
      <c r="A268" s="131" t="s">
        <v>1427</v>
      </c>
      <c r="B268" s="130">
        <v>0</v>
      </c>
      <c r="C268" s="31"/>
      <c r="D268" s="31"/>
      <c r="E268" s="31"/>
      <c r="F268" s="31"/>
      <c r="G268" s="31"/>
    </row>
    <row r="269" spans="1:7" x14ac:dyDescent="0.3">
      <c r="A269" s="131" t="s">
        <v>1428</v>
      </c>
      <c r="B269" s="130">
        <v>0</v>
      </c>
      <c r="C269" s="31"/>
      <c r="D269" s="31"/>
      <c r="E269" s="31"/>
      <c r="F269" s="31"/>
      <c r="G269" s="31"/>
    </row>
    <row r="270" spans="1:7" x14ac:dyDescent="0.3">
      <c r="A270" s="131" t="s">
        <v>1429</v>
      </c>
      <c r="B270" s="130">
        <v>335</v>
      </c>
      <c r="C270" s="31"/>
      <c r="D270" s="31"/>
      <c r="E270" s="31"/>
      <c r="F270" s="31"/>
      <c r="G270" s="31"/>
    </row>
    <row r="271" spans="1:7" x14ac:dyDescent="0.3">
      <c r="A271" s="131" t="s">
        <v>1430</v>
      </c>
      <c r="B271" s="130">
        <v>336</v>
      </c>
      <c r="C271" s="31"/>
      <c r="D271" s="31"/>
      <c r="E271" s="31"/>
      <c r="F271" s="31"/>
      <c r="G271" s="31"/>
    </row>
    <row r="272" spans="1:7" x14ac:dyDescent="0.3">
      <c r="A272" s="131" t="s">
        <v>1431</v>
      </c>
      <c r="B272" s="130">
        <v>361</v>
      </c>
      <c r="C272" s="31"/>
      <c r="D272" s="31"/>
      <c r="E272" s="31"/>
      <c r="F272" s="31"/>
      <c r="G272" s="31"/>
    </row>
    <row r="273" spans="1:7" x14ac:dyDescent="0.3">
      <c r="A273" s="131" t="s">
        <v>1432</v>
      </c>
      <c r="B273" s="130">
        <v>180</v>
      </c>
      <c r="C273" s="31"/>
      <c r="D273" s="31"/>
      <c r="E273" s="31"/>
      <c r="F273" s="31"/>
      <c r="G273" s="31"/>
    </row>
    <row r="274" spans="1:7" x14ac:dyDescent="0.3">
      <c r="A274" s="131" t="s">
        <v>1433</v>
      </c>
      <c r="B274" s="130">
        <v>213</v>
      </c>
      <c r="C274" s="31"/>
      <c r="D274" s="31"/>
      <c r="E274" s="31"/>
      <c r="F274" s="31"/>
      <c r="G274" s="31"/>
    </row>
    <row r="275" spans="1:7" x14ac:dyDescent="0.3">
      <c r="A275" s="131" t="s">
        <v>1434</v>
      </c>
      <c r="B275" s="130">
        <v>440</v>
      </c>
      <c r="C275" s="31"/>
      <c r="D275" s="31"/>
      <c r="E275" s="31"/>
      <c r="F275" s="31"/>
      <c r="G275" s="31"/>
    </row>
    <row r="276" spans="1:7" x14ac:dyDescent="0.3">
      <c r="A276" s="131" t="s">
        <v>1435</v>
      </c>
      <c r="B276" s="130">
        <v>227</v>
      </c>
      <c r="C276" s="31"/>
      <c r="D276" s="31"/>
      <c r="E276" s="31"/>
      <c r="F276" s="31"/>
      <c r="G276" s="31"/>
    </row>
    <row r="277" spans="1:7" x14ac:dyDescent="0.3">
      <c r="A277" s="131" t="s">
        <v>1436</v>
      </c>
      <c r="B277" s="130">
        <v>88</v>
      </c>
      <c r="C277" s="31"/>
      <c r="D277" s="31"/>
      <c r="E277" s="31"/>
      <c r="F277" s="31"/>
      <c r="G277" s="31"/>
    </row>
    <row r="278" spans="1:7" x14ac:dyDescent="0.3">
      <c r="A278" s="131" t="s">
        <v>1437</v>
      </c>
      <c r="B278" s="130">
        <v>0</v>
      </c>
      <c r="C278" s="31"/>
      <c r="D278" s="31"/>
      <c r="E278" s="31"/>
      <c r="F278" s="31"/>
      <c r="G278" s="31"/>
    </row>
    <row r="279" spans="1:7" x14ac:dyDescent="0.3">
      <c r="A279" s="131" t="s">
        <v>1438</v>
      </c>
      <c r="B279" s="130" t="s">
        <v>1163</v>
      </c>
      <c r="C279" s="31"/>
      <c r="D279" s="31"/>
      <c r="E279" s="31"/>
      <c r="F279" s="31"/>
      <c r="G279" s="31"/>
    </row>
    <row r="280" spans="1:7" x14ac:dyDescent="0.3">
      <c r="A280" s="131" t="s">
        <v>1439</v>
      </c>
      <c r="B280" s="130">
        <v>17</v>
      </c>
      <c r="C280" s="31"/>
      <c r="D280" s="31"/>
      <c r="E280" s="31"/>
      <c r="F280" s="31"/>
      <c r="G280" s="31"/>
    </row>
    <row r="281" spans="1:7" x14ac:dyDescent="0.3">
      <c r="A281" s="131" t="s">
        <v>1440</v>
      </c>
      <c r="B281" s="130">
        <v>98</v>
      </c>
      <c r="C281" s="31"/>
      <c r="D281" s="31"/>
      <c r="E281" s="31"/>
      <c r="F281" s="31"/>
      <c r="G281" s="31"/>
    </row>
    <row r="282" spans="1:7" x14ac:dyDescent="0.3">
      <c r="A282" s="131" t="s">
        <v>1441</v>
      </c>
      <c r="B282" s="130">
        <v>40</v>
      </c>
      <c r="C282" s="31"/>
      <c r="D282" s="31"/>
      <c r="E282" s="31"/>
      <c r="F282" s="31"/>
      <c r="G282" s="31"/>
    </row>
    <row r="283" spans="1:7" x14ac:dyDescent="0.3">
      <c r="A283" s="131" t="s">
        <v>1442</v>
      </c>
      <c r="B283" s="130">
        <v>0</v>
      </c>
      <c r="C283" s="31"/>
      <c r="D283" s="31"/>
      <c r="E283" s="31"/>
      <c r="F283" s="31"/>
      <c r="G283" s="31"/>
    </row>
    <row r="284" spans="1:7" x14ac:dyDescent="0.3">
      <c r="A284" s="131" t="s">
        <v>1443</v>
      </c>
      <c r="B284" s="130">
        <v>53</v>
      </c>
      <c r="C284" s="31"/>
      <c r="D284" s="31"/>
      <c r="E284" s="31"/>
      <c r="F284" s="31"/>
      <c r="G284" s="31"/>
    </row>
    <row r="285" spans="1:7" x14ac:dyDescent="0.3">
      <c r="A285" s="131" t="s">
        <v>1444</v>
      </c>
      <c r="B285" s="130">
        <v>117</v>
      </c>
      <c r="C285" s="31"/>
      <c r="D285" s="31"/>
      <c r="E285" s="31"/>
      <c r="F285" s="31"/>
      <c r="G285" s="31"/>
    </row>
    <row r="286" spans="1:7" x14ac:dyDescent="0.3">
      <c r="A286" s="131" t="s">
        <v>1445</v>
      </c>
      <c r="B286" s="130">
        <v>164</v>
      </c>
      <c r="C286" s="31"/>
      <c r="D286" s="31"/>
      <c r="E286" s="31"/>
      <c r="F286" s="31"/>
      <c r="G286" s="31"/>
    </row>
    <row r="287" spans="1:7" x14ac:dyDescent="0.3">
      <c r="A287" s="131" t="s">
        <v>1446</v>
      </c>
      <c r="B287" s="130">
        <v>499</v>
      </c>
      <c r="C287" s="31"/>
      <c r="D287" s="31"/>
      <c r="E287" s="31"/>
      <c r="F287" s="31"/>
      <c r="G287" s="31"/>
    </row>
    <row r="288" spans="1:7" x14ac:dyDescent="0.3">
      <c r="A288" s="131" t="s">
        <v>1447</v>
      </c>
      <c r="B288" s="130" t="s">
        <v>1163</v>
      </c>
      <c r="C288" s="31"/>
      <c r="D288" s="31"/>
      <c r="E288" s="31"/>
      <c r="F288" s="31"/>
      <c r="G288" s="31"/>
    </row>
    <row r="289" spans="1:7" x14ac:dyDescent="0.3">
      <c r="A289" s="131" t="s">
        <v>1448</v>
      </c>
      <c r="B289" s="130">
        <v>0</v>
      </c>
      <c r="C289" s="31"/>
      <c r="D289" s="31"/>
      <c r="E289" s="31"/>
      <c r="F289" s="31"/>
      <c r="G289" s="31"/>
    </row>
    <row r="290" spans="1:7" x14ac:dyDescent="0.3">
      <c r="A290" s="131" t="s">
        <v>1449</v>
      </c>
      <c r="B290" s="130">
        <v>0</v>
      </c>
      <c r="C290" s="31"/>
      <c r="D290" s="31"/>
      <c r="E290" s="31"/>
      <c r="F290" s="31"/>
      <c r="G290" s="31"/>
    </row>
    <row r="291" spans="1:7" x14ac:dyDescent="0.3">
      <c r="A291" s="131" t="s">
        <v>1450</v>
      </c>
      <c r="B291" s="130">
        <v>10</v>
      </c>
      <c r="C291" s="31"/>
      <c r="D291" s="31"/>
      <c r="E291" s="31"/>
      <c r="F291" s="31"/>
      <c r="G291" s="31"/>
    </row>
    <row r="292" spans="1:7" x14ac:dyDescent="0.3">
      <c r="A292" s="131" t="s">
        <v>1451</v>
      </c>
      <c r="B292" s="130">
        <v>339</v>
      </c>
      <c r="C292" s="31"/>
      <c r="D292" s="31"/>
      <c r="E292" s="31"/>
      <c r="F292" s="31"/>
      <c r="G292" s="31"/>
    </row>
    <row r="293" spans="1:7" x14ac:dyDescent="0.3">
      <c r="A293" s="131" t="s">
        <v>1452</v>
      </c>
      <c r="B293" s="130">
        <v>203</v>
      </c>
      <c r="C293" s="31"/>
      <c r="D293" s="31"/>
      <c r="E293" s="31"/>
      <c r="F293" s="31"/>
      <c r="G293" s="31"/>
    </row>
    <row r="294" spans="1:7" x14ac:dyDescent="0.3">
      <c r="A294" s="131" t="s">
        <v>1453</v>
      </c>
      <c r="B294" s="130">
        <v>206</v>
      </c>
      <c r="C294" s="31"/>
      <c r="D294" s="31"/>
      <c r="E294" s="31"/>
      <c r="F294" s="31"/>
      <c r="G294" s="31"/>
    </row>
    <row r="295" spans="1:7" x14ac:dyDescent="0.3">
      <c r="A295" s="131" t="s">
        <v>1454</v>
      </c>
      <c r="B295" s="130">
        <v>88</v>
      </c>
      <c r="C295" s="31"/>
      <c r="D295" s="31"/>
      <c r="E295" s="31"/>
      <c r="F295" s="31"/>
      <c r="G295" s="31"/>
    </row>
    <row r="296" spans="1:7" x14ac:dyDescent="0.3">
      <c r="A296" s="131" t="s">
        <v>1455</v>
      </c>
      <c r="B296" s="130">
        <v>163</v>
      </c>
      <c r="C296" s="31"/>
      <c r="D296" s="31"/>
      <c r="E296" s="31"/>
      <c r="F296" s="31"/>
      <c r="G296" s="31"/>
    </row>
    <row r="297" spans="1:7" x14ac:dyDescent="0.3">
      <c r="A297" s="131" t="s">
        <v>1456</v>
      </c>
      <c r="B297" s="130">
        <v>88</v>
      </c>
      <c r="C297" s="31"/>
      <c r="D297" s="31"/>
      <c r="E297" s="31"/>
      <c r="F297" s="31"/>
      <c r="G297" s="31"/>
    </row>
    <row r="298" spans="1:7" x14ac:dyDescent="0.3">
      <c r="A298" s="131" t="s">
        <v>1457</v>
      </c>
      <c r="B298" s="130">
        <v>61</v>
      </c>
      <c r="C298" s="31"/>
      <c r="D298" s="31"/>
      <c r="E298" s="31"/>
      <c r="F298" s="31"/>
      <c r="G298" s="31"/>
    </row>
    <row r="299" spans="1:7" x14ac:dyDescent="0.3">
      <c r="A299" s="131" t="s">
        <v>1458</v>
      </c>
      <c r="B299" s="130">
        <v>79</v>
      </c>
      <c r="C299" s="31"/>
      <c r="D299" s="31"/>
      <c r="E299" s="31"/>
      <c r="F299" s="31"/>
      <c r="G299" s="31"/>
    </row>
    <row r="300" spans="1:7" x14ac:dyDescent="0.3">
      <c r="A300" s="131" t="s">
        <v>1459</v>
      </c>
      <c r="B300" s="130">
        <v>38</v>
      </c>
      <c r="C300" s="31"/>
      <c r="D300" s="31"/>
      <c r="E300" s="31"/>
      <c r="F300" s="31"/>
      <c r="G300" s="31"/>
    </row>
    <row r="301" spans="1:7" x14ac:dyDescent="0.3">
      <c r="A301" s="131" t="s">
        <v>1460</v>
      </c>
      <c r="B301" s="130">
        <v>14</v>
      </c>
      <c r="C301" s="31"/>
      <c r="D301" s="31"/>
      <c r="E301" s="31"/>
      <c r="F301" s="31"/>
      <c r="G301" s="31"/>
    </row>
    <row r="302" spans="1:7" x14ac:dyDescent="0.3">
      <c r="A302" s="131" t="s">
        <v>1461</v>
      </c>
      <c r="B302" s="130">
        <v>73</v>
      </c>
      <c r="C302" s="31"/>
      <c r="D302" s="31"/>
      <c r="E302" s="31"/>
      <c r="F302" s="31"/>
      <c r="G302" s="31"/>
    </row>
    <row r="303" spans="1:7" x14ac:dyDescent="0.3">
      <c r="A303" s="131" t="s">
        <v>1462</v>
      </c>
      <c r="B303" s="130">
        <v>187</v>
      </c>
      <c r="C303" s="31"/>
      <c r="D303" s="31"/>
      <c r="E303" s="31"/>
      <c r="F303" s="31"/>
      <c r="G303" s="31"/>
    </row>
    <row r="304" spans="1:7" x14ac:dyDescent="0.3">
      <c r="A304" s="131" t="s">
        <v>1463</v>
      </c>
      <c r="B304" s="130">
        <v>197</v>
      </c>
      <c r="C304" s="31"/>
      <c r="D304" s="31"/>
      <c r="E304" s="31"/>
      <c r="F304" s="31"/>
      <c r="G304" s="31"/>
    </row>
    <row r="305" spans="1:7" x14ac:dyDescent="0.3">
      <c r="A305" s="131" t="s">
        <v>1464</v>
      </c>
      <c r="B305" s="130">
        <v>218</v>
      </c>
      <c r="C305" s="31"/>
      <c r="D305" s="31"/>
      <c r="E305" s="31"/>
      <c r="F305" s="31"/>
      <c r="G305" s="31"/>
    </row>
    <row r="306" spans="1:7" x14ac:dyDescent="0.3">
      <c r="A306" s="131" t="s">
        <v>1465</v>
      </c>
      <c r="B306" s="130">
        <v>188</v>
      </c>
      <c r="C306" s="31"/>
      <c r="D306" s="31"/>
      <c r="E306" s="31"/>
      <c r="F306" s="31"/>
      <c r="G306" s="31"/>
    </row>
    <row r="307" spans="1:7" x14ac:dyDescent="0.3">
      <c r="A307" s="131" t="s">
        <v>1466</v>
      </c>
      <c r="B307" s="130">
        <v>247</v>
      </c>
      <c r="C307" s="31"/>
      <c r="D307" s="31"/>
      <c r="E307" s="31"/>
      <c r="F307" s="31"/>
      <c r="G307" s="31"/>
    </row>
    <row r="308" spans="1:7" x14ac:dyDescent="0.3">
      <c r="A308" s="131" t="s">
        <v>1467</v>
      </c>
      <c r="B308" s="130">
        <v>162</v>
      </c>
      <c r="C308" s="31"/>
      <c r="D308" s="31"/>
      <c r="E308" s="31"/>
      <c r="F308" s="31"/>
      <c r="G308" s="31"/>
    </row>
    <row r="309" spans="1:7" x14ac:dyDescent="0.3">
      <c r="A309" s="131" t="s">
        <v>1468</v>
      </c>
      <c r="B309" s="130">
        <v>261</v>
      </c>
      <c r="C309" s="31"/>
      <c r="D309" s="31"/>
      <c r="E309" s="31"/>
      <c r="F309" s="31"/>
      <c r="G309" s="31"/>
    </row>
    <row r="310" spans="1:7" x14ac:dyDescent="0.3">
      <c r="A310" s="131" t="s">
        <v>1469</v>
      </c>
      <c r="B310" s="130">
        <v>0</v>
      </c>
      <c r="C310" s="31"/>
      <c r="D310" s="31"/>
      <c r="E310" s="31"/>
      <c r="F310" s="31"/>
      <c r="G310" s="31"/>
    </row>
    <row r="311" spans="1:7" x14ac:dyDescent="0.3">
      <c r="A311" s="131" t="s">
        <v>1470</v>
      </c>
      <c r="B311" s="130">
        <v>153</v>
      </c>
      <c r="C311" s="31"/>
      <c r="D311" s="31"/>
      <c r="E311" s="31"/>
      <c r="F311" s="31"/>
      <c r="G311" s="31"/>
    </row>
    <row r="312" spans="1:7" x14ac:dyDescent="0.3">
      <c r="A312" s="131" t="s">
        <v>1471</v>
      </c>
      <c r="B312" s="130">
        <v>118</v>
      </c>
      <c r="C312" s="31"/>
      <c r="D312" s="31"/>
      <c r="E312" s="31"/>
      <c r="F312" s="31"/>
      <c r="G312" s="31"/>
    </row>
    <row r="313" spans="1:7" x14ac:dyDescent="0.3">
      <c r="A313" s="131" t="s">
        <v>1472</v>
      </c>
      <c r="B313" s="130">
        <v>194</v>
      </c>
      <c r="C313" s="31"/>
      <c r="D313" s="31"/>
      <c r="E313" s="31"/>
      <c r="F313" s="31"/>
      <c r="G313" s="31"/>
    </row>
    <row r="314" spans="1:7" x14ac:dyDescent="0.3">
      <c r="A314" s="131" t="s">
        <v>1473</v>
      </c>
      <c r="B314" s="130">
        <v>94</v>
      </c>
      <c r="C314" s="31"/>
      <c r="D314" s="31"/>
      <c r="E314" s="31"/>
      <c r="F314" s="31"/>
      <c r="G314" s="31"/>
    </row>
    <row r="315" spans="1:7" x14ac:dyDescent="0.3">
      <c r="A315" s="131" t="s">
        <v>1474</v>
      </c>
      <c r="B315" s="130">
        <v>285</v>
      </c>
      <c r="C315" s="31"/>
      <c r="D315" s="31"/>
      <c r="E315" s="31"/>
      <c r="F315" s="31"/>
      <c r="G315" s="31"/>
    </row>
    <row r="316" spans="1:7" x14ac:dyDescent="0.3">
      <c r="A316" s="131" t="s">
        <v>1475</v>
      </c>
      <c r="B316" s="130">
        <v>113</v>
      </c>
      <c r="C316" s="31"/>
      <c r="D316" s="31"/>
      <c r="E316" s="31"/>
      <c r="F316" s="31"/>
      <c r="G316" s="31"/>
    </row>
    <row r="317" spans="1:7" x14ac:dyDescent="0.3">
      <c r="A317" s="131" t="s">
        <v>1476</v>
      </c>
      <c r="B317" s="130">
        <v>46</v>
      </c>
      <c r="C317" s="31"/>
      <c r="D317" s="31"/>
      <c r="E317" s="31"/>
      <c r="F317" s="31"/>
      <c r="G317" s="31"/>
    </row>
    <row r="318" spans="1:7" x14ac:dyDescent="0.3">
      <c r="A318" s="131" t="s">
        <v>1477</v>
      </c>
      <c r="B318" s="130">
        <v>181</v>
      </c>
      <c r="C318" s="31"/>
      <c r="D318" s="31"/>
      <c r="E318" s="31"/>
      <c r="F318" s="31"/>
      <c r="G318" s="31"/>
    </row>
    <row r="319" spans="1:7" x14ac:dyDescent="0.3">
      <c r="A319" s="131" t="s">
        <v>1478</v>
      </c>
      <c r="B319" s="130">
        <v>137</v>
      </c>
      <c r="C319" s="31"/>
      <c r="D319" s="31"/>
      <c r="E319" s="31"/>
      <c r="F319" s="31"/>
      <c r="G319" s="31"/>
    </row>
    <row r="320" spans="1:7" x14ac:dyDescent="0.3">
      <c r="A320" s="131" t="s">
        <v>1479</v>
      </c>
      <c r="B320" s="130">
        <v>0</v>
      </c>
      <c r="C320" s="31"/>
      <c r="D320" s="31"/>
      <c r="E320" s="31"/>
      <c r="F320" s="31"/>
      <c r="G320" s="31"/>
    </row>
    <row r="321" spans="1:7" x14ac:dyDescent="0.3">
      <c r="A321" s="131" t="s">
        <v>1480</v>
      </c>
      <c r="B321" s="130">
        <v>111</v>
      </c>
      <c r="C321" s="31"/>
      <c r="D321" s="31"/>
      <c r="E321" s="31"/>
      <c r="F321" s="31"/>
      <c r="G321" s="31"/>
    </row>
    <row r="322" spans="1:7" x14ac:dyDescent="0.3">
      <c r="A322" s="131" t="s">
        <v>1481</v>
      </c>
      <c r="B322" s="130">
        <v>0</v>
      </c>
      <c r="C322" s="31"/>
      <c r="D322" s="31"/>
      <c r="E322" s="31"/>
      <c r="F322" s="31"/>
      <c r="G322" s="31"/>
    </row>
    <row r="323" spans="1:7" x14ac:dyDescent="0.3">
      <c r="A323" s="131" t="s">
        <v>1482</v>
      </c>
      <c r="B323" s="130">
        <v>400</v>
      </c>
      <c r="C323" s="31"/>
      <c r="D323" s="31"/>
      <c r="E323" s="31"/>
      <c r="F323" s="31"/>
      <c r="G323" s="31"/>
    </row>
    <row r="324" spans="1:7" x14ac:dyDescent="0.3">
      <c r="A324" s="131" t="s">
        <v>1483</v>
      </c>
      <c r="B324" s="130">
        <v>0</v>
      </c>
      <c r="C324" s="31"/>
      <c r="D324" s="31"/>
      <c r="E324" s="31"/>
      <c r="F324" s="31"/>
      <c r="G324" s="31"/>
    </row>
    <row r="325" spans="1:7" x14ac:dyDescent="0.3">
      <c r="A325" s="131" t="s">
        <v>1484</v>
      </c>
      <c r="B325" s="130">
        <v>0</v>
      </c>
      <c r="C325" s="31"/>
      <c r="D325" s="31"/>
      <c r="E325" s="31"/>
      <c r="F325" s="31"/>
      <c r="G325" s="31"/>
    </row>
    <row r="326" spans="1:7" x14ac:dyDescent="0.3">
      <c r="A326" s="131" t="s">
        <v>1485</v>
      </c>
      <c r="B326" s="130" t="s">
        <v>1163</v>
      </c>
      <c r="C326" s="31"/>
      <c r="D326" s="31"/>
      <c r="E326" s="31"/>
      <c r="F326" s="31"/>
      <c r="G326" s="31"/>
    </row>
    <row r="327" spans="1:7" x14ac:dyDescent="0.3">
      <c r="A327" s="131" t="s">
        <v>1486</v>
      </c>
      <c r="B327" s="130">
        <v>35</v>
      </c>
      <c r="C327" s="31"/>
      <c r="D327" s="31"/>
      <c r="E327" s="31"/>
      <c r="F327" s="31"/>
      <c r="G327" s="31"/>
    </row>
    <row r="328" spans="1:7" x14ac:dyDescent="0.3">
      <c r="A328" s="131" t="s">
        <v>1487</v>
      </c>
      <c r="B328" s="130">
        <v>26</v>
      </c>
      <c r="C328" s="31"/>
      <c r="D328" s="31"/>
      <c r="E328" s="31"/>
      <c r="F328" s="31"/>
      <c r="G328" s="31"/>
    </row>
    <row r="329" spans="1:7" x14ac:dyDescent="0.3">
      <c r="A329" s="131" t="s">
        <v>1488</v>
      </c>
      <c r="B329" s="130" t="s">
        <v>1163</v>
      </c>
      <c r="C329" s="31"/>
      <c r="D329" s="31"/>
      <c r="E329" s="31"/>
      <c r="F329" s="31"/>
      <c r="G329" s="31"/>
    </row>
    <row r="330" spans="1:7" x14ac:dyDescent="0.3">
      <c r="A330" s="131" t="s">
        <v>1489</v>
      </c>
      <c r="B330" s="130">
        <v>18</v>
      </c>
      <c r="C330" s="31"/>
      <c r="D330" s="31"/>
      <c r="E330" s="31"/>
      <c r="F330" s="31"/>
      <c r="G330" s="31"/>
    </row>
    <row r="331" spans="1:7" x14ac:dyDescent="0.3">
      <c r="A331" s="131" t="s">
        <v>1490</v>
      </c>
      <c r="B331" s="130">
        <v>39</v>
      </c>
      <c r="C331" s="31"/>
      <c r="D331" s="31"/>
      <c r="E331" s="31"/>
      <c r="F331" s="31"/>
      <c r="G331" s="31"/>
    </row>
    <row r="332" spans="1:7" x14ac:dyDescent="0.3">
      <c r="A332" s="131" t="s">
        <v>1491</v>
      </c>
      <c r="B332" s="130">
        <v>63</v>
      </c>
      <c r="C332" s="31"/>
      <c r="D332" s="31"/>
      <c r="E332" s="31"/>
      <c r="F332" s="31"/>
      <c r="G332" s="31"/>
    </row>
    <row r="333" spans="1:7" x14ac:dyDescent="0.3">
      <c r="A333" s="131" t="s">
        <v>1492</v>
      </c>
      <c r="B333" s="130">
        <v>86</v>
      </c>
      <c r="C333" s="31"/>
      <c r="D333" s="31"/>
      <c r="E333" s="31"/>
      <c r="F333" s="31"/>
      <c r="G333" s="31"/>
    </row>
    <row r="334" spans="1:7" x14ac:dyDescent="0.3">
      <c r="A334" s="131" t="s">
        <v>1493</v>
      </c>
      <c r="B334" s="130">
        <v>81</v>
      </c>
      <c r="C334" s="31"/>
      <c r="D334" s="31"/>
      <c r="E334" s="31"/>
      <c r="F334" s="31"/>
      <c r="G334" s="31"/>
    </row>
    <row r="335" spans="1:7" x14ac:dyDescent="0.3">
      <c r="A335" s="131" t="s">
        <v>1494</v>
      </c>
      <c r="B335" s="130">
        <v>122</v>
      </c>
      <c r="C335" s="31"/>
      <c r="D335" s="31"/>
      <c r="E335" s="31"/>
      <c r="F335" s="31"/>
      <c r="G335" s="31"/>
    </row>
    <row r="336" spans="1:7" x14ac:dyDescent="0.3">
      <c r="A336" s="131" t="s">
        <v>1495</v>
      </c>
      <c r="B336" s="130">
        <v>213</v>
      </c>
      <c r="C336" s="31"/>
      <c r="D336" s="31"/>
      <c r="E336" s="31"/>
      <c r="F336" s="31"/>
      <c r="G336" s="31"/>
    </row>
    <row r="337" spans="1:7" x14ac:dyDescent="0.3">
      <c r="A337" s="131" t="s">
        <v>1496</v>
      </c>
      <c r="B337" s="130" t="s">
        <v>1163</v>
      </c>
      <c r="C337" s="31"/>
      <c r="D337" s="31"/>
      <c r="E337" s="31"/>
      <c r="F337" s="31"/>
      <c r="G337" s="31"/>
    </row>
    <row r="338" spans="1:7" x14ac:dyDescent="0.3">
      <c r="A338" s="131" t="s">
        <v>1497</v>
      </c>
      <c r="B338" s="130">
        <v>127</v>
      </c>
      <c r="C338" s="31"/>
      <c r="D338" s="31"/>
      <c r="E338" s="31"/>
      <c r="F338" s="31"/>
      <c r="G338" s="31"/>
    </row>
    <row r="339" spans="1:7" x14ac:dyDescent="0.3">
      <c r="A339" s="131" t="s">
        <v>1498</v>
      </c>
      <c r="B339" s="130">
        <v>51</v>
      </c>
      <c r="C339" s="31"/>
      <c r="D339" s="31"/>
      <c r="E339" s="31"/>
      <c r="F339" s="31"/>
      <c r="G339" s="31"/>
    </row>
    <row r="340" spans="1:7" x14ac:dyDescent="0.3">
      <c r="A340" s="131" t="s">
        <v>1499</v>
      </c>
      <c r="B340" s="130">
        <v>78</v>
      </c>
      <c r="C340" s="31"/>
      <c r="D340" s="31"/>
      <c r="E340" s="31"/>
      <c r="F340" s="31"/>
      <c r="G340" s="31"/>
    </row>
    <row r="341" spans="1:7" x14ac:dyDescent="0.3">
      <c r="A341" s="131" t="s">
        <v>1500</v>
      </c>
      <c r="B341" s="130">
        <v>269</v>
      </c>
      <c r="C341" s="31"/>
      <c r="D341" s="31"/>
      <c r="E341" s="31"/>
      <c r="F341" s="31"/>
      <c r="G341" s="31"/>
    </row>
    <row r="342" spans="1:7" x14ac:dyDescent="0.3">
      <c r="A342" s="131" t="s">
        <v>1501</v>
      </c>
      <c r="B342" s="130">
        <v>86</v>
      </c>
      <c r="C342" s="31"/>
      <c r="D342" s="31"/>
      <c r="E342" s="31"/>
      <c r="F342" s="31"/>
      <c r="G342" s="31"/>
    </row>
    <row r="343" spans="1:7" x14ac:dyDescent="0.3">
      <c r="A343" s="131" t="s">
        <v>1502</v>
      </c>
      <c r="B343" s="130">
        <v>89</v>
      </c>
      <c r="C343" s="31"/>
      <c r="D343" s="31"/>
      <c r="E343" s="31"/>
      <c r="F343" s="31"/>
      <c r="G343" s="31"/>
    </row>
    <row r="344" spans="1:7" x14ac:dyDescent="0.3">
      <c r="A344" s="131" t="s">
        <v>1503</v>
      </c>
      <c r="B344" s="130">
        <v>119</v>
      </c>
      <c r="C344" s="31"/>
      <c r="D344" s="31"/>
      <c r="E344" s="31"/>
      <c r="F344" s="31"/>
      <c r="G344" s="31"/>
    </row>
    <row r="345" spans="1:7" x14ac:dyDescent="0.3">
      <c r="A345" s="131" t="s">
        <v>1504</v>
      </c>
      <c r="B345" s="130">
        <v>128</v>
      </c>
      <c r="C345" s="31"/>
      <c r="D345" s="31"/>
      <c r="E345" s="31"/>
      <c r="F345" s="31"/>
      <c r="G345" s="31"/>
    </row>
    <row r="346" spans="1:7" x14ac:dyDescent="0.3">
      <c r="A346" s="131" t="s">
        <v>1505</v>
      </c>
      <c r="B346" s="130">
        <v>201</v>
      </c>
      <c r="C346" s="31"/>
      <c r="D346" s="31"/>
      <c r="E346" s="31"/>
      <c r="F346" s="31"/>
      <c r="G346" s="31"/>
    </row>
    <row r="347" spans="1:7" x14ac:dyDescent="0.3">
      <c r="A347" s="131" t="s">
        <v>1506</v>
      </c>
      <c r="B347" s="130">
        <v>67</v>
      </c>
      <c r="C347" s="31"/>
      <c r="D347" s="31"/>
      <c r="E347" s="31"/>
      <c r="F347" s="31"/>
      <c r="G347" s="31"/>
    </row>
    <row r="348" spans="1:7" x14ac:dyDescent="0.3">
      <c r="A348" s="131" t="s">
        <v>1507</v>
      </c>
      <c r="B348" s="130" t="s">
        <v>1163</v>
      </c>
      <c r="C348" s="31"/>
      <c r="D348" s="31"/>
      <c r="E348" s="31"/>
      <c r="F348" s="31"/>
      <c r="G348" s="31"/>
    </row>
    <row r="349" spans="1:7" x14ac:dyDescent="0.3">
      <c r="A349" s="131" t="s">
        <v>1508</v>
      </c>
      <c r="B349" s="130">
        <v>124</v>
      </c>
      <c r="C349" s="31"/>
      <c r="D349" s="31"/>
      <c r="E349" s="31"/>
      <c r="F349" s="31"/>
      <c r="G349" s="31"/>
    </row>
    <row r="350" spans="1:7" x14ac:dyDescent="0.3">
      <c r="A350" s="131" t="s">
        <v>1509</v>
      </c>
      <c r="B350" s="130">
        <v>24</v>
      </c>
      <c r="C350" s="31"/>
      <c r="D350" s="31"/>
      <c r="E350" s="31"/>
      <c r="F350" s="31"/>
      <c r="G350" s="31"/>
    </row>
    <row r="351" spans="1:7" x14ac:dyDescent="0.3">
      <c r="A351" s="131" t="s">
        <v>1510</v>
      </c>
      <c r="B351" s="130">
        <v>98</v>
      </c>
      <c r="C351" s="31"/>
      <c r="D351" s="31"/>
      <c r="E351" s="31"/>
      <c r="F351" s="31"/>
      <c r="G351" s="31"/>
    </row>
    <row r="352" spans="1:7" x14ac:dyDescent="0.3">
      <c r="A352" s="131" t="s">
        <v>1511</v>
      </c>
      <c r="B352" s="130">
        <v>27</v>
      </c>
      <c r="C352" s="31"/>
      <c r="D352" s="31"/>
      <c r="E352" s="31"/>
      <c r="F352" s="31"/>
      <c r="G352" s="31"/>
    </row>
    <row r="353" spans="1:7" x14ac:dyDescent="0.3">
      <c r="A353" s="131" t="s">
        <v>1512</v>
      </c>
      <c r="B353" s="130">
        <v>136</v>
      </c>
      <c r="C353" s="31"/>
      <c r="D353" s="31"/>
      <c r="E353" s="31"/>
      <c r="F353" s="31"/>
      <c r="G353" s="31"/>
    </row>
    <row r="354" spans="1:7" x14ac:dyDescent="0.3">
      <c r="A354" s="131" t="s">
        <v>1513</v>
      </c>
      <c r="B354" s="130">
        <v>63</v>
      </c>
      <c r="C354" s="31"/>
      <c r="D354" s="31"/>
      <c r="E354" s="31"/>
      <c r="F354" s="31"/>
      <c r="G354" s="31"/>
    </row>
    <row r="355" spans="1:7" x14ac:dyDescent="0.3">
      <c r="A355" s="131" t="s">
        <v>1514</v>
      </c>
      <c r="B355" s="130">
        <v>171</v>
      </c>
      <c r="C355" s="31"/>
      <c r="D355" s="31"/>
      <c r="E355" s="31"/>
      <c r="F355" s="31"/>
      <c r="G355" s="31"/>
    </row>
    <row r="356" spans="1:7" x14ac:dyDescent="0.3">
      <c r="A356" s="131" t="s">
        <v>1515</v>
      </c>
      <c r="B356" s="130">
        <v>134</v>
      </c>
      <c r="C356" s="31"/>
      <c r="D356" s="31"/>
      <c r="E356" s="31"/>
      <c r="F356" s="31"/>
      <c r="G356" s="31"/>
    </row>
    <row r="357" spans="1:7" x14ac:dyDescent="0.3">
      <c r="A357" s="131" t="s">
        <v>1516</v>
      </c>
      <c r="B357" s="130">
        <v>172</v>
      </c>
      <c r="C357" s="31"/>
      <c r="D357" s="31"/>
      <c r="E357" s="31"/>
      <c r="F357" s="31"/>
      <c r="G357" s="31"/>
    </row>
    <row r="358" spans="1:7" x14ac:dyDescent="0.3">
      <c r="A358" s="131" t="s">
        <v>1517</v>
      </c>
      <c r="B358" s="130">
        <v>151</v>
      </c>
      <c r="C358" s="31"/>
      <c r="D358" s="31"/>
      <c r="E358" s="31"/>
      <c r="F358" s="31"/>
      <c r="G358" s="31"/>
    </row>
    <row r="359" spans="1:7" x14ac:dyDescent="0.3">
      <c r="A359" s="131" t="s">
        <v>1518</v>
      </c>
      <c r="B359" s="130">
        <v>148</v>
      </c>
      <c r="C359" s="31"/>
      <c r="D359" s="31"/>
      <c r="E359" s="31"/>
      <c r="F359" s="31"/>
      <c r="G359" s="31"/>
    </row>
    <row r="360" spans="1:7" x14ac:dyDescent="0.3">
      <c r="A360" s="131" t="s">
        <v>1519</v>
      </c>
      <c r="B360" s="130">
        <v>71</v>
      </c>
      <c r="C360" s="31"/>
      <c r="D360" s="31"/>
      <c r="E360" s="31"/>
      <c r="F360" s="31"/>
      <c r="G360" s="31"/>
    </row>
    <row r="361" spans="1:7" x14ac:dyDescent="0.3">
      <c r="A361" s="131" t="s">
        <v>1520</v>
      </c>
      <c r="B361" s="130">
        <v>166</v>
      </c>
      <c r="C361" s="31"/>
      <c r="D361" s="31"/>
      <c r="E361" s="31"/>
      <c r="F361" s="31"/>
      <c r="G361" s="31"/>
    </row>
    <row r="362" spans="1:7" x14ac:dyDescent="0.3">
      <c r="A362" s="131" t="s">
        <v>1521</v>
      </c>
      <c r="B362" s="130">
        <v>115</v>
      </c>
      <c r="C362" s="31"/>
      <c r="D362" s="31"/>
      <c r="E362" s="31"/>
      <c r="F362" s="31"/>
      <c r="G362" s="31"/>
    </row>
    <row r="363" spans="1:7" x14ac:dyDescent="0.3">
      <c r="A363" s="131" t="s">
        <v>1522</v>
      </c>
      <c r="B363" s="130">
        <v>52</v>
      </c>
      <c r="C363" s="31"/>
      <c r="D363" s="31"/>
      <c r="E363" s="31"/>
      <c r="F363" s="31"/>
      <c r="G363" s="31"/>
    </row>
    <row r="364" spans="1:7" x14ac:dyDescent="0.3">
      <c r="A364" s="131" t="s">
        <v>1523</v>
      </c>
      <c r="B364" s="130">
        <v>51</v>
      </c>
      <c r="C364" s="31"/>
      <c r="D364" s="31"/>
      <c r="E364" s="31"/>
      <c r="F364" s="31"/>
      <c r="G364" s="31"/>
    </row>
    <row r="365" spans="1:7" x14ac:dyDescent="0.3">
      <c r="A365" s="131" t="s">
        <v>1524</v>
      </c>
      <c r="B365" s="130">
        <v>84</v>
      </c>
      <c r="C365" s="31"/>
      <c r="D365" s="31"/>
      <c r="E365" s="31"/>
      <c r="F365" s="31"/>
      <c r="G365" s="31"/>
    </row>
    <row r="366" spans="1:7" x14ac:dyDescent="0.3">
      <c r="A366" s="131" t="s">
        <v>1525</v>
      </c>
      <c r="B366" s="130">
        <v>22</v>
      </c>
      <c r="C366" s="31"/>
      <c r="D366" s="31"/>
      <c r="E366" s="31"/>
      <c r="F366" s="31"/>
      <c r="G366" s="31"/>
    </row>
    <row r="367" spans="1:7" x14ac:dyDescent="0.3">
      <c r="A367" s="131" t="s">
        <v>1526</v>
      </c>
      <c r="B367" s="130">
        <v>136</v>
      </c>
      <c r="C367" s="31"/>
      <c r="D367" s="31"/>
      <c r="E367" s="31"/>
      <c r="F367" s="31"/>
      <c r="G367" s="31"/>
    </row>
    <row r="368" spans="1:7" x14ac:dyDescent="0.3">
      <c r="A368" s="131" t="s">
        <v>1527</v>
      </c>
      <c r="B368" s="130">
        <v>69</v>
      </c>
      <c r="C368" s="31"/>
      <c r="D368" s="31"/>
      <c r="E368" s="31"/>
      <c r="F368" s="31"/>
      <c r="G368" s="31"/>
    </row>
    <row r="369" spans="1:7" x14ac:dyDescent="0.3">
      <c r="A369" s="131" t="s">
        <v>1528</v>
      </c>
      <c r="B369" s="130">
        <v>52</v>
      </c>
      <c r="C369" s="31"/>
      <c r="D369" s="31"/>
      <c r="E369" s="31"/>
      <c r="F369" s="31"/>
      <c r="G369" s="31"/>
    </row>
    <row r="370" spans="1:7" x14ac:dyDescent="0.3">
      <c r="A370" s="131" t="s">
        <v>1529</v>
      </c>
      <c r="B370" s="130">
        <v>196</v>
      </c>
      <c r="C370" s="31"/>
      <c r="D370" s="31"/>
      <c r="E370" s="31"/>
      <c r="F370" s="31"/>
      <c r="G370" s="31"/>
    </row>
    <row r="371" spans="1:7" x14ac:dyDescent="0.3">
      <c r="A371" s="131" t="s">
        <v>1530</v>
      </c>
      <c r="B371" s="130">
        <v>75</v>
      </c>
      <c r="C371" s="31"/>
      <c r="D371" s="31"/>
      <c r="E371" s="31"/>
      <c r="F371" s="31"/>
      <c r="G371" s="31"/>
    </row>
    <row r="372" spans="1:7" x14ac:dyDescent="0.3">
      <c r="A372" s="131" t="s">
        <v>1531</v>
      </c>
      <c r="B372" s="130">
        <v>37</v>
      </c>
      <c r="C372" s="31"/>
      <c r="D372" s="31"/>
      <c r="E372" s="31"/>
      <c r="F372" s="31"/>
      <c r="G372" s="31"/>
    </row>
    <row r="373" spans="1:7" x14ac:dyDescent="0.3">
      <c r="A373" s="131" t="s">
        <v>1532</v>
      </c>
      <c r="B373" s="130">
        <v>74</v>
      </c>
      <c r="C373" s="31"/>
      <c r="D373" s="31"/>
      <c r="E373" s="31"/>
      <c r="F373" s="31"/>
      <c r="G373" s="31"/>
    </row>
    <row r="374" spans="1:7" x14ac:dyDescent="0.3">
      <c r="A374" s="131" t="s">
        <v>1533</v>
      </c>
      <c r="B374" s="130">
        <v>29</v>
      </c>
      <c r="C374" s="31"/>
      <c r="D374" s="31"/>
      <c r="E374" s="31"/>
      <c r="F374" s="31"/>
      <c r="G374" s="31"/>
    </row>
    <row r="375" spans="1:7" x14ac:dyDescent="0.3">
      <c r="A375" s="131" t="s">
        <v>1534</v>
      </c>
      <c r="B375" s="130">
        <v>50</v>
      </c>
      <c r="C375" s="31"/>
      <c r="D375" s="31"/>
      <c r="E375" s="31"/>
      <c r="F375" s="31"/>
      <c r="G375" s="31"/>
    </row>
    <row r="376" spans="1:7" x14ac:dyDescent="0.3">
      <c r="A376" s="131" t="s">
        <v>1535</v>
      </c>
      <c r="B376" s="130">
        <v>29</v>
      </c>
      <c r="C376" s="31"/>
      <c r="D376" s="31"/>
      <c r="E376" s="31"/>
      <c r="F376" s="31"/>
      <c r="G376" s="31"/>
    </row>
    <row r="377" spans="1:7" x14ac:dyDescent="0.3">
      <c r="A377" s="131" t="s">
        <v>1536</v>
      </c>
      <c r="B377" s="130">
        <v>14</v>
      </c>
      <c r="C377" s="31"/>
      <c r="D377" s="31"/>
      <c r="E377" s="31"/>
      <c r="F377" s="31"/>
      <c r="G377" s="31"/>
    </row>
    <row r="378" spans="1:7" x14ac:dyDescent="0.3">
      <c r="A378" s="131" t="s">
        <v>1537</v>
      </c>
      <c r="B378" s="130">
        <v>0</v>
      </c>
      <c r="C378" s="31"/>
      <c r="D378" s="31"/>
      <c r="E378" s="31"/>
      <c r="F378" s="31"/>
      <c r="G378" s="31"/>
    </row>
    <row r="379" spans="1:7" x14ac:dyDescent="0.3">
      <c r="A379" s="131" t="s">
        <v>1538</v>
      </c>
      <c r="B379" s="130">
        <v>98</v>
      </c>
      <c r="C379" s="31"/>
      <c r="D379" s="31"/>
      <c r="E379" s="31"/>
      <c r="F379" s="31"/>
      <c r="G379" s="31"/>
    </row>
    <row r="380" spans="1:7" x14ac:dyDescent="0.3">
      <c r="A380" s="131" t="s">
        <v>1539</v>
      </c>
      <c r="B380" s="130">
        <v>52</v>
      </c>
      <c r="C380" s="31"/>
      <c r="D380" s="31"/>
      <c r="E380" s="31"/>
      <c r="F380" s="31"/>
      <c r="G380" s="31"/>
    </row>
    <row r="381" spans="1:7" x14ac:dyDescent="0.3">
      <c r="A381" s="131" t="s">
        <v>1540</v>
      </c>
      <c r="B381" s="130">
        <v>58</v>
      </c>
      <c r="C381" s="31"/>
      <c r="D381" s="31"/>
      <c r="E381" s="31"/>
      <c r="F381" s="31"/>
      <c r="G381" s="31"/>
    </row>
    <row r="382" spans="1:7" x14ac:dyDescent="0.3">
      <c r="A382" s="131" t="s">
        <v>1541</v>
      </c>
      <c r="B382" s="130">
        <v>82</v>
      </c>
      <c r="C382" s="31"/>
      <c r="D382" s="31"/>
      <c r="E382" s="31"/>
      <c r="F382" s="31"/>
      <c r="G382" s="31"/>
    </row>
    <row r="383" spans="1:7" x14ac:dyDescent="0.3">
      <c r="A383" s="131" t="s">
        <v>1542</v>
      </c>
      <c r="B383" s="130">
        <v>77</v>
      </c>
      <c r="C383" s="31"/>
      <c r="D383" s="31"/>
      <c r="E383" s="31"/>
      <c r="F383" s="31"/>
      <c r="G383" s="31"/>
    </row>
    <row r="384" spans="1:7" x14ac:dyDescent="0.3">
      <c r="A384" s="131" t="s">
        <v>1543</v>
      </c>
      <c r="B384" s="130" t="s">
        <v>1163</v>
      </c>
      <c r="C384" s="31"/>
      <c r="D384" s="31"/>
      <c r="E384" s="31"/>
      <c r="F384" s="31"/>
      <c r="G384" s="31"/>
    </row>
    <row r="385" spans="1:7" x14ac:dyDescent="0.3">
      <c r="A385" s="131" t="s">
        <v>1544</v>
      </c>
      <c r="B385" s="130">
        <v>14</v>
      </c>
      <c r="C385" s="31"/>
      <c r="D385" s="31"/>
      <c r="E385" s="31"/>
      <c r="F385" s="31"/>
      <c r="G385" s="31"/>
    </row>
    <row r="386" spans="1:7" x14ac:dyDescent="0.3">
      <c r="A386" s="131" t="s">
        <v>1545</v>
      </c>
      <c r="B386" s="130">
        <v>110</v>
      </c>
      <c r="C386" s="31"/>
      <c r="D386" s="31"/>
      <c r="E386" s="31"/>
      <c r="F386" s="31"/>
      <c r="G386" s="31"/>
    </row>
    <row r="387" spans="1:7" x14ac:dyDescent="0.3">
      <c r="A387" s="131" t="s">
        <v>1546</v>
      </c>
      <c r="B387" s="130">
        <v>149</v>
      </c>
      <c r="C387" s="31"/>
      <c r="D387" s="31"/>
      <c r="E387" s="31"/>
      <c r="F387" s="31"/>
      <c r="G387" s="31"/>
    </row>
    <row r="388" spans="1:7" x14ac:dyDescent="0.3">
      <c r="A388" s="131" t="s">
        <v>1547</v>
      </c>
      <c r="B388" s="130" t="s">
        <v>1163</v>
      </c>
      <c r="C388" s="31"/>
      <c r="D388" s="31"/>
      <c r="E388" s="31"/>
      <c r="F388" s="31"/>
      <c r="G388" s="31"/>
    </row>
    <row r="389" spans="1:7" x14ac:dyDescent="0.3">
      <c r="A389" s="131" t="s">
        <v>1548</v>
      </c>
      <c r="B389" s="130" t="s">
        <v>1163</v>
      </c>
      <c r="C389" s="31"/>
      <c r="D389" s="31"/>
      <c r="E389" s="31"/>
      <c r="F389" s="31"/>
      <c r="G389" s="31"/>
    </row>
    <row r="390" spans="1:7" x14ac:dyDescent="0.3">
      <c r="A390" s="131" t="s">
        <v>1549</v>
      </c>
      <c r="B390" s="130">
        <v>31</v>
      </c>
      <c r="C390" s="31"/>
      <c r="D390" s="31"/>
      <c r="E390" s="31"/>
      <c r="F390" s="31"/>
      <c r="G390" s="31"/>
    </row>
    <row r="391" spans="1:7" x14ac:dyDescent="0.3">
      <c r="A391" s="131" t="s">
        <v>1550</v>
      </c>
      <c r="B391" s="130">
        <v>31</v>
      </c>
      <c r="C391" s="31"/>
      <c r="D391" s="31"/>
      <c r="E391" s="31"/>
      <c r="F391" s="31"/>
      <c r="G391" s="31"/>
    </row>
    <row r="392" spans="1:7" x14ac:dyDescent="0.3">
      <c r="A392" s="131" t="s">
        <v>1551</v>
      </c>
      <c r="B392" s="130">
        <v>64</v>
      </c>
      <c r="C392" s="31"/>
      <c r="D392" s="31"/>
      <c r="E392" s="31"/>
      <c r="F392" s="31"/>
      <c r="G392" s="31"/>
    </row>
    <row r="393" spans="1:7" x14ac:dyDescent="0.3">
      <c r="A393" s="131" t="s">
        <v>1552</v>
      </c>
      <c r="B393" s="130">
        <v>30</v>
      </c>
      <c r="C393" s="31"/>
      <c r="D393" s="31"/>
      <c r="E393" s="31"/>
      <c r="F393" s="31"/>
      <c r="G393" s="31"/>
    </row>
    <row r="394" spans="1:7" x14ac:dyDescent="0.3">
      <c r="A394" s="131" t="s">
        <v>1553</v>
      </c>
      <c r="B394" s="130" t="s">
        <v>1163</v>
      </c>
      <c r="C394" s="31"/>
      <c r="D394" s="31"/>
      <c r="E394" s="31"/>
      <c r="F394" s="31"/>
      <c r="G394" s="31"/>
    </row>
    <row r="395" spans="1:7" x14ac:dyDescent="0.3">
      <c r="A395" s="131" t="s">
        <v>1554</v>
      </c>
      <c r="B395" s="130" t="s">
        <v>1163</v>
      </c>
      <c r="C395" s="31"/>
      <c r="D395" s="31"/>
      <c r="E395" s="31"/>
      <c r="F395" s="31"/>
      <c r="G395" s="31"/>
    </row>
    <row r="396" spans="1:7" x14ac:dyDescent="0.3">
      <c r="A396" s="131" t="s">
        <v>1555</v>
      </c>
      <c r="B396" s="130" t="s">
        <v>1163</v>
      </c>
      <c r="C396" s="31"/>
      <c r="D396" s="31"/>
      <c r="E396" s="31"/>
      <c r="F396" s="31"/>
      <c r="G396" s="31"/>
    </row>
    <row r="397" spans="1:7" x14ac:dyDescent="0.3">
      <c r="A397" s="131" t="s">
        <v>1556</v>
      </c>
      <c r="B397" s="130">
        <v>44</v>
      </c>
      <c r="C397" s="31"/>
      <c r="D397" s="31"/>
      <c r="E397" s="31"/>
      <c r="F397" s="31"/>
      <c r="G397" s="31"/>
    </row>
    <row r="398" spans="1:7" x14ac:dyDescent="0.3">
      <c r="A398" s="131" t="s">
        <v>1557</v>
      </c>
      <c r="B398" s="130">
        <v>47</v>
      </c>
      <c r="C398" s="31"/>
      <c r="D398" s="31"/>
      <c r="E398" s="31"/>
      <c r="F398" s="31"/>
      <c r="G398" s="31"/>
    </row>
    <row r="399" spans="1:7" x14ac:dyDescent="0.3">
      <c r="A399" s="131" t="s">
        <v>1558</v>
      </c>
      <c r="B399" s="130">
        <v>156</v>
      </c>
      <c r="C399" s="31"/>
      <c r="D399" s="31"/>
      <c r="E399" s="31"/>
      <c r="F399" s="31"/>
      <c r="G399" s="31"/>
    </row>
    <row r="400" spans="1:7" x14ac:dyDescent="0.3">
      <c r="A400" s="131" t="s">
        <v>1559</v>
      </c>
      <c r="B400" s="130">
        <v>41</v>
      </c>
      <c r="C400" s="31"/>
      <c r="D400" s="31"/>
      <c r="E400" s="31"/>
      <c r="F400" s="31"/>
      <c r="G400" s="31"/>
    </row>
    <row r="401" spans="1:7" x14ac:dyDescent="0.3">
      <c r="A401" s="131" t="s">
        <v>1560</v>
      </c>
      <c r="B401" s="130" t="s">
        <v>1163</v>
      </c>
      <c r="C401" s="31"/>
      <c r="D401" s="31"/>
      <c r="E401" s="31"/>
      <c r="F401" s="31"/>
      <c r="G401" s="31"/>
    </row>
    <row r="402" spans="1:7" x14ac:dyDescent="0.3">
      <c r="A402" s="131" t="s">
        <v>1561</v>
      </c>
      <c r="B402" s="130">
        <v>19</v>
      </c>
      <c r="C402" s="31"/>
      <c r="D402" s="31"/>
      <c r="E402" s="31"/>
      <c r="F402" s="31"/>
      <c r="G402" s="31"/>
    </row>
    <row r="403" spans="1:7" x14ac:dyDescent="0.3">
      <c r="A403" s="131" t="s">
        <v>1562</v>
      </c>
      <c r="B403" s="130">
        <v>218</v>
      </c>
      <c r="C403" s="31"/>
      <c r="D403" s="31"/>
      <c r="E403" s="31"/>
      <c r="F403" s="31"/>
      <c r="G403" s="31"/>
    </row>
    <row r="404" spans="1:7" x14ac:dyDescent="0.3">
      <c r="A404" s="131" t="s">
        <v>1563</v>
      </c>
      <c r="B404" s="130">
        <v>11</v>
      </c>
      <c r="C404" s="31"/>
      <c r="D404" s="31"/>
      <c r="E404" s="31"/>
      <c r="F404" s="31"/>
      <c r="G404" s="31"/>
    </row>
    <row r="405" spans="1:7" x14ac:dyDescent="0.3">
      <c r="A405" s="131" t="s">
        <v>1564</v>
      </c>
      <c r="B405" s="130">
        <v>18</v>
      </c>
      <c r="C405" s="31"/>
      <c r="D405" s="31"/>
      <c r="E405" s="31"/>
      <c r="F405" s="31"/>
      <c r="G405" s="31"/>
    </row>
    <row r="406" spans="1:7" x14ac:dyDescent="0.3">
      <c r="A406" s="131" t="s">
        <v>1565</v>
      </c>
      <c r="B406" s="130">
        <v>21</v>
      </c>
      <c r="C406" s="31"/>
      <c r="D406" s="31"/>
      <c r="E406" s="31"/>
      <c r="F406" s="31"/>
      <c r="G406" s="31"/>
    </row>
    <row r="407" spans="1:7" x14ac:dyDescent="0.3">
      <c r="A407" s="131" t="s">
        <v>1566</v>
      </c>
      <c r="B407" s="130">
        <v>0</v>
      </c>
      <c r="C407" s="31"/>
      <c r="D407" s="31"/>
      <c r="E407" s="31"/>
      <c r="F407" s="31"/>
      <c r="G407" s="31"/>
    </row>
    <row r="408" spans="1:7" x14ac:dyDescent="0.3">
      <c r="A408" s="131" t="s">
        <v>1567</v>
      </c>
      <c r="B408" s="130">
        <v>46</v>
      </c>
      <c r="C408" s="31"/>
      <c r="D408" s="31"/>
      <c r="E408" s="31"/>
      <c r="F408" s="31"/>
      <c r="G408" s="31"/>
    </row>
    <row r="409" spans="1:7" x14ac:dyDescent="0.3">
      <c r="A409" s="131" t="s">
        <v>1568</v>
      </c>
      <c r="B409" s="130">
        <v>79</v>
      </c>
      <c r="C409" s="31"/>
      <c r="D409" s="31"/>
      <c r="E409" s="31"/>
      <c r="F409" s="31"/>
      <c r="G409" s="31"/>
    </row>
    <row r="410" spans="1:7" x14ac:dyDescent="0.3">
      <c r="A410" s="131" t="s">
        <v>1569</v>
      </c>
      <c r="B410" s="130">
        <v>72</v>
      </c>
      <c r="C410" s="31"/>
      <c r="D410" s="31"/>
      <c r="E410" s="31"/>
      <c r="F410" s="31"/>
      <c r="G410" s="31"/>
    </row>
    <row r="411" spans="1:7" x14ac:dyDescent="0.3">
      <c r="A411" s="131" t="s">
        <v>1570</v>
      </c>
      <c r="B411" s="130">
        <v>47</v>
      </c>
      <c r="C411" s="31"/>
      <c r="D411" s="31"/>
      <c r="E411" s="31"/>
      <c r="F411" s="31"/>
      <c r="G411" s="31"/>
    </row>
    <row r="412" spans="1:7" x14ac:dyDescent="0.3">
      <c r="A412" s="131" t="s">
        <v>1571</v>
      </c>
      <c r="B412" s="130">
        <v>70</v>
      </c>
      <c r="C412" s="31"/>
      <c r="D412" s="31"/>
      <c r="E412" s="31"/>
      <c r="F412" s="31"/>
      <c r="G412" s="31"/>
    </row>
    <row r="413" spans="1:7" x14ac:dyDescent="0.3">
      <c r="A413" s="131" t="s">
        <v>1572</v>
      </c>
      <c r="B413" s="130">
        <v>77</v>
      </c>
      <c r="C413" s="31"/>
      <c r="D413" s="31"/>
      <c r="E413" s="31"/>
      <c r="F413" s="31"/>
      <c r="G413" s="31"/>
    </row>
    <row r="414" spans="1:7" x14ac:dyDescent="0.3">
      <c r="A414" s="131" t="s">
        <v>1573</v>
      </c>
      <c r="B414" s="130">
        <v>25</v>
      </c>
      <c r="C414" s="31"/>
      <c r="D414" s="31"/>
      <c r="E414" s="31"/>
      <c r="F414" s="31"/>
      <c r="G414" s="31"/>
    </row>
    <row r="415" spans="1:7" x14ac:dyDescent="0.3">
      <c r="A415" s="131" t="s">
        <v>1574</v>
      </c>
      <c r="B415" s="130">
        <v>28</v>
      </c>
      <c r="C415" s="31"/>
      <c r="D415" s="31"/>
      <c r="E415" s="31"/>
      <c r="F415" s="31"/>
      <c r="G415" s="31"/>
    </row>
    <row r="416" spans="1:7" x14ac:dyDescent="0.3">
      <c r="A416" s="131" t="s">
        <v>1575</v>
      </c>
      <c r="B416" s="130">
        <v>19</v>
      </c>
      <c r="C416" s="31"/>
      <c r="D416" s="31"/>
      <c r="E416" s="31"/>
      <c r="F416" s="31"/>
      <c r="G416" s="31"/>
    </row>
    <row r="417" spans="1:7" x14ac:dyDescent="0.3">
      <c r="A417" s="131" t="s">
        <v>1576</v>
      </c>
      <c r="B417" s="130" t="s">
        <v>1163</v>
      </c>
      <c r="C417" s="31"/>
      <c r="D417" s="31"/>
      <c r="E417" s="31"/>
      <c r="F417" s="31"/>
      <c r="G417" s="31"/>
    </row>
    <row r="418" spans="1:7" x14ac:dyDescent="0.3">
      <c r="A418" s="131" t="s">
        <v>1577</v>
      </c>
      <c r="B418" s="130" t="s">
        <v>1163</v>
      </c>
      <c r="C418" s="31"/>
      <c r="D418" s="31"/>
      <c r="E418" s="31"/>
      <c r="F418" s="31"/>
      <c r="G418" s="31"/>
    </row>
    <row r="419" spans="1:7" x14ac:dyDescent="0.3">
      <c r="A419" s="131" t="s">
        <v>1578</v>
      </c>
      <c r="B419" s="130">
        <v>77</v>
      </c>
      <c r="C419" s="31"/>
      <c r="D419" s="31"/>
      <c r="E419" s="31"/>
      <c r="F419" s="31"/>
      <c r="G419" s="31"/>
    </row>
    <row r="420" spans="1:7" x14ac:dyDescent="0.3">
      <c r="A420" s="131" t="s">
        <v>1579</v>
      </c>
      <c r="B420" s="130">
        <v>12</v>
      </c>
      <c r="C420" s="31"/>
      <c r="D420" s="31"/>
      <c r="E420" s="31"/>
      <c r="F420" s="31"/>
      <c r="G420" s="31"/>
    </row>
    <row r="421" spans="1:7" x14ac:dyDescent="0.3">
      <c r="A421" s="131" t="s">
        <v>1580</v>
      </c>
      <c r="B421" s="130" t="s">
        <v>1163</v>
      </c>
      <c r="C421" s="31"/>
      <c r="D421" s="31"/>
      <c r="E421" s="31"/>
      <c r="F421" s="31"/>
      <c r="G421" s="31"/>
    </row>
    <row r="422" spans="1:7" x14ac:dyDescent="0.3">
      <c r="A422" s="131" t="s">
        <v>1581</v>
      </c>
      <c r="B422" s="130">
        <v>18</v>
      </c>
      <c r="C422" s="31"/>
      <c r="D422" s="31"/>
      <c r="E422" s="31"/>
      <c r="F422" s="31"/>
      <c r="G422" s="31"/>
    </row>
    <row r="423" spans="1:7" x14ac:dyDescent="0.3">
      <c r="A423" s="131" t="s">
        <v>1582</v>
      </c>
      <c r="B423" s="130" t="s">
        <v>1163</v>
      </c>
      <c r="C423" s="31"/>
      <c r="D423" s="31"/>
      <c r="E423" s="31"/>
      <c r="F423" s="31"/>
      <c r="G423" s="31"/>
    </row>
    <row r="424" spans="1:7" x14ac:dyDescent="0.3">
      <c r="A424" s="131" t="s">
        <v>1583</v>
      </c>
      <c r="B424" s="130" t="s">
        <v>1163</v>
      </c>
      <c r="C424" s="31"/>
      <c r="D424" s="31"/>
      <c r="E424" s="31"/>
      <c r="F424" s="31"/>
      <c r="G424" s="31"/>
    </row>
    <row r="425" spans="1:7" x14ac:dyDescent="0.3">
      <c r="A425" s="131" t="s">
        <v>1584</v>
      </c>
      <c r="B425" s="130">
        <v>16</v>
      </c>
      <c r="C425" s="31"/>
      <c r="D425" s="31"/>
      <c r="E425" s="31"/>
      <c r="F425" s="31"/>
      <c r="G425" s="31"/>
    </row>
    <row r="426" spans="1:7" x14ac:dyDescent="0.3">
      <c r="A426" s="131" t="s">
        <v>1585</v>
      </c>
      <c r="B426" s="130" t="s">
        <v>1163</v>
      </c>
      <c r="C426" s="31"/>
      <c r="D426" s="31"/>
      <c r="E426" s="31"/>
      <c r="F426" s="31"/>
      <c r="G426" s="31"/>
    </row>
    <row r="427" spans="1:7" x14ac:dyDescent="0.3">
      <c r="A427" s="131" t="s">
        <v>1586</v>
      </c>
      <c r="B427" s="130">
        <v>10</v>
      </c>
      <c r="C427" s="31"/>
      <c r="D427" s="31"/>
      <c r="E427" s="31"/>
      <c r="F427" s="31"/>
      <c r="G427" s="31"/>
    </row>
    <row r="428" spans="1:7" x14ac:dyDescent="0.3">
      <c r="A428" s="131" t="s">
        <v>1587</v>
      </c>
      <c r="B428" s="130">
        <v>72</v>
      </c>
      <c r="C428" s="31"/>
      <c r="D428" s="31"/>
      <c r="E428" s="31"/>
      <c r="F428" s="31"/>
      <c r="G428" s="31"/>
    </row>
    <row r="429" spans="1:7" x14ac:dyDescent="0.3">
      <c r="A429" s="131" t="s">
        <v>1588</v>
      </c>
      <c r="B429" s="130">
        <v>54</v>
      </c>
      <c r="C429" s="31"/>
      <c r="D429" s="31"/>
      <c r="E429" s="31"/>
      <c r="F429" s="31"/>
      <c r="G429" s="31"/>
    </row>
    <row r="430" spans="1:7" x14ac:dyDescent="0.3">
      <c r="A430" s="131" t="s">
        <v>1589</v>
      </c>
      <c r="B430" s="130">
        <v>66</v>
      </c>
      <c r="C430" s="31"/>
      <c r="D430" s="31"/>
      <c r="E430" s="31"/>
      <c r="F430" s="31"/>
      <c r="G430" s="31"/>
    </row>
    <row r="431" spans="1:7" x14ac:dyDescent="0.3">
      <c r="A431" s="131" t="s">
        <v>1590</v>
      </c>
      <c r="B431" s="130">
        <v>53</v>
      </c>
      <c r="C431" s="31"/>
      <c r="D431" s="31"/>
      <c r="E431" s="31"/>
      <c r="F431" s="31"/>
      <c r="G431" s="31"/>
    </row>
    <row r="432" spans="1:7" x14ac:dyDescent="0.3">
      <c r="A432" s="131" t="s">
        <v>1591</v>
      </c>
      <c r="B432" s="130">
        <v>43</v>
      </c>
      <c r="C432" s="31"/>
      <c r="D432" s="31"/>
      <c r="E432" s="31"/>
      <c r="F432" s="31"/>
      <c r="G432" s="31"/>
    </row>
    <row r="433" spans="1:7" x14ac:dyDescent="0.3">
      <c r="A433" s="131" t="s">
        <v>1592</v>
      </c>
      <c r="B433" s="130">
        <v>85</v>
      </c>
      <c r="C433" s="31"/>
      <c r="D433" s="31"/>
      <c r="E433" s="31"/>
      <c r="F433" s="31"/>
      <c r="G433" s="31"/>
    </row>
    <row r="434" spans="1:7" x14ac:dyDescent="0.3">
      <c r="A434" s="131" t="s">
        <v>1593</v>
      </c>
      <c r="B434" s="130">
        <v>47</v>
      </c>
      <c r="C434" s="31"/>
      <c r="D434" s="31"/>
      <c r="E434" s="31"/>
      <c r="F434" s="31"/>
      <c r="G434" s="31"/>
    </row>
    <row r="435" spans="1:7" x14ac:dyDescent="0.3">
      <c r="A435" s="131" t="s">
        <v>1594</v>
      </c>
      <c r="B435" s="130" t="s">
        <v>1163</v>
      </c>
      <c r="C435" s="31"/>
      <c r="D435" s="31"/>
      <c r="E435" s="31"/>
      <c r="F435" s="31"/>
      <c r="G435" s="31"/>
    </row>
    <row r="436" spans="1:7" x14ac:dyDescent="0.3">
      <c r="A436" s="131" t="s">
        <v>1595</v>
      </c>
      <c r="B436" s="130">
        <v>0</v>
      </c>
      <c r="C436" s="31"/>
      <c r="D436" s="31"/>
      <c r="E436" s="31"/>
      <c r="F436" s="31"/>
      <c r="G436" s="31"/>
    </row>
    <row r="437" spans="1:7" x14ac:dyDescent="0.3">
      <c r="A437" s="131" t="s">
        <v>1596</v>
      </c>
      <c r="B437" s="130">
        <v>0</v>
      </c>
      <c r="C437" s="31"/>
      <c r="D437" s="31"/>
      <c r="E437" s="31"/>
      <c r="F437" s="31"/>
      <c r="G437" s="31"/>
    </row>
    <row r="438" spans="1:7" x14ac:dyDescent="0.3">
      <c r="A438" s="131" t="s">
        <v>1597</v>
      </c>
      <c r="B438" s="130">
        <v>180</v>
      </c>
      <c r="C438" s="31"/>
      <c r="D438" s="31"/>
      <c r="E438" s="31"/>
      <c r="F438" s="31"/>
      <c r="G438" s="31"/>
    </row>
    <row r="439" spans="1:7" x14ac:dyDescent="0.3">
      <c r="A439" s="131" t="s">
        <v>1598</v>
      </c>
      <c r="B439" s="130">
        <v>144</v>
      </c>
      <c r="C439" s="31"/>
      <c r="D439" s="31"/>
      <c r="E439" s="31"/>
      <c r="F439" s="31"/>
      <c r="G439" s="31"/>
    </row>
    <row r="440" spans="1:7" x14ac:dyDescent="0.3">
      <c r="A440" s="131" t="s">
        <v>1599</v>
      </c>
      <c r="B440" s="130">
        <v>203</v>
      </c>
      <c r="C440" s="31"/>
      <c r="D440" s="31"/>
      <c r="E440" s="31"/>
      <c r="F440" s="31"/>
      <c r="G440" s="31"/>
    </row>
    <row r="441" spans="1:7" x14ac:dyDescent="0.3">
      <c r="A441" s="131" t="s">
        <v>1600</v>
      </c>
      <c r="B441" s="130">
        <v>173</v>
      </c>
      <c r="C441" s="31"/>
      <c r="D441" s="31"/>
      <c r="E441" s="31"/>
      <c r="F441" s="31"/>
      <c r="G441" s="31"/>
    </row>
    <row r="442" spans="1:7" x14ac:dyDescent="0.3">
      <c r="A442" s="131" t="s">
        <v>1601</v>
      </c>
      <c r="B442" s="130">
        <v>167</v>
      </c>
      <c r="C442" s="31"/>
      <c r="D442" s="31"/>
      <c r="E442" s="31"/>
      <c r="F442" s="31"/>
      <c r="G442" s="31"/>
    </row>
    <row r="443" spans="1:7" x14ac:dyDescent="0.3">
      <c r="A443" s="131" t="s">
        <v>1602</v>
      </c>
      <c r="B443" s="130">
        <v>329</v>
      </c>
      <c r="C443" s="31"/>
      <c r="D443" s="31"/>
      <c r="E443" s="31"/>
      <c r="F443" s="31"/>
      <c r="G443" s="31"/>
    </row>
    <row r="444" spans="1:7" x14ac:dyDescent="0.3">
      <c r="A444" s="131" t="s">
        <v>1603</v>
      </c>
      <c r="B444" s="130">
        <v>498</v>
      </c>
      <c r="C444" s="31"/>
      <c r="D444" s="31"/>
      <c r="E444" s="31"/>
      <c r="F444" s="31"/>
      <c r="G444" s="31"/>
    </row>
    <row r="445" spans="1:7" x14ac:dyDescent="0.3">
      <c r="A445" s="131" t="s">
        <v>1604</v>
      </c>
      <c r="B445" s="130">
        <v>372</v>
      </c>
      <c r="C445" s="31"/>
      <c r="D445" s="31"/>
      <c r="E445" s="31"/>
      <c r="F445" s="31"/>
      <c r="G445" s="31"/>
    </row>
    <row r="446" spans="1:7" x14ac:dyDescent="0.3">
      <c r="A446" s="131" t="s">
        <v>1605</v>
      </c>
      <c r="B446" s="130">
        <v>196</v>
      </c>
      <c r="C446" s="31"/>
      <c r="D446" s="31"/>
      <c r="E446" s="31"/>
      <c r="F446" s="31"/>
      <c r="G446" s="31"/>
    </row>
    <row r="447" spans="1:7" x14ac:dyDescent="0.3">
      <c r="A447" s="131" t="s">
        <v>1606</v>
      </c>
      <c r="B447" s="130">
        <v>95</v>
      </c>
      <c r="C447" s="31"/>
      <c r="D447" s="31"/>
      <c r="E447" s="31"/>
      <c r="F447" s="31"/>
      <c r="G447" s="31"/>
    </row>
    <row r="448" spans="1:7" x14ac:dyDescent="0.3">
      <c r="A448" s="131" t="s">
        <v>1607</v>
      </c>
      <c r="B448" s="130">
        <v>121</v>
      </c>
      <c r="C448" s="31"/>
      <c r="D448" s="31"/>
      <c r="E448" s="31"/>
      <c r="F448" s="31"/>
      <c r="G448" s="31"/>
    </row>
    <row r="449" spans="1:7" x14ac:dyDescent="0.3">
      <c r="A449" s="131" t="s">
        <v>1608</v>
      </c>
      <c r="B449" s="130">
        <v>41</v>
      </c>
      <c r="C449" s="31"/>
      <c r="D449" s="31"/>
      <c r="E449" s="31"/>
      <c r="F449" s="31"/>
      <c r="G449" s="31"/>
    </row>
    <row r="450" spans="1:7" x14ac:dyDescent="0.3">
      <c r="A450" s="131" t="s">
        <v>1609</v>
      </c>
      <c r="B450" s="130">
        <v>295</v>
      </c>
      <c r="C450" s="31"/>
      <c r="D450" s="31"/>
      <c r="E450" s="31"/>
      <c r="F450" s="31"/>
      <c r="G450" s="31"/>
    </row>
    <row r="451" spans="1:7" x14ac:dyDescent="0.3">
      <c r="A451" s="131" t="s">
        <v>1610</v>
      </c>
      <c r="B451" s="130">
        <v>151</v>
      </c>
      <c r="C451" s="31"/>
      <c r="D451" s="31"/>
      <c r="E451" s="31"/>
      <c r="F451" s="31"/>
      <c r="G451" s="31"/>
    </row>
    <row r="452" spans="1:7" x14ac:dyDescent="0.3">
      <c r="A452" s="131" t="s">
        <v>1611</v>
      </c>
      <c r="B452" s="130">
        <v>224</v>
      </c>
      <c r="C452" s="31"/>
      <c r="D452" s="31"/>
      <c r="E452" s="31"/>
      <c r="F452" s="31"/>
      <c r="G452" s="31"/>
    </row>
    <row r="453" spans="1:7" x14ac:dyDescent="0.3">
      <c r="A453" s="131" t="s">
        <v>1612</v>
      </c>
      <c r="B453" s="130">
        <v>136</v>
      </c>
      <c r="C453" s="31"/>
      <c r="D453" s="31"/>
      <c r="E453" s="31"/>
      <c r="F453" s="31"/>
      <c r="G453" s="31"/>
    </row>
    <row r="454" spans="1:7" x14ac:dyDescent="0.3">
      <c r="A454" s="131" t="s">
        <v>1613</v>
      </c>
      <c r="B454" s="130" t="s">
        <v>1163</v>
      </c>
      <c r="C454" s="31"/>
      <c r="D454" s="31"/>
      <c r="E454" s="31"/>
      <c r="F454" s="31"/>
      <c r="G454" s="31"/>
    </row>
    <row r="455" spans="1:7" x14ac:dyDescent="0.3">
      <c r="A455" s="131" t="s">
        <v>1614</v>
      </c>
      <c r="B455" s="130" t="s">
        <v>1163</v>
      </c>
      <c r="C455" s="31"/>
      <c r="D455" s="31"/>
      <c r="E455" s="31"/>
      <c r="F455" s="31"/>
      <c r="G455" s="31"/>
    </row>
    <row r="456" spans="1:7" x14ac:dyDescent="0.3">
      <c r="A456" s="131" t="s">
        <v>1615</v>
      </c>
      <c r="B456" s="130">
        <v>39</v>
      </c>
      <c r="C456" s="31"/>
      <c r="D456" s="31"/>
      <c r="E456" s="31"/>
      <c r="F456" s="31"/>
      <c r="G456" s="31"/>
    </row>
    <row r="457" spans="1:7" x14ac:dyDescent="0.3">
      <c r="A457" s="131" t="s">
        <v>1616</v>
      </c>
      <c r="B457" s="130">
        <v>593</v>
      </c>
      <c r="C457" s="31"/>
      <c r="D457" s="31"/>
      <c r="E457" s="31"/>
      <c r="F457" s="31"/>
      <c r="G457" s="31"/>
    </row>
    <row r="458" spans="1:7" x14ac:dyDescent="0.3">
      <c r="A458" s="131" t="s">
        <v>1617</v>
      </c>
      <c r="B458" s="130">
        <v>208</v>
      </c>
      <c r="C458" s="31"/>
      <c r="D458" s="31"/>
      <c r="E458" s="31"/>
      <c r="F458" s="31"/>
      <c r="G458" s="31"/>
    </row>
    <row r="459" spans="1:7" x14ac:dyDescent="0.3">
      <c r="A459" s="131" t="s">
        <v>1618</v>
      </c>
      <c r="B459" s="130">
        <v>0</v>
      </c>
      <c r="C459" s="31"/>
      <c r="D459" s="31"/>
      <c r="E459" s="31"/>
      <c r="F459" s="31"/>
      <c r="G459" s="31"/>
    </row>
    <row r="460" spans="1:7" x14ac:dyDescent="0.3">
      <c r="A460" s="131" t="s">
        <v>1619</v>
      </c>
      <c r="B460" s="130">
        <v>0</v>
      </c>
      <c r="C460" s="31"/>
      <c r="D460" s="31"/>
      <c r="E460" s="31"/>
      <c r="F460" s="31"/>
      <c r="G460" s="31"/>
    </row>
    <row r="461" spans="1:7" x14ac:dyDescent="0.3">
      <c r="A461" s="131" t="s">
        <v>1620</v>
      </c>
      <c r="B461" s="130">
        <v>334</v>
      </c>
      <c r="C461" s="31"/>
      <c r="D461" s="31"/>
      <c r="E461" s="31"/>
      <c r="F461" s="31"/>
      <c r="G461" s="31"/>
    </row>
    <row r="462" spans="1:7" x14ac:dyDescent="0.3">
      <c r="A462" s="131" t="s">
        <v>1621</v>
      </c>
      <c r="B462" s="130">
        <v>26</v>
      </c>
      <c r="C462" s="31"/>
      <c r="D462" s="31"/>
      <c r="E462" s="31"/>
      <c r="F462" s="31"/>
      <c r="G462" s="31"/>
    </row>
    <row r="463" spans="1:7" x14ac:dyDescent="0.3">
      <c r="A463" s="131" t="s">
        <v>1622</v>
      </c>
      <c r="B463" s="130">
        <v>239</v>
      </c>
      <c r="C463" s="31"/>
      <c r="D463" s="31"/>
      <c r="E463" s="31"/>
      <c r="F463" s="31"/>
      <c r="G463" s="31"/>
    </row>
    <row r="464" spans="1:7" x14ac:dyDescent="0.3">
      <c r="A464" s="131" t="s">
        <v>1623</v>
      </c>
      <c r="B464" s="130">
        <v>0</v>
      </c>
      <c r="C464" s="31"/>
      <c r="D464" s="31"/>
      <c r="E464" s="31"/>
      <c r="F464" s="31"/>
      <c r="G464" s="31"/>
    </row>
    <row r="465" spans="1:7" x14ac:dyDescent="0.3">
      <c r="A465" s="131" t="s">
        <v>1624</v>
      </c>
      <c r="B465" s="130">
        <v>271</v>
      </c>
      <c r="C465" s="31"/>
      <c r="D465" s="31"/>
      <c r="E465" s="31"/>
      <c r="F465" s="31"/>
      <c r="G465" s="31"/>
    </row>
    <row r="466" spans="1:7" x14ac:dyDescent="0.3">
      <c r="A466" s="131" t="s">
        <v>1625</v>
      </c>
      <c r="B466" s="130">
        <v>145</v>
      </c>
      <c r="C466" s="31"/>
      <c r="D466" s="31"/>
      <c r="E466" s="31"/>
      <c r="F466" s="31"/>
      <c r="G466" s="31"/>
    </row>
    <row r="467" spans="1:7" x14ac:dyDescent="0.3">
      <c r="A467" s="131" t="s">
        <v>1626</v>
      </c>
      <c r="B467" s="130">
        <v>46</v>
      </c>
      <c r="C467" s="31"/>
      <c r="D467" s="31"/>
      <c r="E467" s="31"/>
      <c r="F467" s="31"/>
      <c r="G467" s="31"/>
    </row>
    <row r="468" spans="1:7" x14ac:dyDescent="0.3">
      <c r="A468" s="131" t="s">
        <v>1627</v>
      </c>
      <c r="B468" s="130">
        <v>37</v>
      </c>
      <c r="C468" s="31"/>
      <c r="D468" s="31"/>
      <c r="E468" s="31"/>
      <c r="F468" s="31"/>
      <c r="G468" s="31"/>
    </row>
    <row r="469" spans="1:7" x14ac:dyDescent="0.3">
      <c r="A469" s="131" t="s">
        <v>1628</v>
      </c>
      <c r="B469" s="130">
        <v>179</v>
      </c>
      <c r="C469" s="31"/>
      <c r="D469" s="31"/>
      <c r="E469" s="31"/>
      <c r="F469" s="31"/>
      <c r="G469" s="31"/>
    </row>
    <row r="470" spans="1:7" x14ac:dyDescent="0.3">
      <c r="A470" s="131" t="s">
        <v>1629</v>
      </c>
      <c r="B470" s="130">
        <v>123</v>
      </c>
      <c r="C470" s="31"/>
      <c r="D470" s="31"/>
      <c r="E470" s="31"/>
      <c r="F470" s="31"/>
      <c r="G470" s="31"/>
    </row>
    <row r="471" spans="1:7" x14ac:dyDescent="0.3">
      <c r="A471" s="131" t="s">
        <v>1630</v>
      </c>
      <c r="B471" s="130">
        <v>58</v>
      </c>
      <c r="C471" s="31"/>
      <c r="D471" s="31"/>
      <c r="E471" s="31"/>
      <c r="F471" s="31"/>
      <c r="G471" s="31"/>
    </row>
    <row r="472" spans="1:7" x14ac:dyDescent="0.3">
      <c r="A472" s="131" t="s">
        <v>1631</v>
      </c>
      <c r="B472" s="130">
        <v>185</v>
      </c>
      <c r="C472" s="31"/>
      <c r="D472" s="31"/>
      <c r="E472" s="31"/>
      <c r="F472" s="31"/>
      <c r="G472" s="31"/>
    </row>
    <row r="473" spans="1:7" x14ac:dyDescent="0.3">
      <c r="A473" s="131" t="s">
        <v>1632</v>
      </c>
      <c r="B473" s="130">
        <v>81</v>
      </c>
      <c r="C473" s="31"/>
      <c r="D473" s="31"/>
      <c r="E473" s="31"/>
      <c r="F473" s="31"/>
      <c r="G473" s="31"/>
    </row>
    <row r="474" spans="1:7" x14ac:dyDescent="0.3">
      <c r="A474" s="131" t="s">
        <v>1633</v>
      </c>
      <c r="B474" s="130" t="s">
        <v>1163</v>
      </c>
      <c r="C474" s="31"/>
      <c r="D474" s="31"/>
      <c r="E474" s="31"/>
      <c r="F474" s="31"/>
      <c r="G474" s="31"/>
    </row>
    <row r="475" spans="1:7" x14ac:dyDescent="0.3">
      <c r="A475" s="131" t="s">
        <v>1634</v>
      </c>
      <c r="B475" s="130">
        <v>20</v>
      </c>
      <c r="C475" s="31"/>
      <c r="D475" s="31"/>
      <c r="E475" s="31"/>
      <c r="F475" s="31"/>
      <c r="G475" s="31"/>
    </row>
    <row r="476" spans="1:7" x14ac:dyDescent="0.3">
      <c r="A476" s="131" t="s">
        <v>1635</v>
      </c>
      <c r="B476" s="130" t="s">
        <v>1163</v>
      </c>
      <c r="C476" s="31"/>
      <c r="D476" s="31"/>
      <c r="E476" s="31"/>
      <c r="F476" s="31"/>
      <c r="G476" s="31"/>
    </row>
    <row r="477" spans="1:7" x14ac:dyDescent="0.3">
      <c r="A477" s="131" t="s">
        <v>1636</v>
      </c>
      <c r="B477" s="130" t="s">
        <v>1163</v>
      </c>
      <c r="C477" s="31"/>
      <c r="D477" s="31"/>
      <c r="E477" s="31"/>
      <c r="F477" s="31"/>
      <c r="G477" s="31"/>
    </row>
    <row r="478" spans="1:7" x14ac:dyDescent="0.3">
      <c r="A478" s="131" t="s">
        <v>1637</v>
      </c>
      <c r="B478" s="130" t="s">
        <v>1163</v>
      </c>
      <c r="C478" s="31"/>
      <c r="D478" s="31"/>
      <c r="E478" s="31"/>
      <c r="F478" s="31"/>
      <c r="G478" s="31"/>
    </row>
    <row r="479" spans="1:7" x14ac:dyDescent="0.3">
      <c r="A479" s="131" t="s">
        <v>1638</v>
      </c>
      <c r="B479" s="130">
        <v>109</v>
      </c>
      <c r="C479" s="31"/>
      <c r="D479" s="31"/>
      <c r="E479" s="31"/>
      <c r="F479" s="31"/>
      <c r="G479" s="31"/>
    </row>
    <row r="480" spans="1:7" x14ac:dyDescent="0.3">
      <c r="A480" s="131" t="s">
        <v>1639</v>
      </c>
      <c r="B480" s="130">
        <v>23</v>
      </c>
      <c r="C480" s="31"/>
      <c r="D480" s="31"/>
      <c r="E480" s="31"/>
      <c r="F480" s="31"/>
      <c r="G480" s="31"/>
    </row>
    <row r="481" spans="1:7" x14ac:dyDescent="0.3">
      <c r="A481" s="131" t="s">
        <v>1640</v>
      </c>
      <c r="B481" s="130">
        <v>36</v>
      </c>
      <c r="C481" s="31"/>
      <c r="D481" s="31"/>
      <c r="E481" s="31"/>
      <c r="F481" s="31"/>
      <c r="G481" s="31"/>
    </row>
    <row r="482" spans="1:7" x14ac:dyDescent="0.3">
      <c r="A482" s="131" t="s">
        <v>1641</v>
      </c>
      <c r="B482" s="130">
        <v>44</v>
      </c>
      <c r="C482" s="31"/>
      <c r="D482" s="31"/>
      <c r="E482" s="31"/>
      <c r="F482" s="31"/>
      <c r="G482" s="31"/>
    </row>
    <row r="483" spans="1:7" x14ac:dyDescent="0.3">
      <c r="A483" s="131" t="s">
        <v>1642</v>
      </c>
      <c r="B483" s="130">
        <v>56</v>
      </c>
      <c r="C483" s="31"/>
      <c r="D483" s="31"/>
      <c r="E483" s="31"/>
      <c r="F483" s="31"/>
      <c r="G483" s="31"/>
    </row>
    <row r="484" spans="1:7" x14ac:dyDescent="0.3">
      <c r="A484" s="131" t="s">
        <v>1643</v>
      </c>
      <c r="B484" s="130">
        <v>328</v>
      </c>
      <c r="C484" s="31"/>
      <c r="D484" s="31"/>
      <c r="E484" s="31"/>
      <c r="F484" s="31"/>
      <c r="G484" s="31"/>
    </row>
    <row r="485" spans="1:7" x14ac:dyDescent="0.3">
      <c r="A485" s="131" t="s">
        <v>1644</v>
      </c>
      <c r="B485" s="130" t="s">
        <v>1163</v>
      </c>
      <c r="C485" s="31"/>
      <c r="D485" s="31"/>
      <c r="E485" s="31"/>
      <c r="F485" s="31"/>
      <c r="G485" s="31"/>
    </row>
    <row r="486" spans="1:7" x14ac:dyDescent="0.3">
      <c r="A486" s="131" t="s">
        <v>1645</v>
      </c>
      <c r="B486" s="130">
        <v>70</v>
      </c>
      <c r="C486" s="31"/>
      <c r="D486" s="31"/>
      <c r="E486" s="31"/>
      <c r="F486" s="31"/>
      <c r="G486" s="31"/>
    </row>
    <row r="487" spans="1:7" x14ac:dyDescent="0.3">
      <c r="A487" s="131" t="s">
        <v>1646</v>
      </c>
      <c r="B487" s="130">
        <v>182</v>
      </c>
      <c r="C487" s="31"/>
      <c r="D487" s="31"/>
      <c r="E487" s="31"/>
      <c r="F487" s="31"/>
      <c r="G487" s="31"/>
    </row>
    <row r="488" spans="1:7" x14ac:dyDescent="0.3">
      <c r="A488" s="131" t="s">
        <v>1647</v>
      </c>
      <c r="B488" s="130">
        <v>56</v>
      </c>
      <c r="C488" s="31"/>
      <c r="D488" s="31"/>
      <c r="E488" s="31"/>
      <c r="F488" s="31"/>
      <c r="G488" s="31"/>
    </row>
    <row r="489" spans="1:7" x14ac:dyDescent="0.3">
      <c r="A489" s="131" t="s">
        <v>1648</v>
      </c>
      <c r="B489" s="130">
        <v>284</v>
      </c>
      <c r="C489" s="31"/>
      <c r="D489" s="31"/>
      <c r="E489" s="31"/>
      <c r="F489" s="31"/>
      <c r="G489" s="31"/>
    </row>
    <row r="490" spans="1:7" x14ac:dyDescent="0.3">
      <c r="A490" s="131" t="s">
        <v>1649</v>
      </c>
      <c r="B490" s="130" t="s">
        <v>1163</v>
      </c>
      <c r="C490" s="31"/>
      <c r="D490" s="31"/>
      <c r="E490" s="31"/>
      <c r="F490" s="31"/>
      <c r="G490" s="31"/>
    </row>
    <row r="491" spans="1:7" x14ac:dyDescent="0.3">
      <c r="A491" s="131" t="s">
        <v>1650</v>
      </c>
      <c r="B491" s="130">
        <v>145</v>
      </c>
      <c r="C491" s="31"/>
      <c r="D491" s="31"/>
      <c r="E491" s="31"/>
      <c r="F491" s="31"/>
      <c r="G491" s="31"/>
    </row>
    <row r="492" spans="1:7" x14ac:dyDescent="0.3">
      <c r="A492" s="131" t="s">
        <v>1651</v>
      </c>
      <c r="B492" s="130">
        <v>210</v>
      </c>
      <c r="C492" s="31"/>
      <c r="D492" s="31"/>
      <c r="E492" s="31"/>
      <c r="F492" s="31"/>
      <c r="G492" s="31"/>
    </row>
    <row r="493" spans="1:7" x14ac:dyDescent="0.3">
      <c r="A493" s="131" t="s">
        <v>1652</v>
      </c>
      <c r="B493" s="130" t="s">
        <v>1163</v>
      </c>
      <c r="C493" s="31"/>
      <c r="D493" s="31"/>
      <c r="E493" s="31"/>
      <c r="F493" s="31"/>
      <c r="G493" s="31"/>
    </row>
    <row r="494" spans="1:7" x14ac:dyDescent="0.3">
      <c r="A494" s="131" t="s">
        <v>1653</v>
      </c>
      <c r="B494" s="130">
        <v>21</v>
      </c>
      <c r="C494" s="31"/>
      <c r="D494" s="31"/>
      <c r="E494" s="31"/>
      <c r="F494" s="31"/>
      <c r="G494" s="31"/>
    </row>
    <row r="495" spans="1:7" x14ac:dyDescent="0.3">
      <c r="A495" s="131" t="s">
        <v>1654</v>
      </c>
      <c r="B495" s="130">
        <v>66</v>
      </c>
      <c r="C495" s="31"/>
      <c r="D495" s="31"/>
      <c r="E495" s="31"/>
      <c r="F495" s="31"/>
      <c r="G495" s="31"/>
    </row>
    <row r="496" spans="1:7" x14ac:dyDescent="0.3">
      <c r="A496" s="131" t="s">
        <v>1655</v>
      </c>
      <c r="B496" s="130">
        <v>248</v>
      </c>
      <c r="C496" s="31"/>
      <c r="D496" s="31"/>
      <c r="E496" s="31"/>
      <c r="F496" s="31"/>
      <c r="G496" s="31"/>
    </row>
    <row r="497" spans="1:7" x14ac:dyDescent="0.3">
      <c r="A497" s="131" t="s">
        <v>1656</v>
      </c>
      <c r="B497" s="130">
        <v>0</v>
      </c>
      <c r="C497" s="31"/>
      <c r="D497" s="31"/>
      <c r="E497" s="31"/>
      <c r="F497" s="31"/>
      <c r="G497" s="31"/>
    </row>
    <row r="498" spans="1:7" x14ac:dyDescent="0.3">
      <c r="A498" s="131" t="s">
        <v>1657</v>
      </c>
      <c r="B498" s="130">
        <v>0</v>
      </c>
      <c r="C498" s="31"/>
      <c r="D498" s="31"/>
      <c r="E498" s="31"/>
      <c r="F498" s="31"/>
      <c r="G498" s="31"/>
    </row>
    <row r="499" spans="1:7" x14ac:dyDescent="0.3">
      <c r="A499" s="131" t="s">
        <v>1658</v>
      </c>
      <c r="B499" s="130">
        <v>0</v>
      </c>
      <c r="C499" s="31"/>
      <c r="D499" s="31"/>
      <c r="E499" s="31"/>
      <c r="F499" s="31"/>
      <c r="G499" s="31"/>
    </row>
    <row r="500" spans="1:7" x14ac:dyDescent="0.3">
      <c r="A500" s="131" t="s">
        <v>1659</v>
      </c>
      <c r="B500" s="130">
        <v>103</v>
      </c>
      <c r="C500" s="31"/>
      <c r="D500" s="31"/>
      <c r="E500" s="31"/>
      <c r="F500" s="31"/>
      <c r="G500" s="31"/>
    </row>
    <row r="501" spans="1:7" x14ac:dyDescent="0.3">
      <c r="A501" s="131" t="s">
        <v>1660</v>
      </c>
      <c r="B501" s="130">
        <v>258</v>
      </c>
      <c r="C501" s="31"/>
      <c r="D501" s="31"/>
      <c r="E501" s="31"/>
      <c r="F501" s="31"/>
      <c r="G501" s="31"/>
    </row>
    <row r="502" spans="1:7" x14ac:dyDescent="0.3">
      <c r="A502" s="131" t="s">
        <v>1661</v>
      </c>
      <c r="B502" s="130">
        <v>0</v>
      </c>
      <c r="C502" s="31"/>
      <c r="D502" s="31"/>
      <c r="E502" s="31"/>
      <c r="F502" s="31"/>
      <c r="G502" s="31"/>
    </row>
    <row r="503" spans="1:7" x14ac:dyDescent="0.3">
      <c r="A503" s="131" t="s">
        <v>1662</v>
      </c>
      <c r="B503" s="130">
        <v>0</v>
      </c>
      <c r="C503" s="31"/>
      <c r="D503" s="31"/>
      <c r="E503" s="31"/>
      <c r="F503" s="31"/>
      <c r="G503" s="31"/>
    </row>
    <row r="504" spans="1:7" x14ac:dyDescent="0.3">
      <c r="A504" s="131" t="s">
        <v>1663</v>
      </c>
      <c r="B504" s="130">
        <v>0</v>
      </c>
      <c r="C504" s="31"/>
      <c r="D504" s="31"/>
      <c r="E504" s="31"/>
      <c r="F504" s="31"/>
      <c r="G504" s="31"/>
    </row>
    <row r="505" spans="1:7" x14ac:dyDescent="0.3">
      <c r="A505" s="131" t="s">
        <v>1664</v>
      </c>
      <c r="B505" s="130">
        <v>0</v>
      </c>
      <c r="C505" s="31"/>
      <c r="D505" s="31"/>
      <c r="E505" s="31"/>
      <c r="F505" s="31"/>
      <c r="G505" s="31"/>
    </row>
    <row r="506" spans="1:7" x14ac:dyDescent="0.3">
      <c r="A506" s="131" t="s">
        <v>1665</v>
      </c>
      <c r="B506" s="130">
        <v>0</v>
      </c>
      <c r="C506" s="31"/>
      <c r="D506" s="31"/>
      <c r="E506" s="31"/>
      <c r="F506" s="31"/>
      <c r="G506" s="31"/>
    </row>
    <row r="507" spans="1:7" x14ac:dyDescent="0.3">
      <c r="A507" s="131" t="s">
        <v>1666</v>
      </c>
      <c r="B507" s="130">
        <v>417</v>
      </c>
      <c r="C507" s="31"/>
      <c r="D507" s="31"/>
      <c r="E507" s="31"/>
      <c r="F507" s="31"/>
      <c r="G507" s="31"/>
    </row>
    <row r="508" spans="1:7" x14ac:dyDescent="0.3">
      <c r="A508" s="131" t="s">
        <v>1667</v>
      </c>
      <c r="B508" s="130">
        <v>0</v>
      </c>
      <c r="C508" s="31"/>
      <c r="D508" s="31"/>
      <c r="E508" s="31"/>
      <c r="F508" s="31"/>
      <c r="G508" s="31"/>
    </row>
    <row r="509" spans="1:7" x14ac:dyDescent="0.3">
      <c r="A509" s="131" t="s">
        <v>1668</v>
      </c>
      <c r="B509" s="130">
        <v>0</v>
      </c>
      <c r="C509" s="31"/>
      <c r="D509" s="31"/>
      <c r="E509" s="31"/>
      <c r="F509" s="31"/>
      <c r="G509" s="31"/>
    </row>
    <row r="510" spans="1:7" x14ac:dyDescent="0.3">
      <c r="A510" s="131" t="s">
        <v>1669</v>
      </c>
      <c r="B510" s="130">
        <v>0</v>
      </c>
      <c r="C510" s="31"/>
      <c r="D510" s="31"/>
      <c r="E510" s="31"/>
      <c r="F510" s="31"/>
      <c r="G510" s="31"/>
    </row>
    <row r="511" spans="1:7" x14ac:dyDescent="0.3">
      <c r="A511" s="131" t="s">
        <v>1670</v>
      </c>
      <c r="B511" s="130">
        <v>0</v>
      </c>
      <c r="C511" s="31"/>
      <c r="D511" s="31"/>
      <c r="E511" s="31"/>
      <c r="F511" s="31"/>
      <c r="G511" s="31"/>
    </row>
    <row r="512" spans="1:7" x14ac:dyDescent="0.3">
      <c r="A512" s="131" t="s">
        <v>1671</v>
      </c>
      <c r="B512" s="130" t="s">
        <v>1163</v>
      </c>
      <c r="C512" s="31"/>
      <c r="D512" s="31"/>
      <c r="E512" s="31"/>
      <c r="F512" s="31"/>
      <c r="G512" s="31"/>
    </row>
    <row r="513" spans="1:7" x14ac:dyDescent="0.3">
      <c r="A513" s="131" t="s">
        <v>1672</v>
      </c>
      <c r="B513" s="130">
        <v>298</v>
      </c>
      <c r="C513" s="31"/>
      <c r="D513" s="31"/>
      <c r="E513" s="31"/>
      <c r="F513" s="31"/>
      <c r="G513" s="31"/>
    </row>
    <row r="514" spans="1:7" x14ac:dyDescent="0.3">
      <c r="A514" s="131" t="s">
        <v>1673</v>
      </c>
      <c r="B514" s="130">
        <v>22</v>
      </c>
      <c r="C514" s="31"/>
      <c r="D514" s="31"/>
      <c r="E514" s="31"/>
      <c r="F514" s="31"/>
      <c r="G514" s="31"/>
    </row>
    <row r="515" spans="1:7" x14ac:dyDescent="0.3">
      <c r="A515" s="131" t="s">
        <v>1674</v>
      </c>
      <c r="B515" s="130">
        <v>63</v>
      </c>
      <c r="C515" s="31"/>
      <c r="D515" s="31"/>
      <c r="E515" s="31"/>
      <c r="F515" s="31"/>
      <c r="G515" s="31"/>
    </row>
    <row r="516" spans="1:7" x14ac:dyDescent="0.3">
      <c r="A516" s="131" t="s">
        <v>1675</v>
      </c>
      <c r="B516" s="130">
        <v>193</v>
      </c>
      <c r="C516" s="31"/>
      <c r="D516" s="31"/>
      <c r="E516" s="31"/>
      <c r="F516" s="31"/>
      <c r="G516" s="31"/>
    </row>
    <row r="517" spans="1:7" x14ac:dyDescent="0.3">
      <c r="A517" s="131" t="s">
        <v>1676</v>
      </c>
      <c r="B517" s="130">
        <v>24</v>
      </c>
      <c r="C517" s="31"/>
      <c r="D517" s="31"/>
      <c r="E517" s="31"/>
      <c r="F517" s="31"/>
      <c r="G517" s="31"/>
    </row>
    <row r="518" spans="1:7" x14ac:dyDescent="0.3">
      <c r="A518" s="131" t="s">
        <v>1677</v>
      </c>
      <c r="B518" s="130">
        <v>106</v>
      </c>
      <c r="C518" s="31"/>
      <c r="D518" s="31"/>
      <c r="E518" s="31"/>
      <c r="F518" s="31"/>
      <c r="G518" s="31"/>
    </row>
    <row r="519" spans="1:7" x14ac:dyDescent="0.3">
      <c r="A519" s="131" t="s">
        <v>1678</v>
      </c>
      <c r="B519" s="130">
        <v>112</v>
      </c>
      <c r="C519" s="31"/>
      <c r="D519" s="31"/>
      <c r="E519" s="31"/>
      <c r="F519" s="31"/>
      <c r="G519" s="31"/>
    </row>
    <row r="520" spans="1:7" x14ac:dyDescent="0.3">
      <c r="A520" s="131" t="s">
        <v>1679</v>
      </c>
      <c r="B520" s="130">
        <v>86</v>
      </c>
      <c r="C520" s="31"/>
      <c r="D520" s="31"/>
      <c r="E520" s="31"/>
      <c r="F520" s="31"/>
      <c r="G520" s="31"/>
    </row>
    <row r="521" spans="1:7" x14ac:dyDescent="0.3">
      <c r="A521" s="131" t="s">
        <v>1680</v>
      </c>
      <c r="B521" s="130">
        <v>183</v>
      </c>
      <c r="C521" s="31"/>
      <c r="D521" s="31"/>
      <c r="E521" s="31"/>
      <c r="F521" s="31"/>
      <c r="G521" s="31"/>
    </row>
    <row r="522" spans="1:7" x14ac:dyDescent="0.3">
      <c r="A522" s="131" t="s">
        <v>1681</v>
      </c>
      <c r="B522" s="130">
        <v>167</v>
      </c>
      <c r="C522" s="31"/>
      <c r="D522" s="31"/>
      <c r="E522" s="31"/>
      <c r="F522" s="31"/>
      <c r="G522" s="31"/>
    </row>
    <row r="523" spans="1:7" x14ac:dyDescent="0.3">
      <c r="A523" s="131" t="s">
        <v>1682</v>
      </c>
      <c r="B523" s="130">
        <v>226</v>
      </c>
      <c r="C523" s="31"/>
      <c r="D523" s="31"/>
      <c r="E523" s="31"/>
      <c r="F523" s="31"/>
      <c r="G523" s="31"/>
    </row>
    <row r="524" spans="1:7" x14ac:dyDescent="0.3">
      <c r="A524" s="131" t="s">
        <v>1683</v>
      </c>
      <c r="B524" s="130">
        <v>61</v>
      </c>
      <c r="C524" s="31"/>
      <c r="D524" s="31"/>
      <c r="E524" s="31"/>
      <c r="F524" s="31"/>
      <c r="G524" s="31"/>
    </row>
    <row r="525" spans="1:7" x14ac:dyDescent="0.3">
      <c r="A525" s="131" t="s">
        <v>1684</v>
      </c>
      <c r="B525" s="130">
        <v>181</v>
      </c>
      <c r="C525" s="31"/>
      <c r="D525" s="31"/>
      <c r="E525" s="31"/>
      <c r="F525" s="31"/>
      <c r="G525" s="31"/>
    </row>
    <row r="526" spans="1:7" x14ac:dyDescent="0.3">
      <c r="A526" s="131" t="s">
        <v>1685</v>
      </c>
      <c r="B526" s="130">
        <v>145</v>
      </c>
      <c r="C526" s="31"/>
      <c r="D526" s="31"/>
      <c r="E526" s="31"/>
      <c r="F526" s="31"/>
      <c r="G526" s="31"/>
    </row>
    <row r="527" spans="1:7" x14ac:dyDescent="0.3">
      <c r="A527" s="131" t="s">
        <v>1686</v>
      </c>
      <c r="B527" s="130">
        <v>152</v>
      </c>
      <c r="C527" s="31"/>
      <c r="D527" s="31"/>
      <c r="E527" s="31"/>
      <c r="F527" s="31"/>
      <c r="G527" s="31"/>
    </row>
    <row r="528" spans="1:7" x14ac:dyDescent="0.3">
      <c r="A528" s="131" t="s">
        <v>1687</v>
      </c>
      <c r="B528" s="130">
        <v>199</v>
      </c>
      <c r="C528" s="31"/>
      <c r="D528" s="31"/>
      <c r="E528" s="31"/>
      <c r="F528" s="31"/>
      <c r="G528" s="31"/>
    </row>
    <row r="529" spans="1:7" x14ac:dyDescent="0.3">
      <c r="A529" s="131" t="s">
        <v>1688</v>
      </c>
      <c r="B529" s="130">
        <v>174</v>
      </c>
      <c r="C529" s="31"/>
      <c r="D529" s="31"/>
      <c r="E529" s="31"/>
      <c r="F529" s="31"/>
      <c r="G529" s="31"/>
    </row>
    <row r="530" spans="1:7" x14ac:dyDescent="0.3">
      <c r="A530" s="131" t="s">
        <v>1689</v>
      </c>
      <c r="B530" s="130">
        <v>93</v>
      </c>
      <c r="C530" s="31"/>
      <c r="D530" s="31"/>
      <c r="E530" s="31"/>
      <c r="F530" s="31"/>
      <c r="G530" s="31"/>
    </row>
    <row r="531" spans="1:7" x14ac:dyDescent="0.3">
      <c r="A531" s="131" t="s">
        <v>1690</v>
      </c>
      <c r="B531" s="130">
        <v>249</v>
      </c>
      <c r="C531" s="31"/>
      <c r="D531" s="31"/>
      <c r="E531" s="31"/>
      <c r="F531" s="31"/>
      <c r="G531" s="31"/>
    </row>
    <row r="532" spans="1:7" x14ac:dyDescent="0.3">
      <c r="A532" s="131" t="s">
        <v>1691</v>
      </c>
      <c r="B532" s="130">
        <v>335</v>
      </c>
      <c r="C532" s="31"/>
      <c r="D532" s="31"/>
      <c r="E532" s="31"/>
      <c r="F532" s="31"/>
      <c r="G532" s="31"/>
    </row>
    <row r="533" spans="1:7" x14ac:dyDescent="0.3">
      <c r="A533" s="131" t="s">
        <v>1692</v>
      </c>
      <c r="B533" s="130">
        <v>0</v>
      </c>
      <c r="C533" s="31"/>
      <c r="D533" s="31"/>
      <c r="E533" s="31"/>
      <c r="F533" s="31"/>
      <c r="G533" s="31"/>
    </row>
    <row r="534" spans="1:7" x14ac:dyDescent="0.3">
      <c r="A534" s="131" t="s">
        <v>1693</v>
      </c>
      <c r="B534" s="130">
        <v>113</v>
      </c>
      <c r="C534" s="31"/>
      <c r="D534" s="31"/>
      <c r="E534" s="31"/>
      <c r="F534" s="31"/>
      <c r="G534" s="31"/>
    </row>
    <row r="535" spans="1:7" x14ac:dyDescent="0.3">
      <c r="A535" s="131" t="s">
        <v>1694</v>
      </c>
      <c r="B535" s="130">
        <v>0</v>
      </c>
      <c r="C535" s="31"/>
      <c r="D535" s="31"/>
      <c r="E535" s="31"/>
      <c r="F535" s="31"/>
      <c r="G535" s="31"/>
    </row>
    <row r="536" spans="1:7" x14ac:dyDescent="0.3">
      <c r="A536" s="131" t="s">
        <v>1695</v>
      </c>
      <c r="B536" s="130">
        <v>0</v>
      </c>
      <c r="C536" s="31"/>
      <c r="D536" s="31"/>
      <c r="E536" s="31"/>
      <c r="F536" s="31"/>
      <c r="G536" s="31"/>
    </row>
    <row r="537" spans="1:7" x14ac:dyDescent="0.3">
      <c r="A537" s="131" t="s">
        <v>1696</v>
      </c>
      <c r="B537" s="130">
        <v>121</v>
      </c>
      <c r="C537" s="31"/>
      <c r="D537" s="31"/>
      <c r="E537" s="31"/>
      <c r="F537" s="31"/>
      <c r="G537" s="31"/>
    </row>
    <row r="538" spans="1:7" x14ac:dyDescent="0.3">
      <c r="A538" s="131" t="s">
        <v>1697</v>
      </c>
      <c r="B538" s="130">
        <v>424</v>
      </c>
      <c r="C538" s="31"/>
      <c r="D538" s="31"/>
      <c r="E538" s="31"/>
      <c r="F538" s="31"/>
      <c r="G538" s="31"/>
    </row>
    <row r="539" spans="1:7" x14ac:dyDescent="0.3">
      <c r="A539" s="131" t="s">
        <v>1698</v>
      </c>
      <c r="B539" s="130">
        <v>183</v>
      </c>
      <c r="C539" s="31"/>
      <c r="D539" s="31"/>
      <c r="E539" s="31"/>
      <c r="F539" s="31"/>
      <c r="G539" s="31"/>
    </row>
    <row r="540" spans="1:7" x14ac:dyDescent="0.3">
      <c r="A540" s="131" t="s">
        <v>1699</v>
      </c>
      <c r="B540" s="130">
        <v>196</v>
      </c>
      <c r="C540" s="31"/>
      <c r="D540" s="31"/>
      <c r="E540" s="31"/>
      <c r="F540" s="31"/>
      <c r="G540" s="31"/>
    </row>
    <row r="541" spans="1:7" x14ac:dyDescent="0.3">
      <c r="A541" s="131" t="s">
        <v>1700</v>
      </c>
      <c r="B541" s="130">
        <v>223</v>
      </c>
      <c r="C541" s="31"/>
      <c r="D541" s="31"/>
      <c r="E541" s="31"/>
      <c r="F541" s="31"/>
      <c r="G541" s="31"/>
    </row>
    <row r="542" spans="1:7" x14ac:dyDescent="0.3">
      <c r="A542" s="131" t="s">
        <v>1701</v>
      </c>
      <c r="B542" s="130">
        <v>119</v>
      </c>
      <c r="C542" s="31"/>
      <c r="D542" s="31"/>
      <c r="E542" s="31"/>
      <c r="F542" s="31"/>
      <c r="G542" s="31"/>
    </row>
    <row r="543" spans="1:7" x14ac:dyDescent="0.3">
      <c r="A543" s="131" t="s">
        <v>1702</v>
      </c>
      <c r="B543" s="130">
        <v>217</v>
      </c>
      <c r="C543" s="31"/>
      <c r="D543" s="31"/>
      <c r="E543" s="31"/>
      <c r="F543" s="31"/>
      <c r="G543" s="31"/>
    </row>
    <row r="544" spans="1:7" x14ac:dyDescent="0.3">
      <c r="A544" s="131" t="s">
        <v>1703</v>
      </c>
      <c r="B544" s="130">
        <v>201</v>
      </c>
      <c r="C544" s="31"/>
      <c r="D544" s="31"/>
      <c r="E544" s="31"/>
      <c r="F544" s="31"/>
      <c r="G544" s="31"/>
    </row>
    <row r="545" spans="1:7" x14ac:dyDescent="0.3">
      <c r="A545" s="131" t="s">
        <v>1704</v>
      </c>
      <c r="B545" s="130">
        <v>183</v>
      </c>
      <c r="C545" s="31"/>
      <c r="D545" s="31"/>
      <c r="E545" s="31"/>
      <c r="F545" s="31"/>
      <c r="G545" s="31"/>
    </row>
    <row r="546" spans="1:7" x14ac:dyDescent="0.3">
      <c r="A546" s="131" t="s">
        <v>1705</v>
      </c>
      <c r="B546" s="130">
        <v>39</v>
      </c>
      <c r="C546" s="31"/>
      <c r="D546" s="31"/>
      <c r="E546" s="31"/>
      <c r="F546" s="31"/>
      <c r="G546" s="31"/>
    </row>
    <row r="547" spans="1:7" x14ac:dyDescent="0.3">
      <c r="A547" s="131" t="s">
        <v>1706</v>
      </c>
      <c r="B547" s="130">
        <v>53</v>
      </c>
      <c r="C547" s="31"/>
      <c r="D547" s="31"/>
      <c r="E547" s="31"/>
      <c r="F547" s="31"/>
      <c r="G547" s="31"/>
    </row>
    <row r="548" spans="1:7" x14ac:dyDescent="0.3">
      <c r="A548" s="131" t="s">
        <v>1707</v>
      </c>
      <c r="B548" s="130">
        <v>406</v>
      </c>
      <c r="C548" s="31"/>
      <c r="D548" s="31"/>
      <c r="E548" s="31"/>
      <c r="F548" s="31"/>
      <c r="G548" s="31"/>
    </row>
    <row r="549" spans="1:7" x14ac:dyDescent="0.3">
      <c r="A549" s="131" t="s">
        <v>1708</v>
      </c>
      <c r="B549" s="130">
        <v>44</v>
      </c>
      <c r="C549" s="31"/>
      <c r="D549" s="31"/>
      <c r="E549" s="31"/>
      <c r="F549" s="31"/>
      <c r="G549" s="31"/>
    </row>
    <row r="550" spans="1:7" x14ac:dyDescent="0.3">
      <c r="A550" s="131" t="s">
        <v>1709</v>
      </c>
      <c r="B550" s="130">
        <v>98</v>
      </c>
      <c r="C550" s="31"/>
      <c r="D550" s="31"/>
      <c r="E550" s="31"/>
      <c r="F550" s="31"/>
      <c r="G550" s="31"/>
    </row>
    <row r="551" spans="1:7" x14ac:dyDescent="0.3">
      <c r="A551" s="131" t="s">
        <v>1710</v>
      </c>
      <c r="B551" s="130">
        <v>181</v>
      </c>
      <c r="C551" s="31"/>
      <c r="D551" s="31"/>
      <c r="E551" s="31"/>
      <c r="F551" s="31"/>
      <c r="G551" s="31"/>
    </row>
    <row r="552" spans="1:7" x14ac:dyDescent="0.3">
      <c r="A552" s="131" t="s">
        <v>1711</v>
      </c>
      <c r="B552" s="130">
        <v>379</v>
      </c>
      <c r="C552" s="31"/>
      <c r="D552" s="31"/>
      <c r="E552" s="31"/>
      <c r="F552" s="31"/>
      <c r="G552" s="31"/>
    </row>
    <row r="553" spans="1:7" x14ac:dyDescent="0.3">
      <c r="A553" s="131" t="s">
        <v>1712</v>
      </c>
      <c r="B553" s="130">
        <v>77</v>
      </c>
      <c r="C553" s="31"/>
      <c r="D553" s="31"/>
      <c r="E553" s="31"/>
      <c r="F553" s="31"/>
      <c r="G553" s="31"/>
    </row>
    <row r="554" spans="1:7" x14ac:dyDescent="0.3">
      <c r="A554" s="131" t="s">
        <v>1713</v>
      </c>
      <c r="B554" s="130">
        <v>528</v>
      </c>
      <c r="C554" s="31"/>
      <c r="D554" s="31"/>
      <c r="E554" s="31"/>
      <c r="F554" s="31"/>
      <c r="G554" s="31"/>
    </row>
    <row r="555" spans="1:7" x14ac:dyDescent="0.3">
      <c r="A555" s="131" t="s">
        <v>1714</v>
      </c>
      <c r="B555" s="130">
        <v>112</v>
      </c>
      <c r="C555" s="31"/>
      <c r="D555" s="31"/>
      <c r="E555" s="31"/>
      <c r="F555" s="31"/>
      <c r="G555" s="31"/>
    </row>
    <row r="556" spans="1:7" x14ac:dyDescent="0.3">
      <c r="A556" s="131" t="s">
        <v>1715</v>
      </c>
      <c r="B556" s="130">
        <v>100</v>
      </c>
      <c r="C556" s="31"/>
      <c r="D556" s="31"/>
      <c r="E556" s="31"/>
      <c r="F556" s="31"/>
      <c r="G556" s="31"/>
    </row>
    <row r="557" spans="1:7" x14ac:dyDescent="0.3">
      <c r="A557" s="131" t="s">
        <v>1716</v>
      </c>
      <c r="B557" s="130">
        <v>331</v>
      </c>
      <c r="C557" s="31"/>
      <c r="D557" s="31"/>
      <c r="E557" s="31"/>
      <c r="F557" s="31"/>
      <c r="G557" s="31"/>
    </row>
    <row r="558" spans="1:7" x14ac:dyDescent="0.3">
      <c r="A558" s="131" t="s">
        <v>1717</v>
      </c>
      <c r="B558" s="130">
        <v>223</v>
      </c>
      <c r="C558" s="31"/>
      <c r="D558" s="31"/>
      <c r="E558" s="31"/>
      <c r="F558" s="31"/>
      <c r="G558" s="31"/>
    </row>
    <row r="559" spans="1:7" x14ac:dyDescent="0.3">
      <c r="A559" s="131" t="s">
        <v>1718</v>
      </c>
      <c r="B559" s="130">
        <v>148</v>
      </c>
      <c r="C559" s="31"/>
      <c r="D559" s="31"/>
      <c r="E559" s="31"/>
      <c r="F559" s="31"/>
      <c r="G559" s="31"/>
    </row>
    <row r="560" spans="1:7" x14ac:dyDescent="0.3">
      <c r="A560" s="131" t="s">
        <v>1719</v>
      </c>
      <c r="B560" s="130">
        <v>148</v>
      </c>
      <c r="C560" s="31"/>
      <c r="D560" s="31"/>
      <c r="E560" s="31"/>
      <c r="F560" s="31"/>
      <c r="G560" s="31"/>
    </row>
    <row r="561" spans="1:7" x14ac:dyDescent="0.3">
      <c r="A561" s="131" t="s">
        <v>1720</v>
      </c>
      <c r="B561" s="130">
        <v>215</v>
      </c>
      <c r="C561" s="31"/>
      <c r="D561" s="31"/>
      <c r="E561" s="31"/>
      <c r="F561" s="31"/>
      <c r="G561" s="31"/>
    </row>
    <row r="562" spans="1:7" x14ac:dyDescent="0.3">
      <c r="A562" s="131" t="s">
        <v>1721</v>
      </c>
      <c r="B562" s="130">
        <v>0</v>
      </c>
      <c r="C562" s="31"/>
      <c r="D562" s="31"/>
      <c r="E562" s="31"/>
      <c r="F562" s="31"/>
      <c r="G562" s="31"/>
    </row>
    <row r="563" spans="1:7" x14ac:dyDescent="0.3">
      <c r="A563" s="131" t="s">
        <v>1722</v>
      </c>
      <c r="B563" s="130">
        <v>0</v>
      </c>
      <c r="C563" s="31"/>
      <c r="D563" s="31"/>
      <c r="E563" s="31"/>
      <c r="F563" s="31"/>
      <c r="G563" s="31"/>
    </row>
    <row r="564" spans="1:7" x14ac:dyDescent="0.3">
      <c r="A564" s="131" t="s">
        <v>1723</v>
      </c>
      <c r="B564" s="130">
        <v>0</v>
      </c>
      <c r="C564" s="31"/>
      <c r="D564" s="31"/>
      <c r="E564" s="31"/>
      <c r="F564" s="31"/>
      <c r="G564" s="31"/>
    </row>
    <row r="565" spans="1:7" x14ac:dyDescent="0.3">
      <c r="A565" s="131" t="s">
        <v>1724</v>
      </c>
      <c r="B565" s="130">
        <v>23</v>
      </c>
      <c r="C565" s="31"/>
      <c r="D565" s="31"/>
      <c r="E565" s="31"/>
      <c r="F565" s="31"/>
      <c r="G565" s="31"/>
    </row>
    <row r="566" spans="1:7" x14ac:dyDescent="0.3">
      <c r="A566" s="131" t="s">
        <v>1725</v>
      </c>
      <c r="B566" s="130">
        <v>242</v>
      </c>
      <c r="C566" s="31"/>
      <c r="D566" s="31"/>
      <c r="E566" s="31"/>
      <c r="F566" s="31"/>
      <c r="G566" s="31"/>
    </row>
    <row r="567" spans="1:7" x14ac:dyDescent="0.3">
      <c r="A567" s="131" t="s">
        <v>1726</v>
      </c>
      <c r="B567" s="130">
        <v>82</v>
      </c>
      <c r="C567" s="31"/>
      <c r="D567" s="31"/>
      <c r="E567" s="31"/>
      <c r="F567" s="31"/>
      <c r="G567" s="31"/>
    </row>
    <row r="568" spans="1:7" x14ac:dyDescent="0.3">
      <c r="A568" s="131" t="s">
        <v>1727</v>
      </c>
      <c r="B568" s="130">
        <v>72</v>
      </c>
      <c r="C568" s="31"/>
      <c r="D568" s="31"/>
      <c r="E568" s="31"/>
      <c r="F568" s="31"/>
      <c r="G568" s="31"/>
    </row>
    <row r="569" spans="1:7" x14ac:dyDescent="0.3">
      <c r="A569" s="131" t="s">
        <v>1728</v>
      </c>
      <c r="B569" s="130">
        <v>61</v>
      </c>
      <c r="C569" s="31"/>
      <c r="D569" s="31"/>
      <c r="E569" s="31"/>
      <c r="F569" s="31"/>
      <c r="G569" s="31"/>
    </row>
    <row r="570" spans="1:7" x14ac:dyDescent="0.3">
      <c r="A570" s="131" t="s">
        <v>1729</v>
      </c>
      <c r="B570" s="130">
        <v>18</v>
      </c>
      <c r="C570" s="31"/>
      <c r="D570" s="31"/>
      <c r="E570" s="31"/>
      <c r="F570" s="31"/>
      <c r="G570" s="31"/>
    </row>
    <row r="571" spans="1:7" x14ac:dyDescent="0.3">
      <c r="A571" s="131" t="s">
        <v>1730</v>
      </c>
      <c r="B571" s="130">
        <v>83</v>
      </c>
      <c r="C571" s="31"/>
      <c r="D571" s="31"/>
      <c r="E571" s="31"/>
      <c r="F571" s="31"/>
      <c r="G571" s="31"/>
    </row>
    <row r="572" spans="1:7" x14ac:dyDescent="0.3">
      <c r="A572" s="131" t="s">
        <v>1731</v>
      </c>
      <c r="B572" s="130">
        <v>110</v>
      </c>
      <c r="C572" s="31"/>
      <c r="D572" s="31"/>
      <c r="E572" s="31"/>
      <c r="F572" s="31"/>
      <c r="G572" s="31"/>
    </row>
    <row r="573" spans="1:7" x14ac:dyDescent="0.3">
      <c r="A573" s="131" t="s">
        <v>1732</v>
      </c>
      <c r="B573" s="130">
        <v>121</v>
      </c>
      <c r="C573" s="31"/>
      <c r="D573" s="31"/>
      <c r="E573" s="31"/>
      <c r="F573" s="31"/>
      <c r="G573" s="31"/>
    </row>
    <row r="574" spans="1:7" x14ac:dyDescent="0.3">
      <c r="A574" s="131" t="s">
        <v>1733</v>
      </c>
      <c r="B574" s="130">
        <v>235</v>
      </c>
      <c r="C574" s="31"/>
      <c r="D574" s="31"/>
      <c r="E574" s="31"/>
      <c r="F574" s="31"/>
      <c r="G574" s="31"/>
    </row>
    <row r="575" spans="1:7" x14ac:dyDescent="0.3">
      <c r="A575" s="131" t="s">
        <v>1734</v>
      </c>
      <c r="B575" s="130">
        <v>265</v>
      </c>
      <c r="C575" s="31"/>
      <c r="D575" s="31"/>
      <c r="E575" s="31"/>
      <c r="F575" s="31"/>
      <c r="G575" s="31"/>
    </row>
    <row r="576" spans="1:7" x14ac:dyDescent="0.3">
      <c r="A576" s="131" t="s">
        <v>1735</v>
      </c>
      <c r="B576" s="130">
        <v>190</v>
      </c>
      <c r="C576" s="31"/>
      <c r="D576" s="31"/>
      <c r="E576" s="31"/>
      <c r="F576" s="31"/>
      <c r="G576" s="31"/>
    </row>
    <row r="577" spans="1:7" x14ac:dyDescent="0.3">
      <c r="A577" s="131" t="s">
        <v>1736</v>
      </c>
      <c r="B577" s="130">
        <v>251</v>
      </c>
      <c r="C577" s="31"/>
      <c r="D577" s="31"/>
      <c r="E577" s="31"/>
      <c r="F577" s="31"/>
      <c r="G577" s="31"/>
    </row>
    <row r="578" spans="1:7" x14ac:dyDescent="0.3">
      <c r="A578" s="131" t="s">
        <v>1737</v>
      </c>
      <c r="B578" s="130">
        <v>252</v>
      </c>
      <c r="C578" s="31"/>
      <c r="D578" s="31"/>
      <c r="E578" s="31"/>
      <c r="F578" s="31"/>
      <c r="G578" s="31"/>
    </row>
    <row r="579" spans="1:7" x14ac:dyDescent="0.3">
      <c r="A579" s="131" t="s">
        <v>1738</v>
      </c>
      <c r="B579" s="130">
        <v>13</v>
      </c>
      <c r="C579" s="31"/>
      <c r="D579" s="31"/>
      <c r="E579" s="31"/>
      <c r="F579" s="31"/>
      <c r="G579" s="31"/>
    </row>
    <row r="580" spans="1:7" x14ac:dyDescent="0.3">
      <c r="A580" s="131" t="s">
        <v>1739</v>
      </c>
      <c r="B580" s="130">
        <v>163</v>
      </c>
      <c r="C580" s="31"/>
      <c r="D580" s="31"/>
      <c r="E580" s="31"/>
      <c r="F580" s="31"/>
      <c r="G580" s="31"/>
    </row>
    <row r="581" spans="1:7" x14ac:dyDescent="0.3">
      <c r="A581" s="131" t="s">
        <v>1740</v>
      </c>
      <c r="B581" s="130">
        <v>348</v>
      </c>
      <c r="C581" s="31"/>
      <c r="D581" s="31"/>
      <c r="E581" s="31"/>
      <c r="F581" s="31"/>
      <c r="G581" s="31"/>
    </row>
    <row r="582" spans="1:7" x14ac:dyDescent="0.3">
      <c r="A582" s="131" t="s">
        <v>1741</v>
      </c>
      <c r="B582" s="130">
        <v>305</v>
      </c>
      <c r="C582" s="31"/>
      <c r="D582" s="31"/>
      <c r="E582" s="31"/>
      <c r="F582" s="31"/>
      <c r="G582" s="31"/>
    </row>
    <row r="583" spans="1:7" x14ac:dyDescent="0.3">
      <c r="A583" s="131" t="s">
        <v>1742</v>
      </c>
      <c r="B583" s="130">
        <v>231</v>
      </c>
      <c r="C583" s="31"/>
      <c r="D583" s="31"/>
      <c r="E583" s="31"/>
      <c r="F583" s="31"/>
      <c r="G583" s="31"/>
    </row>
    <row r="584" spans="1:7" x14ac:dyDescent="0.3">
      <c r="A584" s="131" t="s">
        <v>1743</v>
      </c>
      <c r="B584" s="130">
        <v>91</v>
      </c>
      <c r="C584" s="31"/>
      <c r="D584" s="31"/>
      <c r="E584" s="31"/>
      <c r="F584" s="31"/>
      <c r="G584" s="31"/>
    </row>
    <row r="585" spans="1:7" x14ac:dyDescent="0.3">
      <c r="A585" s="131" t="s">
        <v>1744</v>
      </c>
      <c r="B585" s="130">
        <v>0</v>
      </c>
      <c r="C585" s="31"/>
      <c r="D585" s="31"/>
      <c r="E585" s="31"/>
      <c r="F585" s="31"/>
      <c r="G585" s="31"/>
    </row>
    <row r="586" spans="1:7" x14ac:dyDescent="0.3">
      <c r="A586" s="131" t="s">
        <v>1745</v>
      </c>
      <c r="B586" s="130">
        <v>244</v>
      </c>
      <c r="C586" s="31"/>
      <c r="D586" s="31"/>
      <c r="E586" s="31"/>
      <c r="F586" s="31"/>
      <c r="G586" s="31"/>
    </row>
    <row r="587" spans="1:7" x14ac:dyDescent="0.3">
      <c r="A587" s="131" t="s">
        <v>1746</v>
      </c>
      <c r="B587" s="130">
        <v>98</v>
      </c>
      <c r="C587" s="31"/>
      <c r="D587" s="31"/>
      <c r="E587" s="31"/>
      <c r="F587" s="31"/>
      <c r="G587" s="31"/>
    </row>
    <row r="588" spans="1:7" x14ac:dyDescent="0.3">
      <c r="A588" s="131" t="s">
        <v>1747</v>
      </c>
      <c r="B588" s="130">
        <v>52</v>
      </c>
      <c r="C588" s="31"/>
      <c r="D588" s="31"/>
      <c r="E588" s="31"/>
      <c r="F588" s="31"/>
      <c r="G588" s="31"/>
    </row>
    <row r="589" spans="1:7" x14ac:dyDescent="0.3">
      <c r="A589" s="131" t="s">
        <v>1748</v>
      </c>
      <c r="B589" s="130">
        <v>279</v>
      </c>
      <c r="C589" s="31"/>
      <c r="D589" s="31"/>
      <c r="E589" s="31"/>
      <c r="F589" s="31"/>
      <c r="G589" s="31"/>
    </row>
    <row r="590" spans="1:7" x14ac:dyDescent="0.3">
      <c r="A590" s="131" t="s">
        <v>1749</v>
      </c>
      <c r="B590" s="130">
        <v>0</v>
      </c>
      <c r="C590" s="31"/>
      <c r="D590" s="31"/>
      <c r="E590" s="31"/>
      <c r="F590" s="31"/>
      <c r="G590" s="31"/>
    </row>
    <row r="591" spans="1:7" x14ac:dyDescent="0.3">
      <c r="A591" s="131" t="s">
        <v>1750</v>
      </c>
      <c r="B591" s="130">
        <v>0</v>
      </c>
      <c r="C591" s="31"/>
      <c r="D591" s="31"/>
      <c r="E591" s="31"/>
      <c r="F591" s="31"/>
      <c r="G591" s="31"/>
    </row>
    <row r="592" spans="1:7" x14ac:dyDescent="0.3">
      <c r="A592" s="131" t="s">
        <v>1751</v>
      </c>
      <c r="B592" s="130">
        <v>81</v>
      </c>
      <c r="C592" s="31"/>
      <c r="D592" s="31"/>
      <c r="E592" s="31"/>
      <c r="F592" s="31"/>
      <c r="G592" s="31"/>
    </row>
    <row r="593" spans="1:7" x14ac:dyDescent="0.3">
      <c r="A593" s="131" t="s">
        <v>1752</v>
      </c>
      <c r="B593" s="130">
        <v>156</v>
      </c>
      <c r="C593" s="31"/>
      <c r="D593" s="31"/>
      <c r="E593" s="31"/>
      <c r="F593" s="31"/>
      <c r="G593" s="31"/>
    </row>
    <row r="594" spans="1:7" x14ac:dyDescent="0.3">
      <c r="A594" s="131" t="s">
        <v>1753</v>
      </c>
      <c r="B594" s="130">
        <v>68</v>
      </c>
      <c r="C594" s="31"/>
      <c r="D594" s="31"/>
      <c r="E594" s="31"/>
      <c r="F594" s="31"/>
      <c r="G594" s="31"/>
    </row>
    <row r="595" spans="1:7" x14ac:dyDescent="0.3">
      <c r="A595" s="131" t="s">
        <v>1754</v>
      </c>
      <c r="B595" s="130">
        <v>71</v>
      </c>
      <c r="C595" s="31"/>
      <c r="D595" s="31"/>
      <c r="E595" s="31"/>
      <c r="F595" s="31"/>
      <c r="G595" s="31"/>
    </row>
    <row r="596" spans="1:7" x14ac:dyDescent="0.3">
      <c r="A596" s="131" t="s">
        <v>1755</v>
      </c>
      <c r="B596" s="130">
        <v>53</v>
      </c>
      <c r="C596" s="31"/>
      <c r="D596" s="31"/>
      <c r="E596" s="31"/>
      <c r="F596" s="31"/>
      <c r="G596" s="31"/>
    </row>
    <row r="597" spans="1:7" x14ac:dyDescent="0.3">
      <c r="A597" s="131" t="s">
        <v>1756</v>
      </c>
      <c r="B597" s="130">
        <v>150</v>
      </c>
      <c r="C597" s="31"/>
      <c r="D597" s="31"/>
      <c r="E597" s="31"/>
      <c r="F597" s="31"/>
      <c r="G597" s="31"/>
    </row>
    <row r="598" spans="1:7" x14ac:dyDescent="0.3">
      <c r="A598" s="131" t="s">
        <v>1757</v>
      </c>
      <c r="B598" s="130">
        <v>95</v>
      </c>
      <c r="C598" s="31"/>
      <c r="D598" s="31"/>
      <c r="E598" s="31"/>
      <c r="F598" s="31"/>
      <c r="G598" s="31"/>
    </row>
    <row r="599" spans="1:7" x14ac:dyDescent="0.3">
      <c r="A599" s="131" t="s">
        <v>1758</v>
      </c>
      <c r="B599" s="130">
        <v>54</v>
      </c>
      <c r="C599" s="31"/>
      <c r="D599" s="31"/>
      <c r="E599" s="31"/>
      <c r="F599" s="31"/>
      <c r="G599" s="31"/>
    </row>
    <row r="600" spans="1:7" x14ac:dyDescent="0.3">
      <c r="A600" s="131" t="s">
        <v>1759</v>
      </c>
      <c r="B600" s="130">
        <v>39</v>
      </c>
      <c r="C600" s="31"/>
      <c r="D600" s="31"/>
      <c r="E600" s="31"/>
      <c r="F600" s="31"/>
      <c r="G600" s="31"/>
    </row>
    <row r="601" spans="1:7" x14ac:dyDescent="0.3">
      <c r="A601" s="131" t="s">
        <v>1760</v>
      </c>
      <c r="B601" s="130">
        <v>101</v>
      </c>
      <c r="C601" s="31"/>
      <c r="D601" s="31"/>
      <c r="E601" s="31"/>
      <c r="F601" s="31"/>
      <c r="G601" s="31"/>
    </row>
    <row r="602" spans="1:7" x14ac:dyDescent="0.3">
      <c r="A602" s="131" t="s">
        <v>1761</v>
      </c>
      <c r="B602" s="130">
        <v>57</v>
      </c>
      <c r="C602" s="31"/>
      <c r="D602" s="31"/>
      <c r="E602" s="31"/>
      <c r="F602" s="31"/>
      <c r="G602" s="31"/>
    </row>
    <row r="603" spans="1:7" x14ac:dyDescent="0.3">
      <c r="A603" s="131" t="s">
        <v>1762</v>
      </c>
      <c r="B603" s="130">
        <v>141</v>
      </c>
      <c r="C603" s="31"/>
      <c r="D603" s="31"/>
      <c r="E603" s="31"/>
      <c r="F603" s="31"/>
      <c r="G603" s="31"/>
    </row>
    <row r="604" spans="1:7" x14ac:dyDescent="0.3">
      <c r="A604" s="131" t="s">
        <v>1763</v>
      </c>
      <c r="B604" s="130">
        <v>68</v>
      </c>
      <c r="C604" s="31"/>
      <c r="D604" s="31"/>
      <c r="E604" s="31"/>
      <c r="F604" s="31"/>
      <c r="G604" s="31"/>
    </row>
    <row r="605" spans="1:7" x14ac:dyDescent="0.3">
      <c r="A605" s="131" t="s">
        <v>1764</v>
      </c>
      <c r="B605" s="130">
        <v>108</v>
      </c>
      <c r="C605" s="31"/>
      <c r="D605" s="31"/>
      <c r="E605" s="31"/>
      <c r="F605" s="31"/>
      <c r="G605" s="31"/>
    </row>
    <row r="606" spans="1:7" x14ac:dyDescent="0.3">
      <c r="A606" s="131" t="s">
        <v>1765</v>
      </c>
      <c r="B606" s="130">
        <v>158</v>
      </c>
      <c r="C606" s="31"/>
      <c r="D606" s="31"/>
      <c r="E606" s="31"/>
      <c r="F606" s="31"/>
      <c r="G606" s="31"/>
    </row>
    <row r="607" spans="1:7" x14ac:dyDescent="0.3">
      <c r="A607" s="131" t="s">
        <v>1766</v>
      </c>
      <c r="B607" s="130">
        <v>176</v>
      </c>
      <c r="C607" s="31"/>
      <c r="D607" s="31"/>
      <c r="E607" s="31"/>
      <c r="F607" s="31"/>
      <c r="G607" s="31"/>
    </row>
    <row r="608" spans="1:7" x14ac:dyDescent="0.3">
      <c r="A608" s="131" t="s">
        <v>1767</v>
      </c>
      <c r="B608" s="130">
        <v>227</v>
      </c>
      <c r="C608" s="31"/>
      <c r="D608" s="31"/>
      <c r="E608" s="31"/>
      <c r="F608" s="31"/>
      <c r="G608" s="31"/>
    </row>
    <row r="609" spans="1:7" x14ac:dyDescent="0.3">
      <c r="A609" s="131" t="s">
        <v>1768</v>
      </c>
      <c r="B609" s="130">
        <v>0</v>
      </c>
      <c r="C609" s="31"/>
      <c r="D609" s="31"/>
      <c r="E609" s="31"/>
      <c r="F609" s="31"/>
      <c r="G609" s="31"/>
    </row>
    <row r="610" spans="1:7" x14ac:dyDescent="0.3">
      <c r="A610" s="131" t="s">
        <v>1769</v>
      </c>
      <c r="B610" s="130">
        <v>201</v>
      </c>
      <c r="C610" s="31"/>
      <c r="D610" s="31"/>
      <c r="E610" s="31"/>
      <c r="F610" s="31"/>
      <c r="G610" s="31"/>
    </row>
    <row r="611" spans="1:7" x14ac:dyDescent="0.3">
      <c r="A611" s="131" t="s">
        <v>1770</v>
      </c>
      <c r="B611" s="130">
        <v>71</v>
      </c>
      <c r="C611" s="31"/>
      <c r="D611" s="31"/>
      <c r="E611" s="31"/>
      <c r="F611" s="31"/>
      <c r="G611" s="31"/>
    </row>
    <row r="612" spans="1:7" x14ac:dyDescent="0.3">
      <c r="A612" s="131" t="s">
        <v>1771</v>
      </c>
      <c r="B612" s="130">
        <v>20</v>
      </c>
      <c r="C612" s="31"/>
      <c r="D612" s="31"/>
      <c r="E612" s="31"/>
      <c r="F612" s="31"/>
      <c r="G612" s="31"/>
    </row>
    <row r="613" spans="1:7" x14ac:dyDescent="0.3">
      <c r="A613" s="131" t="s">
        <v>1772</v>
      </c>
      <c r="B613" s="130">
        <v>120</v>
      </c>
      <c r="C613" s="31"/>
      <c r="D613" s="31"/>
      <c r="E613" s="31"/>
      <c r="F613" s="31"/>
      <c r="G613" s="31"/>
    </row>
    <row r="614" spans="1:7" x14ac:dyDescent="0.3">
      <c r="A614" s="131" t="s">
        <v>1773</v>
      </c>
      <c r="B614" s="130" t="s">
        <v>1163</v>
      </c>
      <c r="C614" s="31"/>
      <c r="D614" s="31"/>
      <c r="E614" s="31"/>
      <c r="F614" s="31"/>
      <c r="G614" s="31"/>
    </row>
    <row r="615" spans="1:7" x14ac:dyDescent="0.3">
      <c r="A615" s="131" t="s">
        <v>1774</v>
      </c>
      <c r="B615" s="130">
        <v>256</v>
      </c>
      <c r="C615" s="31"/>
      <c r="D615" s="31"/>
      <c r="E615" s="31"/>
      <c r="F615" s="31"/>
      <c r="G615" s="31"/>
    </row>
    <row r="616" spans="1:7" x14ac:dyDescent="0.3">
      <c r="A616" s="131" t="s">
        <v>1775</v>
      </c>
      <c r="B616" s="130">
        <v>268</v>
      </c>
      <c r="C616" s="31"/>
      <c r="D616" s="31"/>
      <c r="E616" s="31"/>
      <c r="F616" s="31"/>
      <c r="G616" s="31"/>
    </row>
    <row r="617" spans="1:7" x14ac:dyDescent="0.3">
      <c r="A617" s="131" t="s">
        <v>1776</v>
      </c>
      <c r="B617" s="130">
        <v>141</v>
      </c>
      <c r="C617" s="31"/>
      <c r="D617" s="31"/>
      <c r="E617" s="31"/>
      <c r="F617" s="31"/>
      <c r="G617" s="31"/>
    </row>
    <row r="618" spans="1:7" x14ac:dyDescent="0.3">
      <c r="A618" s="131" t="s">
        <v>1777</v>
      </c>
      <c r="B618" s="130">
        <v>135</v>
      </c>
      <c r="C618" s="31"/>
      <c r="D618" s="31"/>
      <c r="E618" s="31"/>
      <c r="F618" s="31"/>
      <c r="G618" s="31"/>
    </row>
    <row r="619" spans="1:7" x14ac:dyDescent="0.3">
      <c r="A619" s="131" t="s">
        <v>1778</v>
      </c>
      <c r="B619" s="130">
        <v>131</v>
      </c>
      <c r="C619" s="31"/>
      <c r="D619" s="31"/>
      <c r="E619" s="31"/>
      <c r="F619" s="31"/>
      <c r="G619" s="31"/>
    </row>
    <row r="620" spans="1:7" x14ac:dyDescent="0.3">
      <c r="A620" s="131" t="s">
        <v>1779</v>
      </c>
      <c r="B620" s="130">
        <v>170</v>
      </c>
      <c r="C620" s="31"/>
      <c r="D620" s="31"/>
      <c r="E620" s="31"/>
      <c r="F620" s="31"/>
      <c r="G620" s="31"/>
    </row>
    <row r="621" spans="1:7" x14ac:dyDescent="0.3">
      <c r="A621" s="131" t="s">
        <v>1780</v>
      </c>
      <c r="B621" s="130">
        <v>412</v>
      </c>
      <c r="C621" s="31"/>
      <c r="D621" s="31"/>
      <c r="E621" s="31"/>
      <c r="F621" s="31"/>
      <c r="G621" s="31"/>
    </row>
    <row r="622" spans="1:7" x14ac:dyDescent="0.3">
      <c r="A622" s="131" t="s">
        <v>1781</v>
      </c>
      <c r="B622" s="130">
        <v>380</v>
      </c>
      <c r="C622" s="31"/>
      <c r="D622" s="31"/>
      <c r="E622" s="31"/>
      <c r="F622" s="31"/>
      <c r="G622" s="31"/>
    </row>
    <row r="623" spans="1:7" x14ac:dyDescent="0.3">
      <c r="A623" s="131" t="s">
        <v>1782</v>
      </c>
      <c r="B623" s="130">
        <v>358</v>
      </c>
      <c r="C623" s="31"/>
      <c r="D623" s="31"/>
      <c r="E623" s="31"/>
      <c r="F623" s="31"/>
      <c r="G623" s="31"/>
    </row>
    <row r="624" spans="1:7" x14ac:dyDescent="0.3">
      <c r="A624" s="131" t="s">
        <v>1783</v>
      </c>
      <c r="B624" s="130">
        <v>213</v>
      </c>
      <c r="C624" s="31"/>
      <c r="D624" s="31"/>
      <c r="E624" s="31"/>
      <c r="F624" s="31"/>
      <c r="G624" s="31"/>
    </row>
    <row r="625" spans="1:7" x14ac:dyDescent="0.3">
      <c r="A625" s="131" t="s">
        <v>1784</v>
      </c>
      <c r="B625" s="130">
        <v>338</v>
      </c>
      <c r="C625" s="31"/>
      <c r="D625" s="31"/>
      <c r="E625" s="31"/>
      <c r="F625" s="31"/>
      <c r="G625" s="31"/>
    </row>
    <row r="626" spans="1:7" x14ac:dyDescent="0.3">
      <c r="A626" s="131" t="s">
        <v>1785</v>
      </c>
      <c r="B626" s="130">
        <v>141</v>
      </c>
      <c r="C626" s="31"/>
      <c r="D626" s="31"/>
      <c r="E626" s="31"/>
      <c r="F626" s="31"/>
      <c r="G626" s="31"/>
    </row>
    <row r="627" spans="1:7" x14ac:dyDescent="0.3">
      <c r="A627" s="131" t="s">
        <v>1786</v>
      </c>
      <c r="B627" s="130">
        <v>432</v>
      </c>
      <c r="C627" s="31"/>
      <c r="D627" s="31"/>
      <c r="E627" s="31"/>
      <c r="F627" s="31"/>
      <c r="G627" s="31"/>
    </row>
    <row r="628" spans="1:7" x14ac:dyDescent="0.3">
      <c r="A628" s="131" t="s">
        <v>1787</v>
      </c>
      <c r="B628" s="130">
        <v>451</v>
      </c>
      <c r="C628" s="31"/>
      <c r="D628" s="31"/>
      <c r="E628" s="31"/>
      <c r="F628" s="31"/>
      <c r="G628" s="31"/>
    </row>
    <row r="629" spans="1:7" x14ac:dyDescent="0.3">
      <c r="A629" s="131" t="s">
        <v>1788</v>
      </c>
      <c r="B629" s="130">
        <v>128</v>
      </c>
      <c r="C629" s="31"/>
      <c r="D629" s="31"/>
      <c r="E629" s="31"/>
      <c r="F629" s="31"/>
      <c r="G629" s="31"/>
    </row>
    <row r="630" spans="1:7" x14ac:dyDescent="0.3">
      <c r="A630" s="131" t="s">
        <v>1789</v>
      </c>
      <c r="B630" s="130">
        <v>636</v>
      </c>
      <c r="C630" s="31"/>
      <c r="D630" s="31"/>
      <c r="E630" s="31"/>
      <c r="F630" s="31"/>
      <c r="G630" s="31"/>
    </row>
    <row r="631" spans="1:7" x14ac:dyDescent="0.3">
      <c r="A631" s="131" t="s">
        <v>1790</v>
      </c>
      <c r="B631" s="130">
        <v>180</v>
      </c>
      <c r="C631" s="31"/>
      <c r="D631" s="31"/>
      <c r="E631" s="31"/>
      <c r="F631" s="31"/>
      <c r="G631" s="31"/>
    </row>
    <row r="632" spans="1:7" x14ac:dyDescent="0.3">
      <c r="A632" s="131" t="s">
        <v>1791</v>
      </c>
      <c r="B632" s="130">
        <v>268</v>
      </c>
      <c r="C632" s="31"/>
      <c r="D632" s="31"/>
      <c r="E632" s="31"/>
      <c r="F632" s="31"/>
      <c r="G632" s="31"/>
    </row>
    <row r="633" spans="1:7" x14ac:dyDescent="0.3">
      <c r="A633" s="131" t="s">
        <v>1792</v>
      </c>
      <c r="B633" s="130">
        <v>271</v>
      </c>
      <c r="C633" s="31"/>
      <c r="D633" s="31"/>
      <c r="E633" s="31"/>
      <c r="F633" s="31"/>
      <c r="G633" s="31"/>
    </row>
    <row r="634" spans="1:7" x14ac:dyDescent="0.3">
      <c r="A634" s="131" t="s">
        <v>1793</v>
      </c>
      <c r="B634" s="130">
        <v>190</v>
      </c>
      <c r="C634" s="31"/>
      <c r="D634" s="31"/>
      <c r="E634" s="31"/>
      <c r="F634" s="31"/>
      <c r="G634" s="31"/>
    </row>
    <row r="635" spans="1:7" x14ac:dyDescent="0.3">
      <c r="A635" s="131" t="s">
        <v>1794</v>
      </c>
      <c r="B635" s="130">
        <v>281</v>
      </c>
      <c r="C635" s="31"/>
      <c r="D635" s="31"/>
      <c r="E635" s="31"/>
      <c r="F635" s="31"/>
      <c r="G635" s="31"/>
    </row>
    <row r="636" spans="1:7" x14ac:dyDescent="0.3">
      <c r="A636" s="131" t="s">
        <v>1795</v>
      </c>
      <c r="B636" s="130">
        <v>441</v>
      </c>
      <c r="C636" s="31"/>
      <c r="D636" s="31"/>
      <c r="E636" s="31"/>
      <c r="F636" s="31"/>
      <c r="G636" s="31"/>
    </row>
    <row r="637" spans="1:7" x14ac:dyDescent="0.3">
      <c r="A637" s="131" t="s">
        <v>1796</v>
      </c>
      <c r="B637" s="130">
        <v>153</v>
      </c>
      <c r="C637" s="31"/>
      <c r="D637" s="31"/>
      <c r="E637" s="31"/>
      <c r="F637" s="31"/>
      <c r="G637" s="31"/>
    </row>
    <row r="638" spans="1:7" x14ac:dyDescent="0.3">
      <c r="A638" s="131" t="s">
        <v>1797</v>
      </c>
      <c r="B638" s="130">
        <v>178</v>
      </c>
      <c r="C638" s="31"/>
      <c r="D638" s="31"/>
      <c r="E638" s="31"/>
      <c r="F638" s="31"/>
      <c r="G638" s="31"/>
    </row>
    <row r="639" spans="1:7" x14ac:dyDescent="0.3">
      <c r="A639" s="131" t="s">
        <v>1798</v>
      </c>
      <c r="B639" s="130">
        <v>133</v>
      </c>
      <c r="C639" s="31"/>
      <c r="D639" s="31"/>
      <c r="E639" s="31"/>
      <c r="F639" s="31"/>
      <c r="G639" s="31"/>
    </row>
    <row r="640" spans="1:7" x14ac:dyDescent="0.3">
      <c r="A640" s="131" t="s">
        <v>1799</v>
      </c>
      <c r="B640" s="130">
        <v>317</v>
      </c>
      <c r="C640" s="31"/>
      <c r="D640" s="31"/>
      <c r="E640" s="31"/>
      <c r="F640" s="31"/>
      <c r="G640" s="31"/>
    </row>
    <row r="641" spans="1:7" x14ac:dyDescent="0.3">
      <c r="A641" s="131" t="s">
        <v>1800</v>
      </c>
      <c r="B641" s="130">
        <v>335</v>
      </c>
      <c r="C641" s="31"/>
      <c r="D641" s="31"/>
      <c r="E641" s="31"/>
      <c r="F641" s="31"/>
      <c r="G641" s="31"/>
    </row>
    <row r="642" spans="1:7" x14ac:dyDescent="0.3">
      <c r="A642" s="131" t="s">
        <v>1801</v>
      </c>
      <c r="B642" s="130">
        <v>247</v>
      </c>
      <c r="C642" s="31"/>
      <c r="D642" s="31"/>
      <c r="E642" s="31"/>
      <c r="F642" s="31"/>
      <c r="G642" s="31"/>
    </row>
    <row r="643" spans="1:7" x14ac:dyDescent="0.3">
      <c r="A643" s="131" t="s">
        <v>1802</v>
      </c>
      <c r="B643" s="130">
        <v>96</v>
      </c>
      <c r="C643" s="31"/>
      <c r="D643" s="31"/>
      <c r="E643" s="31"/>
      <c r="F643" s="31"/>
      <c r="G643" s="31"/>
    </row>
    <row r="644" spans="1:7" x14ac:dyDescent="0.3">
      <c r="A644" s="131" t="s">
        <v>1803</v>
      </c>
      <c r="B644" s="130">
        <v>140</v>
      </c>
      <c r="C644" s="31"/>
      <c r="D644" s="31"/>
      <c r="E644" s="31"/>
      <c r="F644" s="31"/>
      <c r="G644" s="31"/>
    </row>
    <row r="645" spans="1:7" x14ac:dyDescent="0.3">
      <c r="A645" s="131" t="s">
        <v>1804</v>
      </c>
      <c r="B645" s="130">
        <v>355</v>
      </c>
      <c r="C645" s="31"/>
      <c r="D645" s="31"/>
      <c r="E645" s="31"/>
      <c r="F645" s="31"/>
      <c r="G645" s="31"/>
    </row>
    <row r="646" spans="1:7" x14ac:dyDescent="0.3">
      <c r="A646" s="131" t="s">
        <v>1805</v>
      </c>
      <c r="B646" s="130">
        <v>190</v>
      </c>
      <c r="C646" s="31"/>
      <c r="D646" s="31"/>
      <c r="E646" s="31"/>
      <c r="F646" s="31"/>
      <c r="G646" s="31"/>
    </row>
    <row r="647" spans="1:7" x14ac:dyDescent="0.3">
      <c r="A647" s="131" t="s">
        <v>1806</v>
      </c>
      <c r="B647" s="130">
        <v>166</v>
      </c>
      <c r="C647" s="31"/>
      <c r="D647" s="31"/>
      <c r="E647" s="31"/>
      <c r="F647" s="31"/>
      <c r="G647" s="31"/>
    </row>
    <row r="648" spans="1:7" x14ac:dyDescent="0.3">
      <c r="A648" s="131" t="s">
        <v>1807</v>
      </c>
      <c r="B648" s="130">
        <v>422</v>
      </c>
      <c r="C648" s="31"/>
      <c r="D648" s="31"/>
      <c r="E648" s="31"/>
      <c r="F648" s="31"/>
      <c r="G648" s="31"/>
    </row>
    <row r="649" spans="1:7" x14ac:dyDescent="0.3">
      <c r="A649" s="131" t="s">
        <v>1808</v>
      </c>
      <c r="B649" s="130">
        <v>317</v>
      </c>
      <c r="C649" s="31"/>
      <c r="D649" s="31"/>
      <c r="E649" s="31"/>
      <c r="F649" s="31"/>
      <c r="G649" s="31"/>
    </row>
    <row r="650" spans="1:7" x14ac:dyDescent="0.3">
      <c r="A650" s="131" t="s">
        <v>1809</v>
      </c>
      <c r="B650" s="130">
        <v>0</v>
      </c>
      <c r="C650" s="31"/>
      <c r="D650" s="31"/>
      <c r="E650" s="31"/>
      <c r="F650" s="31"/>
      <c r="G650" s="31"/>
    </row>
    <row r="651" spans="1:7" x14ac:dyDescent="0.3">
      <c r="A651" s="131" t="s">
        <v>1810</v>
      </c>
      <c r="B651" s="130">
        <v>228</v>
      </c>
      <c r="C651" s="31"/>
      <c r="D651" s="31"/>
      <c r="E651" s="31"/>
      <c r="F651" s="31"/>
      <c r="G651" s="31"/>
    </row>
    <row r="652" spans="1:7" x14ac:dyDescent="0.3">
      <c r="A652" s="131" t="s">
        <v>1811</v>
      </c>
      <c r="B652" s="130">
        <v>66</v>
      </c>
      <c r="C652" s="31"/>
      <c r="D652" s="31"/>
      <c r="E652" s="31"/>
      <c r="F652" s="31"/>
      <c r="G652" s="31"/>
    </row>
    <row r="653" spans="1:7" x14ac:dyDescent="0.3">
      <c r="A653" s="131" t="s">
        <v>1812</v>
      </c>
      <c r="B653" s="130">
        <v>105</v>
      </c>
      <c r="C653" s="31"/>
      <c r="D653" s="31"/>
      <c r="E653" s="31"/>
      <c r="F653" s="31"/>
      <c r="G653" s="31"/>
    </row>
    <row r="654" spans="1:7" x14ac:dyDescent="0.3">
      <c r="A654" s="131" t="s">
        <v>1813</v>
      </c>
      <c r="B654" s="130">
        <v>155</v>
      </c>
      <c r="C654" s="31"/>
      <c r="D654" s="31"/>
      <c r="E654" s="31"/>
      <c r="F654" s="31"/>
      <c r="G654" s="31"/>
    </row>
    <row r="655" spans="1:7" x14ac:dyDescent="0.3">
      <c r="A655" s="131" t="s">
        <v>1814</v>
      </c>
      <c r="B655" s="130">
        <v>133</v>
      </c>
      <c r="C655" s="31"/>
      <c r="D655" s="31"/>
      <c r="E655" s="31"/>
      <c r="F655" s="31"/>
      <c r="G655" s="31"/>
    </row>
    <row r="656" spans="1:7" x14ac:dyDescent="0.3">
      <c r="A656" s="131" t="s">
        <v>1815</v>
      </c>
      <c r="B656" s="130">
        <v>131</v>
      </c>
      <c r="C656" s="31"/>
      <c r="D656" s="31"/>
      <c r="E656" s="31"/>
      <c r="F656" s="31"/>
      <c r="G656" s="31"/>
    </row>
    <row r="657" spans="1:7" x14ac:dyDescent="0.3">
      <c r="A657" s="131" t="s">
        <v>1816</v>
      </c>
      <c r="B657" s="130">
        <v>198</v>
      </c>
      <c r="C657" s="31"/>
      <c r="D657" s="31"/>
      <c r="E657" s="31"/>
      <c r="F657" s="31"/>
      <c r="G657" s="31"/>
    </row>
    <row r="658" spans="1:7" x14ac:dyDescent="0.3">
      <c r="A658" s="131" t="s">
        <v>1817</v>
      </c>
      <c r="B658" s="130">
        <v>190</v>
      </c>
      <c r="C658" s="31"/>
      <c r="D658" s="31"/>
      <c r="E658" s="31"/>
      <c r="F658" s="31"/>
      <c r="G658" s="31"/>
    </row>
    <row r="659" spans="1:7" x14ac:dyDescent="0.3">
      <c r="A659" s="131" t="s">
        <v>1818</v>
      </c>
      <c r="B659" s="130">
        <v>41</v>
      </c>
      <c r="C659" s="31"/>
      <c r="D659" s="31"/>
      <c r="E659" s="31"/>
      <c r="F659" s="31"/>
      <c r="G659" s="31"/>
    </row>
    <row r="660" spans="1:7" x14ac:dyDescent="0.3">
      <c r="A660" s="131" t="s">
        <v>1819</v>
      </c>
      <c r="B660" s="130" t="s">
        <v>1163</v>
      </c>
      <c r="C660" s="31"/>
      <c r="D660" s="31"/>
      <c r="E660" s="31"/>
      <c r="F660" s="31"/>
      <c r="G660" s="31"/>
    </row>
    <row r="661" spans="1:7" x14ac:dyDescent="0.3">
      <c r="A661" s="131" t="s">
        <v>1820</v>
      </c>
      <c r="B661" s="130">
        <v>140</v>
      </c>
      <c r="C661" s="31"/>
      <c r="D661" s="31"/>
      <c r="E661" s="31"/>
      <c r="F661" s="31"/>
      <c r="G661" s="31"/>
    </row>
    <row r="662" spans="1:7" x14ac:dyDescent="0.3">
      <c r="A662" s="131" t="s">
        <v>1821</v>
      </c>
      <c r="B662" s="130">
        <v>145</v>
      </c>
      <c r="C662" s="31"/>
      <c r="D662" s="31"/>
      <c r="E662" s="31"/>
      <c r="F662" s="31"/>
      <c r="G662" s="31"/>
    </row>
    <row r="663" spans="1:7" x14ac:dyDescent="0.3">
      <c r="A663" s="131" t="s">
        <v>1822</v>
      </c>
      <c r="B663" s="130">
        <v>83</v>
      </c>
      <c r="C663" s="31"/>
      <c r="D663" s="31"/>
      <c r="E663" s="31"/>
      <c r="F663" s="31"/>
      <c r="G663" s="31"/>
    </row>
    <row r="664" spans="1:7" x14ac:dyDescent="0.3">
      <c r="A664" s="131" t="s">
        <v>1823</v>
      </c>
      <c r="B664" s="130">
        <v>181</v>
      </c>
      <c r="C664" s="31"/>
      <c r="D664" s="31"/>
      <c r="E664" s="31"/>
      <c r="F664" s="31"/>
      <c r="G664" s="31"/>
    </row>
    <row r="665" spans="1:7" x14ac:dyDescent="0.3">
      <c r="A665" s="131" t="s">
        <v>1824</v>
      </c>
      <c r="B665" s="130">
        <v>66</v>
      </c>
      <c r="C665" s="31"/>
      <c r="D665" s="31"/>
      <c r="E665" s="31"/>
      <c r="F665" s="31"/>
      <c r="G665" s="31"/>
    </row>
    <row r="666" spans="1:7" x14ac:dyDescent="0.3">
      <c r="A666" s="131" t="s">
        <v>1825</v>
      </c>
      <c r="B666" s="130">
        <v>227</v>
      </c>
      <c r="C666" s="31"/>
      <c r="D666" s="31"/>
      <c r="E666" s="31"/>
      <c r="F666" s="31"/>
      <c r="G666" s="31"/>
    </row>
    <row r="667" spans="1:7" x14ac:dyDescent="0.3">
      <c r="A667" s="131" t="s">
        <v>1826</v>
      </c>
      <c r="B667" s="130">
        <v>93</v>
      </c>
      <c r="C667" s="31"/>
      <c r="D667" s="31"/>
      <c r="E667" s="31"/>
      <c r="F667" s="31"/>
      <c r="G667" s="31"/>
    </row>
    <row r="668" spans="1:7" x14ac:dyDescent="0.3">
      <c r="A668" s="131" t="s">
        <v>1827</v>
      </c>
      <c r="B668" s="130">
        <v>69</v>
      </c>
      <c r="C668" s="31"/>
      <c r="D668" s="31"/>
      <c r="E668" s="31"/>
      <c r="F668" s="31"/>
      <c r="G668" s="31"/>
    </row>
    <row r="669" spans="1:7" x14ac:dyDescent="0.3">
      <c r="A669" s="131" t="s">
        <v>1828</v>
      </c>
      <c r="B669" s="130" t="s">
        <v>1163</v>
      </c>
      <c r="C669" s="31"/>
      <c r="D669" s="31"/>
      <c r="E669" s="31"/>
      <c r="F669" s="31"/>
      <c r="G669" s="31"/>
    </row>
    <row r="670" spans="1:7" x14ac:dyDescent="0.3">
      <c r="A670" s="131" t="s">
        <v>1829</v>
      </c>
      <c r="B670" s="130">
        <v>105</v>
      </c>
      <c r="C670" s="31"/>
      <c r="D670" s="31"/>
      <c r="E670" s="31"/>
      <c r="F670" s="31"/>
      <c r="G670" s="31"/>
    </row>
    <row r="671" spans="1:7" x14ac:dyDescent="0.3">
      <c r="A671" s="131" t="s">
        <v>1830</v>
      </c>
      <c r="B671" s="130">
        <v>91</v>
      </c>
      <c r="C671" s="31"/>
      <c r="D671" s="31"/>
      <c r="E671" s="31"/>
      <c r="F671" s="31"/>
      <c r="G671" s="31"/>
    </row>
    <row r="672" spans="1:7" x14ac:dyDescent="0.3">
      <c r="A672" s="131" t="s">
        <v>1831</v>
      </c>
      <c r="B672" s="130">
        <v>209</v>
      </c>
      <c r="C672" s="31"/>
      <c r="D672" s="31"/>
      <c r="E672" s="31"/>
      <c r="F672" s="31"/>
      <c r="G672" s="31"/>
    </row>
    <row r="673" spans="1:7" x14ac:dyDescent="0.3">
      <c r="A673" s="131" t="s">
        <v>1832</v>
      </c>
      <c r="B673" s="130">
        <v>95</v>
      </c>
      <c r="C673" s="31"/>
      <c r="D673" s="31"/>
      <c r="E673" s="31"/>
      <c r="F673" s="31"/>
      <c r="G673" s="31"/>
    </row>
    <row r="674" spans="1:7" x14ac:dyDescent="0.3">
      <c r="A674" s="131" t="s">
        <v>1833</v>
      </c>
      <c r="B674" s="130">
        <v>110</v>
      </c>
      <c r="C674" s="31"/>
      <c r="D674" s="31"/>
      <c r="E674" s="31"/>
      <c r="F674" s="31"/>
      <c r="G674" s="31"/>
    </row>
    <row r="675" spans="1:7" x14ac:dyDescent="0.3">
      <c r="A675" s="131" t="s">
        <v>1834</v>
      </c>
      <c r="B675" s="130">
        <v>282</v>
      </c>
      <c r="C675" s="31"/>
      <c r="D675" s="31"/>
      <c r="E675" s="31"/>
      <c r="F675" s="31"/>
      <c r="G675" s="31"/>
    </row>
    <row r="676" spans="1:7" x14ac:dyDescent="0.3">
      <c r="A676" s="131" t="s">
        <v>1835</v>
      </c>
      <c r="B676" s="130">
        <v>68</v>
      </c>
      <c r="C676" s="31"/>
      <c r="D676" s="31"/>
      <c r="E676" s="31"/>
      <c r="F676" s="31"/>
      <c r="G676" s="31"/>
    </row>
    <row r="677" spans="1:7" x14ac:dyDescent="0.3">
      <c r="A677" s="131" t="s">
        <v>1836</v>
      </c>
      <c r="B677" s="130">
        <v>84</v>
      </c>
      <c r="C677" s="31"/>
      <c r="D677" s="31"/>
      <c r="E677" s="31"/>
      <c r="F677" s="31"/>
      <c r="G677" s="31"/>
    </row>
    <row r="678" spans="1:7" x14ac:dyDescent="0.3">
      <c r="A678" s="131" t="s">
        <v>1837</v>
      </c>
      <c r="B678" s="130">
        <v>174</v>
      </c>
      <c r="C678" s="31"/>
      <c r="D678" s="31"/>
      <c r="E678" s="31"/>
      <c r="F678" s="31"/>
      <c r="G678" s="31"/>
    </row>
    <row r="679" spans="1:7" x14ac:dyDescent="0.3">
      <c r="A679" s="131" t="s">
        <v>1838</v>
      </c>
      <c r="B679" s="130">
        <v>31</v>
      </c>
      <c r="C679" s="31"/>
      <c r="D679" s="31"/>
      <c r="E679" s="31"/>
      <c r="F679" s="31"/>
      <c r="G679" s="31"/>
    </row>
    <row r="680" spans="1:7" x14ac:dyDescent="0.3">
      <c r="A680" s="131" t="s">
        <v>1839</v>
      </c>
      <c r="B680" s="130">
        <v>20</v>
      </c>
      <c r="C680" s="31"/>
      <c r="D680" s="31"/>
      <c r="E680" s="31"/>
      <c r="F680" s="31"/>
      <c r="G680" s="31"/>
    </row>
    <row r="681" spans="1:7" x14ac:dyDescent="0.3">
      <c r="A681" s="131" t="s">
        <v>1840</v>
      </c>
      <c r="B681" s="130">
        <v>252</v>
      </c>
      <c r="C681" s="31"/>
      <c r="D681" s="31"/>
      <c r="E681" s="31"/>
      <c r="F681" s="31"/>
      <c r="G681" s="31"/>
    </row>
    <row r="682" spans="1:7" x14ac:dyDescent="0.3">
      <c r="A682" s="131" t="s">
        <v>1841</v>
      </c>
      <c r="B682" s="130">
        <v>196</v>
      </c>
      <c r="C682" s="31"/>
      <c r="D682" s="31"/>
      <c r="E682" s="31"/>
      <c r="F682" s="31"/>
      <c r="G682" s="31"/>
    </row>
    <row r="683" spans="1:7" x14ac:dyDescent="0.3">
      <c r="A683" s="131" t="s">
        <v>1842</v>
      </c>
      <c r="B683" s="130">
        <v>397</v>
      </c>
      <c r="C683" s="31"/>
      <c r="D683" s="31"/>
      <c r="E683" s="31"/>
      <c r="F683" s="31"/>
      <c r="G683" s="31"/>
    </row>
    <row r="684" spans="1:7" x14ac:dyDescent="0.3">
      <c r="A684" s="131" t="s">
        <v>1843</v>
      </c>
      <c r="B684" s="130">
        <v>87</v>
      </c>
      <c r="C684" s="31"/>
      <c r="D684" s="31"/>
      <c r="E684" s="31"/>
      <c r="F684" s="31"/>
      <c r="G684" s="31"/>
    </row>
    <row r="685" spans="1:7" x14ac:dyDescent="0.3">
      <c r="A685" s="131" t="s">
        <v>1844</v>
      </c>
      <c r="B685" s="130">
        <v>150</v>
      </c>
      <c r="C685" s="31"/>
      <c r="D685" s="31"/>
      <c r="E685" s="31"/>
      <c r="F685" s="31"/>
      <c r="G685" s="31"/>
    </row>
    <row r="686" spans="1:7" x14ac:dyDescent="0.3">
      <c r="A686" s="131" t="s">
        <v>1845</v>
      </c>
      <c r="B686" s="130">
        <v>0</v>
      </c>
      <c r="C686" s="31"/>
      <c r="D686" s="31"/>
      <c r="E686" s="31"/>
      <c r="F686" s="31"/>
      <c r="G686" s="31"/>
    </row>
    <row r="687" spans="1:7" x14ac:dyDescent="0.3">
      <c r="A687" s="131" t="s">
        <v>1846</v>
      </c>
      <c r="B687" s="130">
        <v>256</v>
      </c>
      <c r="C687" s="31"/>
      <c r="D687" s="31"/>
      <c r="E687" s="31"/>
      <c r="F687" s="31"/>
      <c r="G687" s="31"/>
    </row>
    <row r="688" spans="1:7" x14ac:dyDescent="0.3">
      <c r="A688" s="131" t="s">
        <v>1847</v>
      </c>
      <c r="B688" s="130">
        <v>318</v>
      </c>
      <c r="C688" s="31"/>
      <c r="D688" s="31"/>
      <c r="E688" s="31"/>
      <c r="F688" s="31"/>
      <c r="G688" s="31"/>
    </row>
    <row r="689" spans="1:7" x14ac:dyDescent="0.3">
      <c r="A689" s="131" t="s">
        <v>1848</v>
      </c>
      <c r="B689" s="130">
        <v>227</v>
      </c>
      <c r="C689" s="31"/>
      <c r="D689" s="31"/>
      <c r="E689" s="31"/>
      <c r="F689" s="31"/>
      <c r="G689" s="31"/>
    </row>
    <row r="690" spans="1:7" x14ac:dyDescent="0.3">
      <c r="A690" s="131" t="s">
        <v>1849</v>
      </c>
      <c r="B690" s="130">
        <v>155</v>
      </c>
      <c r="C690" s="31"/>
      <c r="D690" s="31"/>
      <c r="E690" s="31"/>
      <c r="F690" s="31"/>
      <c r="G690" s="31"/>
    </row>
    <row r="691" spans="1:7" x14ac:dyDescent="0.3">
      <c r="A691" s="131" t="s">
        <v>1850</v>
      </c>
      <c r="B691" s="130">
        <v>196</v>
      </c>
      <c r="C691" s="31"/>
      <c r="D691" s="31"/>
      <c r="E691" s="31"/>
      <c r="F691" s="31"/>
      <c r="G691" s="31"/>
    </row>
    <row r="692" spans="1:7" x14ac:dyDescent="0.3">
      <c r="A692" s="131" t="s">
        <v>1851</v>
      </c>
      <c r="B692" s="130">
        <v>240</v>
      </c>
      <c r="C692" s="31"/>
      <c r="D692" s="31"/>
      <c r="E692" s="31"/>
      <c r="F692" s="31"/>
      <c r="G692" s="31"/>
    </row>
    <row r="693" spans="1:7" x14ac:dyDescent="0.3">
      <c r="A693" s="131" t="s">
        <v>1852</v>
      </c>
      <c r="B693" s="130">
        <v>74</v>
      </c>
      <c r="C693" s="31"/>
      <c r="D693" s="31"/>
      <c r="E693" s="31"/>
      <c r="F693" s="31"/>
      <c r="G693" s="31"/>
    </row>
    <row r="694" spans="1:7" x14ac:dyDescent="0.3">
      <c r="A694" s="131" t="s">
        <v>1853</v>
      </c>
      <c r="B694" s="130">
        <v>113</v>
      </c>
      <c r="C694" s="31"/>
      <c r="D694" s="31"/>
      <c r="E694" s="31"/>
      <c r="F694" s="31"/>
      <c r="G694" s="31"/>
    </row>
    <row r="695" spans="1:7" x14ac:dyDescent="0.3">
      <c r="A695" s="131" t="s">
        <v>1854</v>
      </c>
      <c r="B695" s="130">
        <v>296</v>
      </c>
      <c r="C695" s="31"/>
      <c r="D695" s="31"/>
      <c r="E695" s="31"/>
      <c r="F695" s="31"/>
      <c r="G695" s="31"/>
    </row>
    <row r="696" spans="1:7" x14ac:dyDescent="0.3">
      <c r="A696" s="131" t="s">
        <v>1855</v>
      </c>
      <c r="B696" s="130">
        <v>372</v>
      </c>
      <c r="C696" s="31"/>
      <c r="D696" s="31"/>
      <c r="E696" s="31"/>
      <c r="F696" s="31"/>
      <c r="G696" s="31"/>
    </row>
    <row r="697" spans="1:7" x14ac:dyDescent="0.3">
      <c r="A697" s="131" t="s">
        <v>1856</v>
      </c>
      <c r="B697" s="130">
        <v>262</v>
      </c>
      <c r="C697" s="31"/>
      <c r="D697" s="31"/>
      <c r="E697" s="31"/>
      <c r="F697" s="31"/>
      <c r="G697" s="31"/>
    </row>
    <row r="698" spans="1:7" x14ac:dyDescent="0.3">
      <c r="A698" s="131" t="s">
        <v>1857</v>
      </c>
      <c r="B698" s="130">
        <v>276</v>
      </c>
      <c r="C698" s="31"/>
      <c r="D698" s="31"/>
      <c r="E698" s="31"/>
      <c r="F698" s="31"/>
      <c r="G698" s="31"/>
    </row>
    <row r="699" spans="1:7" x14ac:dyDescent="0.3">
      <c r="A699" s="131" t="s">
        <v>1858</v>
      </c>
      <c r="B699" s="130">
        <v>200</v>
      </c>
      <c r="C699" s="31"/>
      <c r="D699" s="31"/>
      <c r="E699" s="31"/>
      <c r="F699" s="31"/>
      <c r="G699" s="31"/>
    </row>
    <row r="700" spans="1:7" x14ac:dyDescent="0.3">
      <c r="A700" s="131" t="s">
        <v>1859</v>
      </c>
      <c r="B700" s="130">
        <v>183</v>
      </c>
      <c r="C700" s="31"/>
      <c r="D700" s="31"/>
      <c r="E700" s="31"/>
      <c r="F700" s="31"/>
      <c r="G700" s="31"/>
    </row>
    <row r="701" spans="1:7" x14ac:dyDescent="0.3">
      <c r="A701" s="131" t="s">
        <v>1860</v>
      </c>
      <c r="B701" s="130">
        <v>280</v>
      </c>
      <c r="C701" s="31"/>
      <c r="D701" s="31"/>
      <c r="E701" s="31"/>
      <c r="F701" s="31"/>
      <c r="G701" s="31"/>
    </row>
    <row r="702" spans="1:7" x14ac:dyDescent="0.3">
      <c r="A702" s="131" t="s">
        <v>1861</v>
      </c>
      <c r="B702" s="130">
        <v>125</v>
      </c>
      <c r="C702" s="31"/>
      <c r="D702" s="31"/>
      <c r="E702" s="31"/>
      <c r="F702" s="31"/>
      <c r="G702" s="31"/>
    </row>
    <row r="703" spans="1:7" x14ac:dyDescent="0.3">
      <c r="A703" s="131" t="s">
        <v>1862</v>
      </c>
      <c r="B703" s="130">
        <v>73</v>
      </c>
      <c r="C703" s="31"/>
      <c r="D703" s="31"/>
      <c r="E703" s="31"/>
      <c r="F703" s="31"/>
      <c r="G703" s="31"/>
    </row>
    <row r="704" spans="1:7" x14ac:dyDescent="0.3">
      <c r="A704" s="131" t="s">
        <v>1863</v>
      </c>
      <c r="B704" s="130">
        <v>0</v>
      </c>
      <c r="C704" s="31"/>
      <c r="D704" s="31"/>
      <c r="E704" s="31"/>
      <c r="F704" s="31"/>
      <c r="G704" s="31"/>
    </row>
    <row r="705" spans="1:7" x14ac:dyDescent="0.3">
      <c r="A705" s="131" t="s">
        <v>1864</v>
      </c>
      <c r="B705" s="130">
        <v>87</v>
      </c>
      <c r="C705" s="31"/>
      <c r="D705" s="31"/>
      <c r="E705" s="31"/>
      <c r="F705" s="31"/>
      <c r="G705" s="31"/>
    </row>
    <row r="706" spans="1:7" x14ac:dyDescent="0.3">
      <c r="A706" s="131" t="s">
        <v>1865</v>
      </c>
      <c r="B706" s="130">
        <v>29</v>
      </c>
      <c r="C706" s="31"/>
      <c r="D706" s="31"/>
      <c r="E706" s="31"/>
      <c r="F706" s="31"/>
      <c r="G706" s="31"/>
    </row>
    <row r="707" spans="1:7" x14ac:dyDescent="0.3">
      <c r="A707" s="131" t="s">
        <v>1866</v>
      </c>
      <c r="B707" s="130">
        <v>53</v>
      </c>
      <c r="C707" s="31"/>
      <c r="D707" s="31"/>
      <c r="E707" s="31"/>
      <c r="F707" s="31"/>
      <c r="G707" s="31"/>
    </row>
    <row r="708" spans="1:7" x14ac:dyDescent="0.3">
      <c r="A708" s="131" t="s">
        <v>1867</v>
      </c>
      <c r="B708" s="130">
        <v>43</v>
      </c>
      <c r="C708" s="31"/>
      <c r="D708" s="31"/>
      <c r="E708" s="31"/>
      <c r="F708" s="31"/>
      <c r="G708" s="31"/>
    </row>
    <row r="709" spans="1:7" x14ac:dyDescent="0.3">
      <c r="A709" s="131" t="s">
        <v>1868</v>
      </c>
      <c r="B709" s="130" t="s">
        <v>1163</v>
      </c>
      <c r="C709" s="31"/>
      <c r="D709" s="31"/>
      <c r="E709" s="31"/>
      <c r="F709" s="31"/>
      <c r="G709" s="31"/>
    </row>
    <row r="710" spans="1:7" x14ac:dyDescent="0.3">
      <c r="A710" s="131" t="s">
        <v>1869</v>
      </c>
      <c r="B710" s="130" t="s">
        <v>1163</v>
      </c>
      <c r="C710" s="31"/>
      <c r="D710" s="31"/>
      <c r="E710" s="31"/>
      <c r="F710" s="31"/>
      <c r="G710" s="31"/>
    </row>
    <row r="711" spans="1:7" x14ac:dyDescent="0.3">
      <c r="A711" s="131" t="s">
        <v>1870</v>
      </c>
      <c r="B711" s="130" t="s">
        <v>1163</v>
      </c>
      <c r="C711" s="31"/>
      <c r="D711" s="31"/>
      <c r="E711" s="31"/>
      <c r="F711" s="31"/>
      <c r="G711" s="31"/>
    </row>
    <row r="712" spans="1:7" x14ac:dyDescent="0.3">
      <c r="A712" s="131" t="s">
        <v>1871</v>
      </c>
      <c r="B712" s="130">
        <v>87</v>
      </c>
      <c r="C712" s="31"/>
      <c r="D712" s="31"/>
      <c r="E712" s="31"/>
      <c r="F712" s="31"/>
      <c r="G712" s="31"/>
    </row>
    <row r="713" spans="1:7" x14ac:dyDescent="0.3">
      <c r="A713" s="131" t="s">
        <v>1872</v>
      </c>
      <c r="B713" s="130">
        <v>29</v>
      </c>
      <c r="C713" s="31"/>
      <c r="D713" s="31"/>
      <c r="E713" s="31"/>
      <c r="F713" s="31"/>
      <c r="G713" s="31"/>
    </row>
    <row r="714" spans="1:7" x14ac:dyDescent="0.3">
      <c r="A714" s="131" t="s">
        <v>1873</v>
      </c>
      <c r="B714" s="130">
        <v>10</v>
      </c>
      <c r="C714" s="31"/>
      <c r="D714" s="31"/>
      <c r="E714" s="31"/>
      <c r="F714" s="31"/>
      <c r="G714" s="31"/>
    </row>
    <row r="715" spans="1:7" x14ac:dyDescent="0.3">
      <c r="A715" s="131" t="s">
        <v>1874</v>
      </c>
      <c r="B715" s="130">
        <v>17</v>
      </c>
      <c r="C715" s="31"/>
      <c r="D715" s="31"/>
      <c r="E715" s="31"/>
      <c r="F715" s="31"/>
      <c r="G715" s="31"/>
    </row>
    <row r="716" spans="1:7" x14ac:dyDescent="0.3">
      <c r="A716" s="131" t="s">
        <v>1875</v>
      </c>
      <c r="B716" s="130">
        <v>25</v>
      </c>
      <c r="C716" s="31"/>
      <c r="D716" s="31"/>
      <c r="E716" s="31"/>
      <c r="F716" s="31"/>
      <c r="G716" s="31"/>
    </row>
    <row r="717" spans="1:7" x14ac:dyDescent="0.3">
      <c r="A717" s="131" t="s">
        <v>1876</v>
      </c>
      <c r="B717" s="130">
        <v>33</v>
      </c>
      <c r="C717" s="31"/>
      <c r="D717" s="31"/>
      <c r="E717" s="31"/>
      <c r="F717" s="31"/>
      <c r="G717" s="31"/>
    </row>
    <row r="718" spans="1:7" x14ac:dyDescent="0.3">
      <c r="A718" s="131" t="s">
        <v>1877</v>
      </c>
      <c r="B718" s="130">
        <v>24</v>
      </c>
      <c r="C718" s="31"/>
      <c r="D718" s="31"/>
      <c r="E718" s="31"/>
      <c r="F718" s="31"/>
      <c r="G718" s="31"/>
    </row>
    <row r="719" spans="1:7" x14ac:dyDescent="0.3">
      <c r="A719" s="131" t="s">
        <v>1878</v>
      </c>
      <c r="B719" s="130">
        <v>26</v>
      </c>
      <c r="C719" s="31"/>
      <c r="D719" s="31"/>
      <c r="E719" s="31"/>
      <c r="F719" s="31"/>
      <c r="G719" s="31"/>
    </row>
    <row r="720" spans="1:7" x14ac:dyDescent="0.3">
      <c r="A720" s="131" t="s">
        <v>1879</v>
      </c>
      <c r="B720" s="130">
        <v>349</v>
      </c>
      <c r="C720" s="31"/>
      <c r="D720" s="31"/>
      <c r="E720" s="31"/>
      <c r="F720" s="31"/>
      <c r="G720" s="31"/>
    </row>
    <row r="721" spans="1:7" x14ac:dyDescent="0.3">
      <c r="A721" s="131" t="s">
        <v>1880</v>
      </c>
      <c r="B721" s="130">
        <v>195</v>
      </c>
      <c r="C721" s="31"/>
      <c r="D721" s="31"/>
      <c r="E721" s="31"/>
      <c r="F721" s="31"/>
      <c r="G721" s="31"/>
    </row>
    <row r="722" spans="1:7" x14ac:dyDescent="0.3">
      <c r="A722" s="131" t="s">
        <v>1881</v>
      </c>
      <c r="B722" s="130">
        <v>187</v>
      </c>
      <c r="C722" s="31"/>
      <c r="D722" s="31"/>
      <c r="E722" s="31"/>
      <c r="F722" s="31"/>
      <c r="G722" s="31"/>
    </row>
    <row r="723" spans="1:7" x14ac:dyDescent="0.3">
      <c r="A723" s="131" t="s">
        <v>1882</v>
      </c>
      <c r="B723" s="130">
        <v>256</v>
      </c>
      <c r="C723" s="31"/>
      <c r="D723" s="31"/>
      <c r="E723" s="31"/>
      <c r="F723" s="31"/>
      <c r="G723" s="31"/>
    </row>
    <row r="724" spans="1:7" x14ac:dyDescent="0.3">
      <c r="A724" s="131" t="s">
        <v>1883</v>
      </c>
      <c r="B724" s="130">
        <v>86</v>
      </c>
      <c r="C724" s="31"/>
      <c r="D724" s="31"/>
      <c r="E724" s="31"/>
      <c r="F724" s="31"/>
      <c r="G724" s="31"/>
    </row>
    <row r="725" spans="1:7" x14ac:dyDescent="0.3">
      <c r="A725" s="131" t="s">
        <v>1884</v>
      </c>
      <c r="B725" s="130">
        <v>208</v>
      </c>
      <c r="C725" s="31"/>
      <c r="D725" s="31"/>
      <c r="E725" s="31"/>
      <c r="F725" s="31"/>
      <c r="G725" s="31"/>
    </row>
    <row r="726" spans="1:7" x14ac:dyDescent="0.3">
      <c r="A726" s="131" t="s">
        <v>1885</v>
      </c>
      <c r="B726" s="130">
        <v>231</v>
      </c>
      <c r="C726" s="31"/>
      <c r="D726" s="31"/>
      <c r="E726" s="31"/>
      <c r="F726" s="31"/>
      <c r="G726" s="31"/>
    </row>
    <row r="727" spans="1:7" x14ac:dyDescent="0.3">
      <c r="A727" s="131" t="s">
        <v>1886</v>
      </c>
      <c r="B727" s="130">
        <v>261</v>
      </c>
      <c r="C727" s="31"/>
      <c r="D727" s="31"/>
      <c r="E727" s="31"/>
      <c r="F727" s="31"/>
      <c r="G727" s="31"/>
    </row>
    <row r="728" spans="1:7" x14ac:dyDescent="0.3">
      <c r="A728" s="131" t="s">
        <v>1887</v>
      </c>
      <c r="B728" s="130">
        <v>125</v>
      </c>
      <c r="C728" s="31"/>
      <c r="D728" s="31"/>
      <c r="E728" s="31"/>
      <c r="F728" s="31"/>
      <c r="G728" s="31"/>
    </row>
    <row r="729" spans="1:7" x14ac:dyDescent="0.3">
      <c r="A729" s="131" t="s">
        <v>1888</v>
      </c>
      <c r="B729" s="130">
        <v>0</v>
      </c>
      <c r="C729" s="31"/>
      <c r="D729" s="31"/>
      <c r="E729" s="31"/>
      <c r="F729" s="31"/>
      <c r="G729" s="31"/>
    </row>
    <row r="730" spans="1:7" x14ac:dyDescent="0.3">
      <c r="A730" s="131" t="s">
        <v>1889</v>
      </c>
      <c r="B730" s="130">
        <v>0</v>
      </c>
      <c r="C730" s="31"/>
      <c r="D730" s="31"/>
      <c r="E730" s="31"/>
      <c r="F730" s="31"/>
      <c r="G730" s="31"/>
    </row>
    <row r="731" spans="1:7" x14ac:dyDescent="0.3">
      <c r="A731" s="131" t="s">
        <v>1890</v>
      </c>
      <c r="B731" s="130">
        <v>0</v>
      </c>
      <c r="C731" s="31"/>
      <c r="D731" s="31"/>
      <c r="E731" s="31"/>
      <c r="F731" s="31"/>
      <c r="G731" s="31"/>
    </row>
    <row r="732" spans="1:7" x14ac:dyDescent="0.3">
      <c r="A732" s="131" t="s">
        <v>1891</v>
      </c>
      <c r="B732" s="130">
        <v>94</v>
      </c>
      <c r="C732" s="31"/>
      <c r="D732" s="31"/>
      <c r="E732" s="31"/>
      <c r="F732" s="31"/>
      <c r="G732" s="31"/>
    </row>
    <row r="733" spans="1:7" x14ac:dyDescent="0.3">
      <c r="A733" s="131" t="s">
        <v>1892</v>
      </c>
      <c r="B733" s="130">
        <v>125</v>
      </c>
      <c r="C733" s="31"/>
      <c r="D733" s="31"/>
      <c r="E733" s="31"/>
      <c r="F733" s="31"/>
      <c r="G733" s="31"/>
    </row>
    <row r="734" spans="1:7" x14ac:dyDescent="0.3">
      <c r="A734" s="131" t="s">
        <v>1893</v>
      </c>
      <c r="B734" s="130">
        <v>46</v>
      </c>
      <c r="C734" s="31"/>
      <c r="D734" s="31"/>
      <c r="E734" s="31"/>
      <c r="F734" s="31"/>
      <c r="G734" s="31"/>
    </row>
    <row r="735" spans="1:7" x14ac:dyDescent="0.3">
      <c r="A735" s="131" t="s">
        <v>1894</v>
      </c>
      <c r="B735" s="130">
        <v>57</v>
      </c>
      <c r="C735" s="31"/>
      <c r="D735" s="31"/>
      <c r="E735" s="31"/>
      <c r="F735" s="31"/>
      <c r="G735" s="31"/>
    </row>
    <row r="736" spans="1:7" x14ac:dyDescent="0.3">
      <c r="A736" s="131" t="s">
        <v>1895</v>
      </c>
      <c r="B736" s="130">
        <v>65</v>
      </c>
      <c r="C736" s="31"/>
      <c r="D736" s="31"/>
      <c r="E736" s="31"/>
      <c r="F736" s="31"/>
      <c r="G736" s="31"/>
    </row>
    <row r="737" spans="1:7" x14ac:dyDescent="0.3">
      <c r="A737" s="131" t="s">
        <v>1896</v>
      </c>
      <c r="B737" s="130">
        <v>119</v>
      </c>
      <c r="C737" s="31"/>
      <c r="D737" s="31"/>
      <c r="E737" s="31"/>
      <c r="F737" s="31"/>
      <c r="G737" s="31"/>
    </row>
    <row r="738" spans="1:7" x14ac:dyDescent="0.3">
      <c r="A738" s="131" t="s">
        <v>1897</v>
      </c>
      <c r="B738" s="130">
        <v>93</v>
      </c>
      <c r="C738" s="31"/>
      <c r="D738" s="31"/>
      <c r="E738" s="31"/>
      <c r="F738" s="31"/>
      <c r="G738" s="31"/>
    </row>
    <row r="739" spans="1:7" x14ac:dyDescent="0.3">
      <c r="A739" s="131" t="s">
        <v>1898</v>
      </c>
      <c r="B739" s="130">
        <v>132</v>
      </c>
      <c r="C739" s="31"/>
      <c r="D739" s="31"/>
      <c r="E739" s="31"/>
      <c r="F739" s="31"/>
      <c r="G739" s="31"/>
    </row>
    <row r="740" spans="1:7" x14ac:dyDescent="0.3">
      <c r="A740" s="131" t="s">
        <v>1899</v>
      </c>
      <c r="B740" s="130">
        <v>48</v>
      </c>
      <c r="C740" s="31"/>
      <c r="D740" s="31"/>
      <c r="E740" s="31"/>
      <c r="F740" s="31"/>
      <c r="G740" s="31"/>
    </row>
    <row r="741" spans="1:7" x14ac:dyDescent="0.3">
      <c r="A741" s="131" t="s">
        <v>1900</v>
      </c>
      <c r="B741" s="130">
        <v>202</v>
      </c>
      <c r="C741" s="31"/>
      <c r="D741" s="31"/>
      <c r="E741" s="31"/>
      <c r="F741" s="31"/>
      <c r="G741" s="31"/>
    </row>
    <row r="742" spans="1:7" x14ac:dyDescent="0.3">
      <c r="A742" s="131" t="s">
        <v>1901</v>
      </c>
      <c r="B742" s="130">
        <v>215</v>
      </c>
      <c r="C742" s="31"/>
      <c r="D742" s="31"/>
      <c r="E742" s="31"/>
      <c r="F742" s="31"/>
      <c r="G742" s="31"/>
    </row>
    <row r="743" spans="1:7" x14ac:dyDescent="0.3">
      <c r="A743" s="131" t="s">
        <v>1902</v>
      </c>
      <c r="B743" s="130">
        <v>24</v>
      </c>
      <c r="C743" s="31"/>
      <c r="D743" s="31"/>
      <c r="E743" s="31"/>
      <c r="F743" s="31"/>
      <c r="G743" s="31"/>
    </row>
    <row r="744" spans="1:7" x14ac:dyDescent="0.3">
      <c r="A744" s="131" t="s">
        <v>1903</v>
      </c>
      <c r="B744" s="130">
        <v>171</v>
      </c>
      <c r="C744" s="31"/>
      <c r="D744" s="31"/>
      <c r="E744" s="31"/>
      <c r="F744" s="31"/>
      <c r="G744" s="31"/>
    </row>
    <row r="745" spans="1:7" x14ac:dyDescent="0.3">
      <c r="A745" s="131" t="s">
        <v>1904</v>
      </c>
      <c r="B745" s="130">
        <v>103</v>
      </c>
      <c r="C745" s="31"/>
      <c r="D745" s="31"/>
      <c r="E745" s="31"/>
      <c r="F745" s="31"/>
      <c r="G745" s="31"/>
    </row>
    <row r="746" spans="1:7" x14ac:dyDescent="0.3">
      <c r="A746" s="131" t="s">
        <v>1905</v>
      </c>
      <c r="B746" s="130">
        <v>90</v>
      </c>
      <c r="C746" s="31"/>
      <c r="D746" s="31"/>
      <c r="E746" s="31"/>
      <c r="F746" s="31"/>
      <c r="G746" s="31"/>
    </row>
    <row r="747" spans="1:7" x14ac:dyDescent="0.3">
      <c r="A747" s="131" t="s">
        <v>1906</v>
      </c>
      <c r="B747" s="130">
        <v>107</v>
      </c>
      <c r="C747" s="31"/>
      <c r="D747" s="31"/>
      <c r="E747" s="31"/>
      <c r="F747" s="31"/>
      <c r="G747" s="31"/>
    </row>
    <row r="748" spans="1:7" x14ac:dyDescent="0.3">
      <c r="A748" s="131" t="s">
        <v>1907</v>
      </c>
      <c r="B748" s="130">
        <v>21</v>
      </c>
      <c r="C748" s="31"/>
      <c r="D748" s="31"/>
      <c r="E748" s="31"/>
      <c r="F748" s="31"/>
      <c r="G748" s="31"/>
    </row>
    <row r="749" spans="1:7" x14ac:dyDescent="0.3">
      <c r="A749" s="131" t="s">
        <v>1908</v>
      </c>
      <c r="B749" s="130">
        <v>0</v>
      </c>
      <c r="C749" s="31"/>
      <c r="D749" s="31"/>
      <c r="E749" s="31"/>
      <c r="F749" s="31"/>
      <c r="G749" s="31"/>
    </row>
    <row r="750" spans="1:7" x14ac:dyDescent="0.3">
      <c r="A750" s="131" t="s">
        <v>1909</v>
      </c>
      <c r="B750" s="130" t="s">
        <v>1163</v>
      </c>
      <c r="C750" s="31"/>
      <c r="D750" s="31"/>
      <c r="E750" s="31"/>
      <c r="F750" s="31"/>
      <c r="G750" s="31"/>
    </row>
    <row r="751" spans="1:7" x14ac:dyDescent="0.3">
      <c r="A751" s="131" t="s">
        <v>1910</v>
      </c>
      <c r="B751" s="130">
        <v>115</v>
      </c>
      <c r="C751" s="31"/>
      <c r="D751" s="31"/>
      <c r="E751" s="31"/>
      <c r="F751" s="31"/>
      <c r="G751" s="31"/>
    </row>
    <row r="752" spans="1:7" x14ac:dyDescent="0.3">
      <c r="A752" s="131" t="s">
        <v>1911</v>
      </c>
      <c r="B752" s="130">
        <v>163</v>
      </c>
      <c r="C752" s="31"/>
      <c r="D752" s="31"/>
      <c r="E752" s="31"/>
      <c r="F752" s="31"/>
      <c r="G752" s="31"/>
    </row>
    <row r="753" spans="1:7" x14ac:dyDescent="0.3">
      <c r="A753" s="131" t="s">
        <v>1912</v>
      </c>
      <c r="B753" s="130">
        <v>61</v>
      </c>
      <c r="C753" s="31"/>
      <c r="D753" s="31"/>
      <c r="E753" s="31"/>
      <c r="F753" s="31"/>
      <c r="G753" s="31"/>
    </row>
    <row r="754" spans="1:7" x14ac:dyDescent="0.3">
      <c r="A754" s="131" t="s">
        <v>1913</v>
      </c>
      <c r="B754" s="130">
        <v>227</v>
      </c>
      <c r="C754" s="31"/>
      <c r="D754" s="31"/>
      <c r="E754" s="31"/>
      <c r="F754" s="31"/>
      <c r="G754" s="31"/>
    </row>
    <row r="755" spans="1:7" x14ac:dyDescent="0.3">
      <c r="A755" s="131" t="s">
        <v>1914</v>
      </c>
      <c r="B755" s="130">
        <v>72</v>
      </c>
      <c r="C755" s="31"/>
      <c r="D755" s="31"/>
      <c r="E755" s="31"/>
      <c r="F755" s="31"/>
      <c r="G755" s="31"/>
    </row>
    <row r="756" spans="1:7" x14ac:dyDescent="0.3">
      <c r="A756" s="131" t="s">
        <v>1915</v>
      </c>
      <c r="B756" s="130">
        <v>65</v>
      </c>
      <c r="C756" s="31"/>
      <c r="D756" s="31"/>
      <c r="E756" s="31"/>
      <c r="F756" s="31"/>
      <c r="G756" s="31"/>
    </row>
    <row r="757" spans="1:7" x14ac:dyDescent="0.3">
      <c r="A757" s="131" t="s">
        <v>1916</v>
      </c>
      <c r="B757" s="130">
        <v>123</v>
      </c>
      <c r="C757" s="31"/>
      <c r="D757" s="31"/>
      <c r="E757" s="31"/>
      <c r="F757" s="31"/>
      <c r="G757" s="31"/>
    </row>
    <row r="758" spans="1:7" x14ac:dyDescent="0.3">
      <c r="A758" s="131" t="s">
        <v>1917</v>
      </c>
      <c r="B758" s="130">
        <v>82</v>
      </c>
      <c r="C758" s="31"/>
      <c r="D758" s="31"/>
      <c r="E758" s="31"/>
      <c r="F758" s="31"/>
      <c r="G758" s="31"/>
    </row>
    <row r="759" spans="1:7" x14ac:dyDescent="0.3">
      <c r="A759" s="131" t="s">
        <v>1918</v>
      </c>
      <c r="B759" s="130">
        <v>47</v>
      </c>
      <c r="C759" s="31"/>
      <c r="D759" s="31"/>
      <c r="E759" s="31"/>
      <c r="F759" s="31"/>
      <c r="G759" s="31"/>
    </row>
    <row r="760" spans="1:7" x14ac:dyDescent="0.3">
      <c r="A760" s="131" t="s">
        <v>1919</v>
      </c>
      <c r="B760" s="130">
        <v>49</v>
      </c>
      <c r="C760" s="31"/>
      <c r="D760" s="31"/>
      <c r="E760" s="31"/>
      <c r="F760" s="31"/>
      <c r="G760" s="31"/>
    </row>
    <row r="761" spans="1:7" x14ac:dyDescent="0.3">
      <c r="A761" s="131" t="s">
        <v>1920</v>
      </c>
      <c r="B761" s="130">
        <v>123</v>
      </c>
      <c r="C761" s="31"/>
      <c r="D761" s="31"/>
      <c r="E761" s="31"/>
      <c r="F761" s="31"/>
      <c r="G761" s="31"/>
    </row>
    <row r="762" spans="1:7" x14ac:dyDescent="0.3">
      <c r="A762" s="131" t="s">
        <v>1921</v>
      </c>
      <c r="B762" s="130">
        <v>184</v>
      </c>
      <c r="C762" s="31"/>
      <c r="D762" s="31"/>
      <c r="E762" s="31"/>
      <c r="F762" s="31"/>
      <c r="G762" s="31"/>
    </row>
    <row r="763" spans="1:7" x14ac:dyDescent="0.3">
      <c r="A763" s="131" t="s">
        <v>1922</v>
      </c>
      <c r="B763" s="130">
        <v>196</v>
      </c>
      <c r="C763" s="31"/>
      <c r="D763" s="31"/>
      <c r="E763" s="31"/>
      <c r="F763" s="31"/>
      <c r="G763" s="31"/>
    </row>
    <row r="764" spans="1:7" x14ac:dyDescent="0.3">
      <c r="A764" s="131" t="s">
        <v>1923</v>
      </c>
      <c r="B764" s="130">
        <v>149</v>
      </c>
      <c r="C764" s="31"/>
      <c r="D764" s="31"/>
      <c r="E764" s="31"/>
      <c r="F764" s="31"/>
      <c r="G764" s="31"/>
    </row>
    <row r="765" spans="1:7" x14ac:dyDescent="0.3">
      <c r="A765" s="131" t="s">
        <v>1924</v>
      </c>
      <c r="B765" s="130" t="s">
        <v>1163</v>
      </c>
      <c r="C765" s="31"/>
      <c r="D765" s="31"/>
      <c r="E765" s="31"/>
      <c r="F765" s="31"/>
      <c r="G765" s="31"/>
    </row>
    <row r="766" spans="1:7" x14ac:dyDescent="0.3">
      <c r="A766" s="131" t="s">
        <v>1925</v>
      </c>
      <c r="B766" s="130">
        <v>36</v>
      </c>
      <c r="C766" s="31"/>
      <c r="D766" s="31"/>
      <c r="E766" s="31"/>
      <c r="F766" s="31"/>
      <c r="G766" s="31"/>
    </row>
    <row r="767" spans="1:7" x14ac:dyDescent="0.3">
      <c r="A767" s="131" t="s">
        <v>1926</v>
      </c>
      <c r="B767" s="130">
        <v>67</v>
      </c>
      <c r="C767" s="31"/>
      <c r="D767" s="31"/>
      <c r="E767" s="31"/>
      <c r="F767" s="31"/>
      <c r="G767" s="31"/>
    </row>
    <row r="768" spans="1:7" x14ac:dyDescent="0.3">
      <c r="A768" s="131" t="s">
        <v>1927</v>
      </c>
      <c r="B768" s="130">
        <v>32</v>
      </c>
      <c r="C768" s="31"/>
      <c r="D768" s="31"/>
      <c r="E768" s="31"/>
      <c r="F768" s="31"/>
      <c r="G768" s="31"/>
    </row>
    <row r="769" spans="1:7" x14ac:dyDescent="0.3">
      <c r="A769" s="131" t="s">
        <v>1928</v>
      </c>
      <c r="B769" s="130">
        <v>73</v>
      </c>
      <c r="C769" s="31"/>
      <c r="D769" s="31"/>
      <c r="E769" s="31"/>
      <c r="F769" s="31"/>
      <c r="G769" s="31"/>
    </row>
    <row r="770" spans="1:7" x14ac:dyDescent="0.3">
      <c r="A770" s="131" t="s">
        <v>1929</v>
      </c>
      <c r="B770" s="130">
        <v>123</v>
      </c>
      <c r="C770" s="31"/>
      <c r="D770" s="31"/>
      <c r="E770" s="31"/>
      <c r="F770" s="31"/>
      <c r="G770" s="31"/>
    </row>
    <row r="771" spans="1:7" x14ac:dyDescent="0.3">
      <c r="A771" s="131" t="s">
        <v>1930</v>
      </c>
      <c r="B771" s="130">
        <v>125</v>
      </c>
      <c r="C771" s="31"/>
      <c r="D771" s="31"/>
      <c r="E771" s="31"/>
      <c r="F771" s="31"/>
      <c r="G771" s="31"/>
    </row>
    <row r="772" spans="1:7" x14ac:dyDescent="0.3">
      <c r="A772" s="131" t="s">
        <v>1931</v>
      </c>
      <c r="B772" s="130">
        <v>19</v>
      </c>
      <c r="C772" s="31"/>
      <c r="D772" s="31"/>
      <c r="E772" s="31"/>
      <c r="F772" s="31"/>
      <c r="G772" s="31"/>
    </row>
    <row r="773" spans="1:7" x14ac:dyDescent="0.3">
      <c r="A773" s="131" t="s">
        <v>1932</v>
      </c>
      <c r="B773" s="130">
        <v>15</v>
      </c>
      <c r="C773" s="31"/>
      <c r="D773" s="31"/>
      <c r="E773" s="31"/>
      <c r="F773" s="31"/>
      <c r="G773" s="31"/>
    </row>
    <row r="774" spans="1:7" x14ac:dyDescent="0.3">
      <c r="A774" s="131" t="s">
        <v>1933</v>
      </c>
      <c r="B774" s="130">
        <v>254</v>
      </c>
      <c r="C774" s="31"/>
      <c r="D774" s="31"/>
      <c r="E774" s="31"/>
      <c r="F774" s="31"/>
      <c r="G774" s="31"/>
    </row>
    <row r="775" spans="1:7" x14ac:dyDescent="0.3">
      <c r="A775" s="131" t="s">
        <v>1934</v>
      </c>
      <c r="B775" s="130">
        <v>33</v>
      </c>
      <c r="C775" s="31"/>
      <c r="D775" s="31"/>
      <c r="E775" s="31"/>
      <c r="F775" s="31"/>
      <c r="G775" s="31"/>
    </row>
    <row r="776" spans="1:7" x14ac:dyDescent="0.3">
      <c r="A776" s="131" t="s">
        <v>1935</v>
      </c>
      <c r="B776" s="130">
        <v>42</v>
      </c>
      <c r="C776" s="31"/>
      <c r="D776" s="31"/>
      <c r="E776" s="31"/>
      <c r="F776" s="31"/>
      <c r="G776" s="31"/>
    </row>
    <row r="777" spans="1:7" x14ac:dyDescent="0.3">
      <c r="A777" s="131" t="s">
        <v>1936</v>
      </c>
      <c r="B777" s="130">
        <v>156</v>
      </c>
      <c r="C777" s="31"/>
      <c r="D777" s="31"/>
      <c r="E777" s="31"/>
      <c r="F777" s="31"/>
      <c r="G777" s="31"/>
    </row>
    <row r="778" spans="1:7" x14ac:dyDescent="0.3">
      <c r="A778" s="131" t="s">
        <v>1937</v>
      </c>
      <c r="B778" s="130">
        <v>0</v>
      </c>
      <c r="C778" s="31"/>
      <c r="D778" s="31"/>
      <c r="E778" s="31"/>
      <c r="F778" s="31"/>
      <c r="G778" s="31"/>
    </row>
    <row r="779" spans="1:7" x14ac:dyDescent="0.3">
      <c r="A779" s="131" t="s">
        <v>1938</v>
      </c>
      <c r="B779" s="130">
        <v>90</v>
      </c>
      <c r="C779" s="31"/>
      <c r="D779" s="31"/>
      <c r="E779" s="31"/>
      <c r="F779" s="31"/>
      <c r="G779" s="31"/>
    </row>
    <row r="780" spans="1:7" x14ac:dyDescent="0.3">
      <c r="A780" s="131" t="s">
        <v>1939</v>
      </c>
      <c r="B780" s="130">
        <v>75</v>
      </c>
      <c r="C780" s="31"/>
      <c r="D780" s="31"/>
      <c r="E780" s="31"/>
      <c r="F780" s="31"/>
      <c r="G780" s="31"/>
    </row>
    <row r="781" spans="1:7" x14ac:dyDescent="0.3">
      <c r="A781" s="131" t="s">
        <v>1940</v>
      </c>
      <c r="B781" s="130">
        <v>56</v>
      </c>
      <c r="C781" s="31"/>
      <c r="D781" s="31"/>
      <c r="E781" s="31"/>
      <c r="F781" s="31"/>
      <c r="G781" s="31"/>
    </row>
    <row r="782" spans="1:7" x14ac:dyDescent="0.3">
      <c r="A782" s="131" t="s">
        <v>1941</v>
      </c>
      <c r="B782" s="130">
        <v>212</v>
      </c>
      <c r="C782" s="31"/>
      <c r="D782" s="31"/>
      <c r="E782" s="31"/>
      <c r="F782" s="31"/>
      <c r="G782" s="31"/>
    </row>
    <row r="783" spans="1:7" x14ac:dyDescent="0.3">
      <c r="A783" s="131" t="s">
        <v>1942</v>
      </c>
      <c r="B783" s="130">
        <v>82</v>
      </c>
      <c r="C783" s="31"/>
      <c r="D783" s="31"/>
      <c r="E783" s="31"/>
      <c r="F783" s="31"/>
      <c r="G783" s="31"/>
    </row>
    <row r="784" spans="1:7" x14ac:dyDescent="0.3">
      <c r="A784" s="131" t="s">
        <v>1943</v>
      </c>
      <c r="B784" s="130">
        <v>77</v>
      </c>
      <c r="C784" s="31"/>
      <c r="D784" s="31"/>
      <c r="E784" s="31"/>
      <c r="F784" s="31"/>
      <c r="G784" s="31"/>
    </row>
    <row r="785" spans="1:7" x14ac:dyDescent="0.3">
      <c r="A785" s="131" t="s">
        <v>1944</v>
      </c>
      <c r="B785" s="130">
        <v>160</v>
      </c>
      <c r="C785" s="31"/>
      <c r="D785" s="31"/>
      <c r="E785" s="31"/>
      <c r="F785" s="31"/>
      <c r="G785" s="31"/>
    </row>
    <row r="786" spans="1:7" x14ac:dyDescent="0.3">
      <c r="A786" s="131" t="s">
        <v>1945</v>
      </c>
      <c r="B786" s="130">
        <v>184</v>
      </c>
      <c r="C786" s="31"/>
      <c r="D786" s="31"/>
      <c r="E786" s="31"/>
      <c r="F786" s="31"/>
      <c r="G786" s="31"/>
    </row>
    <row r="787" spans="1:7" x14ac:dyDescent="0.3">
      <c r="A787" s="131" t="s">
        <v>1946</v>
      </c>
      <c r="B787" s="130">
        <v>121</v>
      </c>
      <c r="C787" s="31"/>
      <c r="D787" s="31"/>
      <c r="E787" s="31"/>
      <c r="F787" s="31"/>
      <c r="G787" s="31"/>
    </row>
    <row r="788" spans="1:7" x14ac:dyDescent="0.3">
      <c r="A788" s="131" t="s">
        <v>1947</v>
      </c>
      <c r="B788" s="130">
        <v>105</v>
      </c>
      <c r="C788" s="31"/>
      <c r="D788" s="31"/>
      <c r="E788" s="31"/>
      <c r="F788" s="31"/>
      <c r="G788" s="31"/>
    </row>
    <row r="789" spans="1:7" x14ac:dyDescent="0.3">
      <c r="A789" s="131" t="s">
        <v>1948</v>
      </c>
      <c r="B789" s="130">
        <v>22</v>
      </c>
      <c r="C789" s="31"/>
      <c r="D789" s="31"/>
      <c r="E789" s="31"/>
      <c r="F789" s="31"/>
      <c r="G789" s="31"/>
    </row>
    <row r="790" spans="1:7" x14ac:dyDescent="0.3">
      <c r="A790" s="131" t="s">
        <v>1949</v>
      </c>
      <c r="B790" s="130">
        <v>107</v>
      </c>
      <c r="C790" s="31"/>
      <c r="D790" s="31"/>
      <c r="E790" s="31"/>
      <c r="F790" s="31"/>
      <c r="G790" s="31"/>
    </row>
    <row r="791" spans="1:7" x14ac:dyDescent="0.3">
      <c r="A791" s="131" t="s">
        <v>1950</v>
      </c>
      <c r="B791" s="130">
        <v>49</v>
      </c>
      <c r="C791" s="31"/>
      <c r="D791" s="31"/>
      <c r="E791" s="31"/>
      <c r="F791" s="31"/>
      <c r="G791" s="31"/>
    </row>
    <row r="792" spans="1:7" x14ac:dyDescent="0.3">
      <c r="A792" s="131" t="s">
        <v>1951</v>
      </c>
      <c r="B792" s="130">
        <v>35</v>
      </c>
      <c r="C792" s="31"/>
      <c r="D792" s="31"/>
      <c r="E792" s="31"/>
      <c r="F792" s="31"/>
      <c r="G792" s="31"/>
    </row>
    <row r="793" spans="1:7" x14ac:dyDescent="0.3">
      <c r="A793" s="131" t="s">
        <v>1952</v>
      </c>
      <c r="B793" s="130">
        <v>115</v>
      </c>
      <c r="C793" s="31"/>
      <c r="D793" s="31"/>
      <c r="E793" s="31"/>
      <c r="F793" s="31"/>
      <c r="G793" s="31"/>
    </row>
    <row r="794" spans="1:7" x14ac:dyDescent="0.3">
      <c r="A794" s="131" t="s">
        <v>1953</v>
      </c>
      <c r="B794" s="130">
        <v>103</v>
      </c>
      <c r="C794" s="31"/>
      <c r="D794" s="31"/>
      <c r="E794" s="31"/>
      <c r="F794" s="31"/>
      <c r="G794" s="31"/>
    </row>
    <row r="795" spans="1:7" x14ac:dyDescent="0.3">
      <c r="A795" s="131" t="s">
        <v>1954</v>
      </c>
      <c r="B795" s="130">
        <v>200</v>
      </c>
      <c r="C795" s="31"/>
      <c r="D795" s="31"/>
      <c r="E795" s="31"/>
      <c r="F795" s="31"/>
      <c r="G795" s="31"/>
    </row>
    <row r="796" spans="1:7" x14ac:dyDescent="0.3">
      <c r="A796" s="131" t="s">
        <v>1955</v>
      </c>
      <c r="B796" s="130">
        <v>163</v>
      </c>
      <c r="C796" s="31"/>
      <c r="D796" s="31"/>
      <c r="E796" s="31"/>
      <c r="F796" s="31"/>
      <c r="G796" s="31"/>
    </row>
    <row r="797" spans="1:7" x14ac:dyDescent="0.3">
      <c r="A797" s="131" t="s">
        <v>1956</v>
      </c>
      <c r="B797" s="130">
        <v>72</v>
      </c>
      <c r="C797" s="31"/>
      <c r="D797" s="31"/>
      <c r="E797" s="31"/>
      <c r="F797" s="31"/>
      <c r="G797" s="31"/>
    </row>
    <row r="798" spans="1:7" x14ac:dyDescent="0.3">
      <c r="A798" s="131" t="s">
        <v>1957</v>
      </c>
      <c r="B798" s="130">
        <v>108</v>
      </c>
      <c r="C798" s="31"/>
      <c r="D798" s="31"/>
      <c r="E798" s="31"/>
      <c r="F798" s="31"/>
      <c r="G798" s="31"/>
    </row>
    <row r="799" spans="1:7" x14ac:dyDescent="0.3">
      <c r="A799" s="131" t="s">
        <v>1958</v>
      </c>
      <c r="B799" s="130">
        <v>56</v>
      </c>
      <c r="C799" s="31"/>
      <c r="D799" s="31"/>
      <c r="E799" s="31"/>
      <c r="F799" s="31"/>
      <c r="G799" s="31"/>
    </row>
    <row r="800" spans="1:7" x14ac:dyDescent="0.3">
      <c r="A800" s="131" t="s">
        <v>1959</v>
      </c>
      <c r="B800" s="130">
        <v>57</v>
      </c>
      <c r="C800" s="31"/>
      <c r="D800" s="31"/>
      <c r="E800" s="31"/>
      <c r="F800" s="31"/>
      <c r="G800" s="31"/>
    </row>
    <row r="801" spans="1:7" x14ac:dyDescent="0.3">
      <c r="A801" s="131" t="s">
        <v>1960</v>
      </c>
      <c r="B801" s="130">
        <v>166</v>
      </c>
      <c r="C801" s="31"/>
      <c r="D801" s="31"/>
      <c r="E801" s="31"/>
      <c r="F801" s="31"/>
      <c r="G801" s="31"/>
    </row>
    <row r="802" spans="1:7" x14ac:dyDescent="0.3">
      <c r="A802" s="131" t="s">
        <v>1961</v>
      </c>
      <c r="B802" s="130">
        <v>79</v>
      </c>
      <c r="C802" s="31"/>
      <c r="D802" s="31"/>
      <c r="E802" s="31"/>
      <c r="F802" s="31"/>
      <c r="G802" s="31"/>
    </row>
    <row r="803" spans="1:7" x14ac:dyDescent="0.3">
      <c r="A803" s="131" t="s">
        <v>1962</v>
      </c>
      <c r="B803" s="130">
        <v>119</v>
      </c>
      <c r="C803" s="31"/>
      <c r="D803" s="31"/>
      <c r="E803" s="31"/>
      <c r="F803" s="31"/>
      <c r="G803" s="31"/>
    </row>
    <row r="804" spans="1:7" x14ac:dyDescent="0.3">
      <c r="A804" s="131" t="s">
        <v>1963</v>
      </c>
      <c r="B804" s="130">
        <v>200</v>
      </c>
      <c r="C804" s="31"/>
      <c r="D804" s="31"/>
      <c r="E804" s="31"/>
      <c r="F804" s="31"/>
      <c r="G804" s="31"/>
    </row>
    <row r="805" spans="1:7" x14ac:dyDescent="0.3">
      <c r="A805" s="131" t="s">
        <v>1964</v>
      </c>
      <c r="B805" s="130">
        <v>112</v>
      </c>
      <c r="C805" s="31"/>
      <c r="D805" s="31"/>
      <c r="E805" s="31"/>
      <c r="F805" s="31"/>
      <c r="G805" s="31"/>
    </row>
    <row r="806" spans="1:7" x14ac:dyDescent="0.3">
      <c r="A806" s="131" t="s">
        <v>1965</v>
      </c>
      <c r="B806" s="130">
        <v>322</v>
      </c>
      <c r="C806" s="31"/>
      <c r="D806" s="31"/>
      <c r="E806" s="31"/>
      <c r="F806" s="31"/>
      <c r="G806" s="31"/>
    </row>
    <row r="807" spans="1:7" x14ac:dyDescent="0.3">
      <c r="A807" s="131" t="s">
        <v>1966</v>
      </c>
      <c r="B807" s="130">
        <v>278</v>
      </c>
      <c r="C807" s="31"/>
      <c r="D807" s="31"/>
      <c r="E807" s="31"/>
      <c r="F807" s="31"/>
      <c r="G807" s="31"/>
    </row>
    <row r="808" spans="1:7" x14ac:dyDescent="0.3">
      <c r="A808" s="131" t="s">
        <v>1967</v>
      </c>
      <c r="B808" s="130">
        <v>15</v>
      </c>
      <c r="C808" s="31"/>
      <c r="D808" s="31"/>
      <c r="E808" s="31"/>
      <c r="F808" s="31"/>
      <c r="G808" s="31"/>
    </row>
    <row r="809" spans="1:7" x14ac:dyDescent="0.3">
      <c r="A809" s="131" t="s">
        <v>1968</v>
      </c>
      <c r="B809" s="130" t="s">
        <v>1163</v>
      </c>
      <c r="C809" s="31"/>
      <c r="D809" s="31"/>
      <c r="E809" s="31"/>
      <c r="F809" s="31"/>
      <c r="G809" s="31"/>
    </row>
    <row r="810" spans="1:7" x14ac:dyDescent="0.3">
      <c r="A810" s="131" t="s">
        <v>1969</v>
      </c>
      <c r="B810" s="130">
        <v>142</v>
      </c>
      <c r="C810" s="31"/>
      <c r="D810" s="31"/>
      <c r="E810" s="31"/>
      <c r="F810" s="31"/>
      <c r="G810" s="31"/>
    </row>
    <row r="811" spans="1:7" x14ac:dyDescent="0.3">
      <c r="A811" s="131" t="s">
        <v>1970</v>
      </c>
      <c r="B811" s="130">
        <v>33</v>
      </c>
      <c r="C811" s="31"/>
      <c r="D811" s="31"/>
      <c r="E811" s="31"/>
      <c r="F811" s="31"/>
      <c r="G811" s="31"/>
    </row>
    <row r="812" spans="1:7" x14ac:dyDescent="0.3">
      <c r="A812" s="131" t="s">
        <v>1971</v>
      </c>
      <c r="B812" s="130" t="s">
        <v>1163</v>
      </c>
      <c r="C812" s="31"/>
      <c r="D812" s="31"/>
      <c r="E812" s="31"/>
      <c r="F812" s="31"/>
      <c r="G812" s="31"/>
    </row>
    <row r="813" spans="1:7" x14ac:dyDescent="0.3">
      <c r="A813" s="131" t="s">
        <v>1972</v>
      </c>
      <c r="B813" s="130">
        <v>57</v>
      </c>
      <c r="C813" s="31"/>
      <c r="D813" s="31"/>
      <c r="E813" s="31"/>
      <c r="F813" s="31"/>
      <c r="G813" s="31"/>
    </row>
    <row r="814" spans="1:7" x14ac:dyDescent="0.3">
      <c r="A814" s="131" t="s">
        <v>1973</v>
      </c>
      <c r="B814" s="130">
        <v>13</v>
      </c>
      <c r="C814" s="31"/>
      <c r="D814" s="31"/>
      <c r="E814" s="31"/>
      <c r="F814" s="31"/>
      <c r="G814" s="31"/>
    </row>
    <row r="815" spans="1:7" x14ac:dyDescent="0.3">
      <c r="A815" s="131" t="s">
        <v>1974</v>
      </c>
      <c r="B815" s="130">
        <v>29</v>
      </c>
      <c r="C815" s="31"/>
      <c r="D815" s="31"/>
      <c r="E815" s="31"/>
      <c r="F815" s="31"/>
      <c r="G815" s="31"/>
    </row>
    <row r="816" spans="1:7" x14ac:dyDescent="0.3">
      <c r="A816" s="131" t="s">
        <v>1975</v>
      </c>
      <c r="B816" s="130">
        <v>54</v>
      </c>
      <c r="C816" s="31"/>
      <c r="D816" s="31"/>
      <c r="E816" s="31"/>
      <c r="F816" s="31"/>
      <c r="G816" s="31"/>
    </row>
    <row r="817" spans="1:7" x14ac:dyDescent="0.3">
      <c r="A817" s="131" t="s">
        <v>1976</v>
      </c>
      <c r="B817" s="130">
        <v>130</v>
      </c>
      <c r="C817" s="31"/>
      <c r="D817" s="31"/>
      <c r="E817" s="31"/>
      <c r="F817" s="31"/>
      <c r="G817" s="31"/>
    </row>
    <row r="818" spans="1:7" x14ac:dyDescent="0.3">
      <c r="A818" s="131" t="s">
        <v>1977</v>
      </c>
      <c r="B818" s="130">
        <v>12</v>
      </c>
      <c r="C818" s="31"/>
      <c r="D818" s="31"/>
      <c r="E818" s="31"/>
      <c r="F818" s="31"/>
      <c r="G818" s="31"/>
    </row>
    <row r="819" spans="1:7" x14ac:dyDescent="0.3">
      <c r="A819" s="131" t="s">
        <v>1978</v>
      </c>
      <c r="B819" s="130">
        <v>12</v>
      </c>
      <c r="C819" s="31"/>
      <c r="D819" s="31"/>
      <c r="E819" s="31"/>
      <c r="F819" s="31"/>
      <c r="G819" s="31"/>
    </row>
    <row r="820" spans="1:7" x14ac:dyDescent="0.3">
      <c r="A820" s="131" t="s">
        <v>1979</v>
      </c>
      <c r="B820" s="130" t="s">
        <v>1163</v>
      </c>
      <c r="C820" s="31"/>
      <c r="D820" s="31"/>
      <c r="E820" s="31"/>
      <c r="F820" s="31"/>
      <c r="G820" s="31"/>
    </row>
    <row r="821" spans="1:7" x14ac:dyDescent="0.3">
      <c r="A821" s="131" t="s">
        <v>1980</v>
      </c>
      <c r="B821" s="130">
        <v>10</v>
      </c>
      <c r="C821" s="31"/>
      <c r="D821" s="31"/>
      <c r="E821" s="31"/>
      <c r="F821" s="31"/>
      <c r="G821" s="31"/>
    </row>
    <row r="822" spans="1:7" x14ac:dyDescent="0.3">
      <c r="A822" s="131" t="s">
        <v>1981</v>
      </c>
      <c r="B822" s="130">
        <v>294</v>
      </c>
      <c r="C822" s="31"/>
      <c r="D822" s="31"/>
      <c r="E822" s="31"/>
      <c r="F822" s="31"/>
      <c r="G822" s="31"/>
    </row>
    <row r="823" spans="1:7" x14ac:dyDescent="0.3">
      <c r="A823" s="131" t="s">
        <v>1982</v>
      </c>
      <c r="B823" s="130">
        <v>12</v>
      </c>
      <c r="C823" s="31"/>
      <c r="D823" s="31"/>
      <c r="E823" s="31"/>
      <c r="F823" s="31"/>
      <c r="G823" s="31"/>
    </row>
    <row r="824" spans="1:7" x14ac:dyDescent="0.3">
      <c r="A824" s="131" t="s">
        <v>1983</v>
      </c>
      <c r="B824" s="130">
        <v>34</v>
      </c>
      <c r="C824" s="31"/>
      <c r="D824" s="31"/>
      <c r="E824" s="31"/>
      <c r="F824" s="31"/>
      <c r="G824" s="31"/>
    </row>
    <row r="825" spans="1:7" x14ac:dyDescent="0.3">
      <c r="A825" s="131" t="s">
        <v>1984</v>
      </c>
      <c r="B825" s="130">
        <v>36</v>
      </c>
      <c r="C825" s="31"/>
      <c r="D825" s="31"/>
      <c r="E825" s="31"/>
      <c r="F825" s="31"/>
      <c r="G825" s="31"/>
    </row>
    <row r="826" spans="1:7" x14ac:dyDescent="0.3">
      <c r="A826" s="131" t="s">
        <v>1985</v>
      </c>
      <c r="B826" s="130">
        <v>0</v>
      </c>
      <c r="C826" s="31"/>
      <c r="D826" s="31"/>
      <c r="E826" s="31"/>
      <c r="F826" s="31"/>
      <c r="G826" s="31"/>
    </row>
    <row r="827" spans="1:7" x14ac:dyDescent="0.3">
      <c r="A827" s="131" t="s">
        <v>1986</v>
      </c>
      <c r="B827" s="130">
        <v>11</v>
      </c>
      <c r="C827" s="31"/>
      <c r="D827" s="31"/>
      <c r="E827" s="31"/>
      <c r="F827" s="31"/>
      <c r="G827" s="31"/>
    </row>
    <row r="828" spans="1:7" x14ac:dyDescent="0.3">
      <c r="A828" s="131" t="s">
        <v>1987</v>
      </c>
      <c r="B828" s="130">
        <v>21</v>
      </c>
      <c r="C828" s="31"/>
      <c r="D828" s="31"/>
      <c r="E828" s="31"/>
      <c r="F828" s="31"/>
      <c r="G828" s="31"/>
    </row>
    <row r="829" spans="1:7" x14ac:dyDescent="0.3">
      <c r="A829" s="131" t="s">
        <v>1988</v>
      </c>
      <c r="B829" s="130">
        <v>0</v>
      </c>
      <c r="C829" s="31"/>
      <c r="D829" s="31"/>
      <c r="E829" s="31"/>
      <c r="F829" s="31"/>
      <c r="G829" s="31"/>
    </row>
    <row r="830" spans="1:7" x14ac:dyDescent="0.3">
      <c r="A830" s="131" t="s">
        <v>1989</v>
      </c>
      <c r="B830" s="130">
        <v>0</v>
      </c>
      <c r="C830" s="31"/>
      <c r="D830" s="31"/>
      <c r="E830" s="31"/>
      <c r="F830" s="31"/>
      <c r="G830" s="31"/>
    </row>
    <row r="831" spans="1:7" x14ac:dyDescent="0.3">
      <c r="A831" s="131" t="s">
        <v>1990</v>
      </c>
      <c r="B831" s="130">
        <v>0</v>
      </c>
      <c r="C831" s="31"/>
      <c r="D831" s="31"/>
      <c r="E831" s="31"/>
      <c r="F831" s="31"/>
      <c r="G831" s="31"/>
    </row>
    <row r="832" spans="1:7" x14ac:dyDescent="0.3">
      <c r="A832" s="131" t="s">
        <v>1991</v>
      </c>
      <c r="B832" s="130">
        <v>0</v>
      </c>
      <c r="C832" s="31"/>
      <c r="D832" s="31"/>
      <c r="E832" s="31"/>
      <c r="F832" s="31"/>
      <c r="G832" s="31"/>
    </row>
    <row r="833" spans="1:7" x14ac:dyDescent="0.3">
      <c r="A833" s="131" t="s">
        <v>1992</v>
      </c>
      <c r="B833" s="130">
        <v>0</v>
      </c>
      <c r="C833" s="31"/>
      <c r="D833" s="31"/>
      <c r="E833" s="31"/>
      <c r="F833" s="31"/>
      <c r="G833" s="31"/>
    </row>
    <row r="834" spans="1:7" x14ac:dyDescent="0.3">
      <c r="A834" s="131" t="s">
        <v>1993</v>
      </c>
      <c r="B834" s="130">
        <v>0</v>
      </c>
      <c r="C834" s="31"/>
      <c r="D834" s="31"/>
      <c r="E834" s="31"/>
      <c r="F834" s="31"/>
      <c r="G834" s="31"/>
    </row>
    <row r="835" spans="1:7" x14ac:dyDescent="0.3">
      <c r="A835" s="131" t="s">
        <v>1994</v>
      </c>
      <c r="B835" s="130" t="s">
        <v>1163</v>
      </c>
      <c r="C835" s="31"/>
      <c r="D835" s="31"/>
      <c r="E835" s="31"/>
      <c r="F835" s="31"/>
      <c r="G835" s="31"/>
    </row>
    <row r="836" spans="1:7" x14ac:dyDescent="0.3">
      <c r="A836" s="131" t="s">
        <v>1995</v>
      </c>
      <c r="B836" s="130">
        <v>0</v>
      </c>
      <c r="C836" s="31"/>
      <c r="D836" s="31"/>
      <c r="E836" s="31"/>
      <c r="F836" s="31"/>
      <c r="G836" s="31"/>
    </row>
    <row r="837" spans="1:7" x14ac:dyDescent="0.3">
      <c r="A837" s="131" t="s">
        <v>1996</v>
      </c>
      <c r="B837" s="130">
        <v>0</v>
      </c>
      <c r="C837" s="31"/>
      <c r="D837" s="31"/>
      <c r="E837" s="31"/>
      <c r="F837" s="31"/>
      <c r="G837" s="31"/>
    </row>
    <row r="838" spans="1:7" x14ac:dyDescent="0.3">
      <c r="A838" s="131" t="s">
        <v>1997</v>
      </c>
      <c r="B838" s="130">
        <v>0</v>
      </c>
      <c r="C838" s="31"/>
      <c r="D838" s="31"/>
      <c r="E838" s="31"/>
      <c r="F838" s="31"/>
      <c r="G838" s="31"/>
    </row>
    <row r="839" spans="1:7" x14ac:dyDescent="0.3">
      <c r="A839" s="131" t="s">
        <v>1998</v>
      </c>
      <c r="B839" s="130">
        <v>0</v>
      </c>
      <c r="C839" s="31"/>
      <c r="D839" s="31"/>
      <c r="E839" s="31"/>
      <c r="F839" s="31"/>
      <c r="G839" s="31"/>
    </row>
    <row r="840" spans="1:7" x14ac:dyDescent="0.3">
      <c r="A840" s="131" t="s">
        <v>1999</v>
      </c>
      <c r="B840" s="130">
        <v>0</v>
      </c>
      <c r="C840" s="31"/>
      <c r="D840" s="31"/>
      <c r="E840" s="31"/>
      <c r="F840" s="31"/>
      <c r="G840" s="31"/>
    </row>
    <row r="841" spans="1:7" x14ac:dyDescent="0.3">
      <c r="A841" s="131" t="s">
        <v>2000</v>
      </c>
      <c r="B841" s="130">
        <v>0</v>
      </c>
      <c r="C841" s="31"/>
      <c r="D841" s="31"/>
      <c r="E841" s="31"/>
      <c r="F841" s="31"/>
      <c r="G841" s="31"/>
    </row>
    <row r="842" spans="1:7" x14ac:dyDescent="0.3">
      <c r="A842" s="131" t="s">
        <v>2001</v>
      </c>
      <c r="B842" s="130">
        <v>0</v>
      </c>
      <c r="C842" s="31"/>
      <c r="D842" s="31"/>
      <c r="E842" s="31"/>
      <c r="F842" s="31"/>
      <c r="G842" s="31"/>
    </row>
    <row r="843" spans="1:7" x14ac:dyDescent="0.3">
      <c r="A843" s="131" t="s">
        <v>2002</v>
      </c>
      <c r="B843" s="130">
        <v>0</v>
      </c>
      <c r="C843" s="31"/>
      <c r="D843" s="31"/>
      <c r="E843" s="31"/>
      <c r="F843" s="31"/>
      <c r="G843" s="31"/>
    </row>
    <row r="844" spans="1:7" x14ac:dyDescent="0.3">
      <c r="A844" s="131" t="s">
        <v>2003</v>
      </c>
      <c r="B844" s="130">
        <v>0</v>
      </c>
      <c r="C844" s="31"/>
      <c r="D844" s="31"/>
      <c r="E844" s="31"/>
      <c r="F844" s="31"/>
      <c r="G844" s="31"/>
    </row>
    <row r="845" spans="1:7" x14ac:dyDescent="0.3">
      <c r="A845" s="131" t="s">
        <v>2004</v>
      </c>
      <c r="B845" s="130">
        <v>0</v>
      </c>
      <c r="C845" s="31"/>
      <c r="D845" s="31"/>
      <c r="E845" s="31"/>
      <c r="F845" s="31"/>
      <c r="G845" s="31"/>
    </row>
    <row r="846" spans="1:7" x14ac:dyDescent="0.3">
      <c r="A846" s="131" t="s">
        <v>2005</v>
      </c>
      <c r="B846" s="130">
        <v>0</v>
      </c>
      <c r="C846" s="31"/>
      <c r="D846" s="31"/>
      <c r="E846" s="31"/>
      <c r="F846" s="31"/>
      <c r="G846" s="31"/>
    </row>
    <row r="847" spans="1:7" x14ac:dyDescent="0.3">
      <c r="A847" s="131" t="s">
        <v>2006</v>
      </c>
      <c r="B847" s="130">
        <v>0</v>
      </c>
      <c r="C847" s="31"/>
      <c r="D847" s="31"/>
      <c r="E847" s="31"/>
      <c r="F847" s="31"/>
      <c r="G847" s="31"/>
    </row>
    <row r="848" spans="1:7" x14ac:dyDescent="0.3">
      <c r="A848" s="131" t="s">
        <v>2007</v>
      </c>
      <c r="B848" s="130">
        <v>0</v>
      </c>
      <c r="C848" s="31"/>
      <c r="D848" s="31"/>
      <c r="E848" s="31"/>
      <c r="F848" s="31"/>
      <c r="G848" s="31"/>
    </row>
    <row r="849" spans="1:7" x14ac:dyDescent="0.3">
      <c r="A849" s="131" t="s">
        <v>2008</v>
      </c>
      <c r="B849" s="130">
        <v>0</v>
      </c>
      <c r="C849" s="31"/>
      <c r="D849" s="31"/>
      <c r="E849" s="31"/>
      <c r="F849" s="31"/>
      <c r="G849" s="31"/>
    </row>
    <row r="850" spans="1:7" x14ac:dyDescent="0.3">
      <c r="A850" s="131" t="s">
        <v>2009</v>
      </c>
      <c r="B850" s="130">
        <v>0</v>
      </c>
      <c r="C850" s="31"/>
      <c r="D850" s="31"/>
      <c r="E850" s="31"/>
      <c r="F850" s="31"/>
      <c r="G850" s="31"/>
    </row>
    <row r="851" spans="1:7" x14ac:dyDescent="0.3">
      <c r="A851" s="131" t="s">
        <v>2010</v>
      </c>
      <c r="B851" s="130">
        <v>0</v>
      </c>
      <c r="C851" s="31"/>
      <c r="D851" s="31"/>
      <c r="E851" s="31"/>
      <c r="F851" s="31"/>
      <c r="G851" s="31"/>
    </row>
    <row r="852" spans="1:7" x14ac:dyDescent="0.3">
      <c r="A852" s="131" t="s">
        <v>2011</v>
      </c>
      <c r="B852" s="130">
        <v>0</v>
      </c>
      <c r="C852" s="31"/>
      <c r="D852" s="31"/>
      <c r="E852" s="31"/>
      <c r="F852" s="31"/>
      <c r="G852" s="31"/>
    </row>
    <row r="853" spans="1:7" x14ac:dyDescent="0.3">
      <c r="A853" s="131" t="s">
        <v>2012</v>
      </c>
      <c r="B853" s="130">
        <v>0</v>
      </c>
      <c r="C853" s="31"/>
      <c r="D853" s="31"/>
      <c r="E853" s="31"/>
      <c r="F853" s="31"/>
      <c r="G853" s="31"/>
    </row>
    <row r="854" spans="1:7" x14ac:dyDescent="0.3">
      <c r="A854" s="131" t="s">
        <v>2013</v>
      </c>
      <c r="B854" s="130">
        <v>0</v>
      </c>
      <c r="C854" s="31"/>
      <c r="D854" s="31"/>
      <c r="E854" s="31"/>
      <c r="F854" s="31"/>
      <c r="G854" s="31"/>
    </row>
    <row r="855" spans="1:7" x14ac:dyDescent="0.3">
      <c r="A855" s="131" t="s">
        <v>2014</v>
      </c>
      <c r="B855" s="130">
        <v>0</v>
      </c>
      <c r="C855" s="31"/>
      <c r="D855" s="31"/>
      <c r="E855" s="31"/>
      <c r="F855" s="31"/>
      <c r="G855" s="31"/>
    </row>
    <row r="856" spans="1:7" x14ac:dyDescent="0.3">
      <c r="A856" s="131" t="s">
        <v>2015</v>
      </c>
      <c r="B856" s="130">
        <v>0</v>
      </c>
      <c r="C856" s="31"/>
      <c r="D856" s="31"/>
      <c r="E856" s="31"/>
      <c r="F856" s="31"/>
      <c r="G856" s="31"/>
    </row>
    <row r="857" spans="1:7" x14ac:dyDescent="0.3">
      <c r="A857" s="131" t="s">
        <v>2016</v>
      </c>
      <c r="B857" s="130">
        <v>0</v>
      </c>
      <c r="C857" s="31"/>
      <c r="D857" s="31"/>
      <c r="E857" s="31"/>
      <c r="F857" s="31"/>
      <c r="G857" s="31"/>
    </row>
    <row r="858" spans="1:7" x14ac:dyDescent="0.3">
      <c r="A858" s="131" t="s">
        <v>2017</v>
      </c>
      <c r="B858" s="130">
        <v>0</v>
      </c>
      <c r="C858" s="31"/>
      <c r="D858" s="31"/>
      <c r="E858" s="31"/>
      <c r="F858" s="31"/>
      <c r="G858" s="31"/>
    </row>
    <row r="859" spans="1:7" x14ac:dyDescent="0.3">
      <c r="A859" s="131" t="s">
        <v>2018</v>
      </c>
      <c r="B859" s="130">
        <v>0</v>
      </c>
      <c r="C859" s="31"/>
      <c r="D859" s="31"/>
      <c r="E859" s="31"/>
      <c r="F859" s="31"/>
      <c r="G859" s="31"/>
    </row>
    <row r="860" spans="1:7" x14ac:dyDescent="0.3">
      <c r="A860" s="131" t="s">
        <v>2019</v>
      </c>
      <c r="B860" s="130" t="s">
        <v>1163</v>
      </c>
      <c r="C860" s="31"/>
      <c r="D860" s="31"/>
      <c r="E860" s="31"/>
      <c r="F860" s="31"/>
      <c r="G860" s="31"/>
    </row>
    <row r="861" spans="1:7" x14ac:dyDescent="0.3">
      <c r="A861" s="131" t="s">
        <v>2020</v>
      </c>
      <c r="B861" s="130">
        <v>306</v>
      </c>
      <c r="C861" s="31"/>
      <c r="D861" s="31"/>
      <c r="E861" s="31"/>
      <c r="F861" s="31"/>
      <c r="G861" s="31"/>
    </row>
    <row r="862" spans="1:7" x14ac:dyDescent="0.3">
      <c r="A862" s="131" t="s">
        <v>2021</v>
      </c>
      <c r="B862" s="130">
        <v>30</v>
      </c>
      <c r="C862" s="31"/>
      <c r="D862" s="31"/>
      <c r="E862" s="31"/>
      <c r="F862" s="31"/>
      <c r="G862" s="31"/>
    </row>
    <row r="863" spans="1:7" x14ac:dyDescent="0.3">
      <c r="A863" s="131" t="s">
        <v>2022</v>
      </c>
      <c r="B863" s="130">
        <v>321</v>
      </c>
      <c r="C863" s="31"/>
      <c r="D863" s="31"/>
      <c r="E863" s="31"/>
      <c r="F863" s="31"/>
      <c r="G863" s="31"/>
    </row>
    <row r="864" spans="1:7" x14ac:dyDescent="0.3">
      <c r="A864" s="131" t="s">
        <v>2023</v>
      </c>
      <c r="B864" s="130">
        <v>116</v>
      </c>
      <c r="C864" s="31"/>
      <c r="D864" s="31"/>
      <c r="E864" s="31"/>
      <c r="F864" s="31"/>
      <c r="G864" s="31"/>
    </row>
    <row r="865" spans="1:7" x14ac:dyDescent="0.3">
      <c r="A865" s="131" t="s">
        <v>2024</v>
      </c>
      <c r="B865" s="130">
        <v>314</v>
      </c>
      <c r="C865" s="31"/>
      <c r="D865" s="31"/>
      <c r="E865" s="31"/>
      <c r="F865" s="31"/>
      <c r="G865" s="31"/>
    </row>
    <row r="866" spans="1:7" x14ac:dyDescent="0.3">
      <c r="A866" s="131" t="s">
        <v>2025</v>
      </c>
      <c r="B866" s="130">
        <v>82</v>
      </c>
      <c r="C866" s="31"/>
      <c r="D866" s="31"/>
      <c r="E866" s="31"/>
      <c r="F866" s="31"/>
      <c r="G866" s="31"/>
    </row>
    <row r="867" spans="1:7" x14ac:dyDescent="0.3">
      <c r="A867" s="131" t="s">
        <v>2026</v>
      </c>
      <c r="B867" s="130">
        <v>129</v>
      </c>
      <c r="C867" s="31"/>
      <c r="D867" s="31"/>
      <c r="E867" s="31"/>
      <c r="F867" s="31"/>
      <c r="G867" s="31"/>
    </row>
    <row r="868" spans="1:7" x14ac:dyDescent="0.3">
      <c r="A868" s="131" t="s">
        <v>2027</v>
      </c>
      <c r="B868" s="130">
        <v>91</v>
      </c>
      <c r="C868" s="31"/>
      <c r="D868" s="31"/>
      <c r="E868" s="31"/>
      <c r="F868" s="31"/>
      <c r="G868" s="31"/>
    </row>
    <row r="869" spans="1:7" x14ac:dyDescent="0.3">
      <c r="A869" s="131" t="s">
        <v>2028</v>
      </c>
      <c r="B869" s="130">
        <v>36</v>
      </c>
      <c r="C869" s="31"/>
      <c r="D869" s="31"/>
      <c r="E869" s="31"/>
      <c r="F869" s="31"/>
      <c r="G869" s="31"/>
    </row>
    <row r="870" spans="1:7" x14ac:dyDescent="0.3">
      <c r="A870" s="131" t="s">
        <v>2029</v>
      </c>
      <c r="B870" s="130">
        <v>112</v>
      </c>
      <c r="C870" s="31"/>
      <c r="D870" s="31"/>
      <c r="E870" s="31"/>
      <c r="F870" s="31"/>
      <c r="G870" s="31"/>
    </row>
    <row r="871" spans="1:7" x14ac:dyDescent="0.3">
      <c r="A871" s="131" t="s">
        <v>2030</v>
      </c>
      <c r="B871" s="130" t="s">
        <v>1163</v>
      </c>
      <c r="C871" s="31"/>
      <c r="D871" s="31"/>
      <c r="E871" s="31"/>
      <c r="F871" s="31"/>
      <c r="G871" s="31"/>
    </row>
    <row r="872" spans="1:7" x14ac:dyDescent="0.3">
      <c r="A872" s="131" t="s">
        <v>2031</v>
      </c>
      <c r="B872" s="130">
        <v>40</v>
      </c>
      <c r="C872" s="31"/>
      <c r="D872" s="31"/>
      <c r="E872" s="31"/>
      <c r="F872" s="31"/>
      <c r="G872" s="31"/>
    </row>
    <row r="873" spans="1:7" x14ac:dyDescent="0.3">
      <c r="A873" s="131" t="s">
        <v>2032</v>
      </c>
      <c r="B873" s="130">
        <v>88</v>
      </c>
      <c r="C873" s="31"/>
      <c r="D873" s="31"/>
      <c r="E873" s="31"/>
      <c r="F873" s="31"/>
      <c r="G873" s="31"/>
    </row>
    <row r="874" spans="1:7" x14ac:dyDescent="0.3">
      <c r="A874" s="131" t="s">
        <v>2033</v>
      </c>
      <c r="B874" s="130">
        <v>182</v>
      </c>
      <c r="C874" s="31"/>
      <c r="D874" s="31"/>
      <c r="E874" s="31"/>
      <c r="F874" s="31"/>
      <c r="G874" s="31"/>
    </row>
    <row r="875" spans="1:7" x14ac:dyDescent="0.3">
      <c r="A875" s="131" t="s">
        <v>2034</v>
      </c>
      <c r="B875" s="130">
        <v>63</v>
      </c>
      <c r="C875" s="31"/>
      <c r="D875" s="31"/>
      <c r="E875" s="31"/>
      <c r="F875" s="31"/>
      <c r="G875" s="31"/>
    </row>
    <row r="876" spans="1:7" x14ac:dyDescent="0.3">
      <c r="A876" s="131" t="s">
        <v>2035</v>
      </c>
      <c r="B876" s="130">
        <v>27</v>
      </c>
      <c r="C876" s="31"/>
      <c r="D876" s="31"/>
      <c r="E876" s="31"/>
      <c r="F876" s="31"/>
      <c r="G876" s="31"/>
    </row>
    <row r="877" spans="1:7" x14ac:dyDescent="0.3">
      <c r="A877" s="131" t="s">
        <v>2036</v>
      </c>
      <c r="B877" s="130">
        <v>34</v>
      </c>
      <c r="C877" s="31"/>
      <c r="D877" s="31"/>
      <c r="E877" s="31"/>
      <c r="F877" s="31"/>
      <c r="G877" s="31"/>
    </row>
    <row r="878" spans="1:7" x14ac:dyDescent="0.3">
      <c r="A878" s="131" t="s">
        <v>2037</v>
      </c>
      <c r="B878" s="130">
        <v>120</v>
      </c>
      <c r="C878" s="31"/>
      <c r="D878" s="31"/>
      <c r="E878" s="31"/>
      <c r="F878" s="31"/>
      <c r="G878" s="31"/>
    </row>
    <row r="879" spans="1:7" x14ac:dyDescent="0.3">
      <c r="A879" s="131" t="s">
        <v>2038</v>
      </c>
      <c r="B879" s="130">
        <v>19</v>
      </c>
      <c r="C879" s="31"/>
      <c r="D879" s="31"/>
      <c r="E879" s="31"/>
      <c r="F879" s="31"/>
      <c r="G879" s="31"/>
    </row>
    <row r="880" spans="1:7" x14ac:dyDescent="0.3">
      <c r="A880" s="131" t="s">
        <v>2039</v>
      </c>
      <c r="B880" s="130">
        <v>55</v>
      </c>
      <c r="C880" s="31"/>
      <c r="D880" s="31"/>
      <c r="E880" s="31"/>
      <c r="F880" s="31"/>
      <c r="G880" s="31"/>
    </row>
    <row r="881" spans="1:7" x14ac:dyDescent="0.3">
      <c r="A881" s="131" t="s">
        <v>2040</v>
      </c>
      <c r="B881" s="130">
        <v>58</v>
      </c>
      <c r="C881" s="31"/>
      <c r="D881" s="31"/>
      <c r="E881" s="31"/>
      <c r="F881" s="31"/>
      <c r="G881" s="31"/>
    </row>
    <row r="882" spans="1:7" x14ac:dyDescent="0.3">
      <c r="A882" s="131" t="s">
        <v>2041</v>
      </c>
      <c r="B882" s="130">
        <v>45</v>
      </c>
      <c r="C882" s="31"/>
      <c r="D882" s="31"/>
      <c r="E882" s="31"/>
      <c r="F882" s="31"/>
      <c r="G882" s="31"/>
    </row>
    <row r="883" spans="1:7" x14ac:dyDescent="0.3">
      <c r="A883" s="131" t="s">
        <v>2042</v>
      </c>
      <c r="B883" s="130">
        <v>95</v>
      </c>
      <c r="C883" s="31"/>
      <c r="D883" s="31"/>
      <c r="E883" s="31"/>
      <c r="F883" s="31"/>
      <c r="G883" s="31"/>
    </row>
    <row r="884" spans="1:7" x14ac:dyDescent="0.3">
      <c r="A884" s="131" t="s">
        <v>2043</v>
      </c>
      <c r="B884" s="130">
        <v>50</v>
      </c>
      <c r="C884" s="31"/>
      <c r="D884" s="31"/>
      <c r="E884" s="31"/>
      <c r="F884" s="31"/>
      <c r="G884" s="31"/>
    </row>
    <row r="885" spans="1:7" x14ac:dyDescent="0.3">
      <c r="A885" s="131" t="s">
        <v>2044</v>
      </c>
      <c r="B885" s="130">
        <v>121</v>
      </c>
      <c r="C885" s="31"/>
      <c r="D885" s="31"/>
      <c r="E885" s="31"/>
      <c r="F885" s="31"/>
      <c r="G885" s="31"/>
    </row>
    <row r="886" spans="1:7" x14ac:dyDescent="0.3">
      <c r="A886" s="131" t="s">
        <v>2045</v>
      </c>
      <c r="B886" s="130">
        <v>78</v>
      </c>
      <c r="C886" s="31"/>
      <c r="D886" s="31"/>
      <c r="E886" s="31"/>
      <c r="F886" s="31"/>
      <c r="G886" s="31"/>
    </row>
    <row r="887" spans="1:7" x14ac:dyDescent="0.3">
      <c r="A887" s="131" t="s">
        <v>2046</v>
      </c>
      <c r="B887" s="130">
        <v>44</v>
      </c>
      <c r="C887" s="31"/>
      <c r="D887" s="31"/>
      <c r="E887" s="31"/>
      <c r="F887" s="31"/>
      <c r="G887" s="31"/>
    </row>
    <row r="888" spans="1:7" x14ac:dyDescent="0.3">
      <c r="A888" s="131" t="s">
        <v>2047</v>
      </c>
      <c r="B888" s="130">
        <v>14</v>
      </c>
      <c r="C888" s="31"/>
      <c r="D888" s="31"/>
      <c r="E888" s="31"/>
      <c r="F888" s="31"/>
      <c r="G888" s="31"/>
    </row>
    <row r="889" spans="1:7" x14ac:dyDescent="0.3">
      <c r="A889" s="131" t="s">
        <v>2048</v>
      </c>
      <c r="B889" s="130" t="s">
        <v>1163</v>
      </c>
      <c r="C889" s="31"/>
      <c r="D889" s="31"/>
      <c r="E889" s="31"/>
      <c r="F889" s="31"/>
      <c r="G889" s="31"/>
    </row>
    <row r="890" spans="1:7" x14ac:dyDescent="0.3">
      <c r="A890" s="131" t="s">
        <v>2049</v>
      </c>
      <c r="B890" s="130">
        <v>12</v>
      </c>
      <c r="C890" s="31"/>
      <c r="D890" s="31"/>
      <c r="E890" s="31"/>
      <c r="F890" s="31"/>
      <c r="G890" s="31"/>
    </row>
    <row r="891" spans="1:7" x14ac:dyDescent="0.3">
      <c r="A891" s="131" t="s">
        <v>2050</v>
      </c>
      <c r="B891" s="130" t="s">
        <v>1163</v>
      </c>
      <c r="C891" s="31"/>
      <c r="D891" s="31"/>
      <c r="E891" s="31"/>
      <c r="F891" s="31"/>
      <c r="G891" s="31"/>
    </row>
    <row r="892" spans="1:7" x14ac:dyDescent="0.3">
      <c r="A892" s="131" t="s">
        <v>2051</v>
      </c>
      <c r="B892" s="130">
        <v>155</v>
      </c>
      <c r="C892" s="31"/>
      <c r="D892" s="31"/>
      <c r="E892" s="31"/>
      <c r="F892" s="31"/>
      <c r="G892" s="31"/>
    </row>
    <row r="893" spans="1:7" x14ac:dyDescent="0.3">
      <c r="A893" s="131" t="s">
        <v>2052</v>
      </c>
      <c r="B893" s="130">
        <v>413</v>
      </c>
      <c r="C893" s="31"/>
      <c r="D893" s="31"/>
      <c r="E893" s="31"/>
      <c r="F893" s="31"/>
      <c r="G893" s="31"/>
    </row>
    <row r="894" spans="1:7" x14ac:dyDescent="0.3">
      <c r="A894" s="131" t="s">
        <v>2053</v>
      </c>
      <c r="B894" s="130">
        <v>32</v>
      </c>
      <c r="C894" s="31"/>
      <c r="D894" s="31"/>
      <c r="E894" s="31"/>
      <c r="F894" s="31"/>
      <c r="G894" s="31"/>
    </row>
    <row r="895" spans="1:7" x14ac:dyDescent="0.3">
      <c r="A895" s="131" t="s">
        <v>2054</v>
      </c>
      <c r="B895" s="130">
        <v>126</v>
      </c>
      <c r="C895" s="31"/>
      <c r="D895" s="31"/>
      <c r="E895" s="31"/>
      <c r="F895" s="31"/>
      <c r="G895" s="31"/>
    </row>
    <row r="896" spans="1:7" x14ac:dyDescent="0.3">
      <c r="A896" s="131" t="s">
        <v>2055</v>
      </c>
      <c r="B896" s="130">
        <v>121</v>
      </c>
      <c r="C896" s="31"/>
      <c r="D896" s="31"/>
      <c r="E896" s="31"/>
      <c r="F896" s="31"/>
      <c r="G896" s="31"/>
    </row>
    <row r="897" spans="1:7" x14ac:dyDescent="0.3">
      <c r="A897" s="131" t="s">
        <v>2056</v>
      </c>
      <c r="B897" s="130" t="s">
        <v>1163</v>
      </c>
      <c r="C897" s="31"/>
      <c r="D897" s="31"/>
      <c r="E897" s="31"/>
      <c r="F897" s="31"/>
      <c r="G897" s="31"/>
    </row>
    <row r="898" spans="1:7" x14ac:dyDescent="0.3">
      <c r="A898" s="131" t="s">
        <v>2057</v>
      </c>
      <c r="B898" s="130">
        <v>22</v>
      </c>
      <c r="C898" s="31"/>
      <c r="D898" s="31"/>
      <c r="E898" s="31"/>
      <c r="F898" s="31"/>
      <c r="G898" s="31"/>
    </row>
    <row r="899" spans="1:7" x14ac:dyDescent="0.3">
      <c r="A899" s="131" t="s">
        <v>2058</v>
      </c>
      <c r="B899" s="130">
        <v>93</v>
      </c>
      <c r="C899" s="31"/>
      <c r="D899" s="31"/>
      <c r="E899" s="31"/>
      <c r="F899" s="31"/>
      <c r="G899" s="31"/>
    </row>
    <row r="900" spans="1:7" x14ac:dyDescent="0.3">
      <c r="A900" s="131" t="s">
        <v>2059</v>
      </c>
      <c r="B900" s="130">
        <v>69</v>
      </c>
      <c r="C900" s="31"/>
      <c r="D900" s="31"/>
      <c r="E900" s="31"/>
      <c r="F900" s="31"/>
      <c r="G900" s="31"/>
    </row>
    <row r="901" spans="1:7" x14ac:dyDescent="0.3">
      <c r="A901" s="131" t="s">
        <v>2060</v>
      </c>
      <c r="B901" s="130">
        <v>111</v>
      </c>
      <c r="C901" s="31"/>
      <c r="D901" s="31"/>
      <c r="E901" s="31"/>
      <c r="F901" s="31"/>
      <c r="G901" s="31"/>
    </row>
    <row r="902" spans="1:7" x14ac:dyDescent="0.3">
      <c r="A902" s="131" t="s">
        <v>2061</v>
      </c>
      <c r="B902" s="130">
        <v>264</v>
      </c>
      <c r="C902" s="31"/>
      <c r="D902" s="31"/>
      <c r="E902" s="31"/>
      <c r="F902" s="31"/>
      <c r="G902" s="31"/>
    </row>
    <row r="903" spans="1:7" x14ac:dyDescent="0.3">
      <c r="A903" s="131" t="s">
        <v>2062</v>
      </c>
      <c r="B903" s="130">
        <v>183</v>
      </c>
      <c r="C903" s="31"/>
      <c r="D903" s="31"/>
      <c r="E903" s="31"/>
      <c r="F903" s="31"/>
      <c r="G903" s="31"/>
    </row>
    <row r="904" spans="1:7" x14ac:dyDescent="0.3">
      <c r="A904" s="131" t="s">
        <v>2063</v>
      </c>
      <c r="B904" s="130">
        <v>63</v>
      </c>
      <c r="C904" s="31"/>
      <c r="D904" s="31"/>
      <c r="E904" s="31"/>
      <c r="F904" s="31"/>
      <c r="G904" s="31"/>
    </row>
    <row r="905" spans="1:7" x14ac:dyDescent="0.3">
      <c r="A905" s="131" t="s">
        <v>2064</v>
      </c>
      <c r="B905" s="130">
        <v>67</v>
      </c>
      <c r="C905" s="31"/>
      <c r="D905" s="31"/>
      <c r="E905" s="31"/>
      <c r="F905" s="31"/>
      <c r="G905" s="31"/>
    </row>
    <row r="906" spans="1:7" x14ac:dyDescent="0.3">
      <c r="A906" s="131" t="s">
        <v>2065</v>
      </c>
      <c r="B906" s="130">
        <v>132</v>
      </c>
      <c r="C906" s="31"/>
      <c r="D906" s="31"/>
      <c r="E906" s="31"/>
      <c r="F906" s="31"/>
      <c r="G906" s="31"/>
    </row>
    <row r="907" spans="1:7" x14ac:dyDescent="0.3">
      <c r="A907" s="131" t="s">
        <v>2066</v>
      </c>
      <c r="B907" s="130">
        <v>97</v>
      </c>
      <c r="C907" s="31"/>
      <c r="D907" s="31"/>
      <c r="E907" s="31"/>
      <c r="F907" s="31"/>
      <c r="G907" s="31"/>
    </row>
    <row r="908" spans="1:7" x14ac:dyDescent="0.3">
      <c r="A908" s="131" t="s">
        <v>2067</v>
      </c>
      <c r="B908" s="130">
        <v>299</v>
      </c>
      <c r="C908" s="31"/>
      <c r="D908" s="31"/>
      <c r="E908" s="31"/>
      <c r="F908" s="31"/>
      <c r="G908" s="31"/>
    </row>
    <row r="909" spans="1:7" x14ac:dyDescent="0.3">
      <c r="A909" s="131" t="s">
        <v>2068</v>
      </c>
      <c r="B909" s="130">
        <v>41</v>
      </c>
      <c r="C909" s="31"/>
      <c r="D909" s="31"/>
      <c r="E909" s="31"/>
      <c r="F909" s="31"/>
      <c r="G909" s="31"/>
    </row>
    <row r="910" spans="1:7" x14ac:dyDescent="0.3">
      <c r="A910" s="131" t="s">
        <v>2069</v>
      </c>
      <c r="B910" s="130">
        <v>37</v>
      </c>
      <c r="C910" s="31"/>
      <c r="D910" s="31"/>
      <c r="E910" s="31"/>
      <c r="F910" s="31"/>
      <c r="G910" s="31"/>
    </row>
    <row r="911" spans="1:7" x14ac:dyDescent="0.3">
      <c r="A911" s="131" t="s">
        <v>2070</v>
      </c>
      <c r="B911" s="130">
        <v>39</v>
      </c>
      <c r="C911" s="31"/>
      <c r="D911" s="31"/>
      <c r="E911" s="31"/>
      <c r="F911" s="31"/>
      <c r="G911" s="31"/>
    </row>
    <row r="912" spans="1:7" x14ac:dyDescent="0.3">
      <c r="A912" s="131" t="s">
        <v>2071</v>
      </c>
      <c r="B912" s="130">
        <v>0</v>
      </c>
      <c r="C912" s="31"/>
      <c r="D912" s="31"/>
      <c r="E912" s="31"/>
      <c r="F912" s="31"/>
      <c r="G912" s="31"/>
    </row>
    <row r="913" spans="1:7" x14ac:dyDescent="0.3">
      <c r="A913" s="131" t="s">
        <v>2072</v>
      </c>
      <c r="B913" s="130">
        <v>18</v>
      </c>
      <c r="C913" s="31"/>
      <c r="D913" s="31"/>
      <c r="E913" s="31"/>
      <c r="F913" s="31"/>
      <c r="G913" s="31"/>
    </row>
    <row r="914" spans="1:7" x14ac:dyDescent="0.3">
      <c r="A914" s="131" t="s">
        <v>2073</v>
      </c>
      <c r="B914" s="130">
        <v>96</v>
      </c>
      <c r="C914" s="31"/>
      <c r="D914" s="31"/>
      <c r="E914" s="31"/>
      <c r="F914" s="31"/>
      <c r="G914" s="31"/>
    </row>
    <row r="915" spans="1:7" x14ac:dyDescent="0.3">
      <c r="A915" s="131" t="s">
        <v>2074</v>
      </c>
      <c r="B915" s="130">
        <v>0</v>
      </c>
      <c r="C915" s="31"/>
      <c r="D915" s="31"/>
      <c r="E915" s="31"/>
      <c r="F915" s="31"/>
      <c r="G915" s="31"/>
    </row>
    <row r="916" spans="1:7" x14ac:dyDescent="0.3">
      <c r="A916" s="131" t="s">
        <v>2075</v>
      </c>
      <c r="B916" s="130">
        <v>0</v>
      </c>
      <c r="C916" s="31"/>
      <c r="D916" s="31"/>
      <c r="E916" s="31"/>
      <c r="F916" s="31"/>
      <c r="G916" s="31"/>
    </row>
    <row r="917" spans="1:7" x14ac:dyDescent="0.3">
      <c r="A917" s="131" t="s">
        <v>2076</v>
      </c>
      <c r="B917" s="130">
        <v>0</v>
      </c>
      <c r="C917" s="31"/>
      <c r="D917" s="31"/>
      <c r="E917" s="31"/>
      <c r="F917" s="31"/>
      <c r="G917" s="31"/>
    </row>
    <row r="918" spans="1:7" x14ac:dyDescent="0.3">
      <c r="A918" s="131" t="s">
        <v>2077</v>
      </c>
      <c r="B918" s="130">
        <v>160</v>
      </c>
      <c r="C918" s="31"/>
      <c r="D918" s="31"/>
      <c r="E918" s="31"/>
      <c r="F918" s="31"/>
      <c r="G918" s="31"/>
    </row>
    <row r="919" spans="1:7" x14ac:dyDescent="0.3">
      <c r="A919" s="131" t="s">
        <v>2078</v>
      </c>
      <c r="B919" s="130">
        <v>113</v>
      </c>
      <c r="C919" s="31"/>
      <c r="D919" s="31"/>
      <c r="E919" s="31"/>
      <c r="F919" s="31"/>
      <c r="G919" s="31"/>
    </row>
    <row r="920" spans="1:7" x14ac:dyDescent="0.3">
      <c r="A920" s="131" t="s">
        <v>2079</v>
      </c>
      <c r="B920" s="130">
        <v>65</v>
      </c>
      <c r="C920" s="31"/>
      <c r="D920" s="31"/>
      <c r="E920" s="31"/>
      <c r="F920" s="31"/>
      <c r="G920" s="31"/>
    </row>
    <row r="921" spans="1:7" x14ac:dyDescent="0.3">
      <c r="A921" s="131" t="s">
        <v>2080</v>
      </c>
      <c r="B921" s="130">
        <v>155</v>
      </c>
      <c r="C921" s="31"/>
      <c r="D921" s="31"/>
      <c r="E921" s="31"/>
      <c r="F921" s="31"/>
      <c r="G921" s="31"/>
    </row>
    <row r="922" spans="1:7" x14ac:dyDescent="0.3">
      <c r="A922" s="131" t="s">
        <v>2081</v>
      </c>
      <c r="B922" s="130">
        <v>70</v>
      </c>
      <c r="C922" s="31"/>
      <c r="D922" s="31"/>
      <c r="E922" s="31"/>
      <c r="F922" s="31"/>
      <c r="G922" s="31"/>
    </row>
    <row r="923" spans="1:7" x14ac:dyDescent="0.3">
      <c r="A923" s="131" t="s">
        <v>2082</v>
      </c>
      <c r="B923" s="130">
        <v>277</v>
      </c>
      <c r="C923" s="31"/>
      <c r="D923" s="31"/>
      <c r="E923" s="31"/>
      <c r="F923" s="31"/>
      <c r="G923" s="31"/>
    </row>
    <row r="924" spans="1:7" x14ac:dyDescent="0.3">
      <c r="A924" s="131" t="s">
        <v>2083</v>
      </c>
      <c r="B924" s="130">
        <v>337</v>
      </c>
      <c r="C924" s="31"/>
      <c r="D924" s="31"/>
      <c r="E924" s="31"/>
      <c r="F924" s="31"/>
      <c r="G924" s="31"/>
    </row>
    <row r="925" spans="1:7" x14ac:dyDescent="0.3">
      <c r="A925" s="131" t="s">
        <v>2084</v>
      </c>
      <c r="B925" s="130">
        <v>250</v>
      </c>
      <c r="C925" s="31"/>
      <c r="D925" s="31"/>
      <c r="E925" s="31"/>
      <c r="F925" s="31"/>
      <c r="G925" s="31"/>
    </row>
    <row r="926" spans="1:7" x14ac:dyDescent="0.3">
      <c r="A926" s="131" t="s">
        <v>2085</v>
      </c>
      <c r="B926" s="130">
        <v>165</v>
      </c>
      <c r="C926" s="31"/>
      <c r="D926" s="31"/>
      <c r="E926" s="31"/>
      <c r="F926" s="31"/>
      <c r="G926" s="31"/>
    </row>
    <row r="927" spans="1:7" x14ac:dyDescent="0.3">
      <c r="A927" s="131" t="s">
        <v>2086</v>
      </c>
      <c r="B927" s="130">
        <v>0</v>
      </c>
      <c r="C927" s="31"/>
      <c r="D927" s="31"/>
      <c r="E927" s="31"/>
      <c r="F927" s="31"/>
      <c r="G927" s="31"/>
    </row>
    <row r="928" spans="1:7" x14ac:dyDescent="0.3">
      <c r="A928" s="131" t="s">
        <v>2087</v>
      </c>
      <c r="B928" s="130">
        <v>127</v>
      </c>
      <c r="C928" s="31"/>
      <c r="D928" s="31"/>
      <c r="E928" s="31"/>
      <c r="F928" s="31"/>
      <c r="G928" s="31"/>
    </row>
    <row r="929" spans="1:7" x14ac:dyDescent="0.3">
      <c r="A929" s="131" t="s">
        <v>2088</v>
      </c>
      <c r="B929" s="130">
        <v>124</v>
      </c>
      <c r="C929" s="31"/>
      <c r="D929" s="31"/>
      <c r="E929" s="31"/>
      <c r="F929" s="31"/>
      <c r="G929" s="31"/>
    </row>
    <row r="930" spans="1:7" x14ac:dyDescent="0.3">
      <c r="A930" s="131" t="s">
        <v>2089</v>
      </c>
      <c r="B930" s="130">
        <v>96</v>
      </c>
      <c r="C930" s="31"/>
      <c r="D930" s="31"/>
      <c r="E930" s="31"/>
      <c r="F930" s="31"/>
      <c r="G930" s="31"/>
    </row>
    <row r="931" spans="1:7" x14ac:dyDescent="0.3">
      <c r="A931" s="131" t="s">
        <v>2090</v>
      </c>
      <c r="B931" s="130">
        <v>91</v>
      </c>
      <c r="C931" s="31"/>
      <c r="D931" s="31"/>
      <c r="E931" s="31"/>
      <c r="F931" s="31"/>
      <c r="G931" s="31"/>
    </row>
    <row r="932" spans="1:7" x14ac:dyDescent="0.3">
      <c r="A932" s="131" t="s">
        <v>2091</v>
      </c>
      <c r="B932" s="130">
        <v>88</v>
      </c>
      <c r="C932" s="31"/>
      <c r="D932" s="31"/>
      <c r="E932" s="31"/>
      <c r="F932" s="31"/>
      <c r="G932" s="31"/>
    </row>
    <row r="933" spans="1:7" x14ac:dyDescent="0.3">
      <c r="A933" s="131" t="s">
        <v>2092</v>
      </c>
      <c r="B933" s="130">
        <v>38</v>
      </c>
      <c r="C933" s="31"/>
      <c r="D933" s="31"/>
      <c r="E933" s="31"/>
      <c r="F933" s="31"/>
      <c r="G933" s="31"/>
    </row>
    <row r="934" spans="1:7" x14ac:dyDescent="0.3">
      <c r="A934" s="131" t="s">
        <v>2093</v>
      </c>
      <c r="B934" s="130">
        <v>66</v>
      </c>
      <c r="C934" s="31"/>
      <c r="D934" s="31"/>
      <c r="E934" s="31"/>
      <c r="F934" s="31"/>
      <c r="G934" s="31"/>
    </row>
    <row r="935" spans="1:7" x14ac:dyDescent="0.3">
      <c r="A935" s="131" t="s">
        <v>2094</v>
      </c>
      <c r="B935" s="130">
        <v>129</v>
      </c>
      <c r="C935" s="31"/>
      <c r="D935" s="31"/>
      <c r="E935" s="31"/>
      <c r="F935" s="31"/>
      <c r="G935" s="31"/>
    </row>
    <row r="936" spans="1:7" x14ac:dyDescent="0.3">
      <c r="A936" s="131" t="s">
        <v>2095</v>
      </c>
      <c r="B936" s="130">
        <v>142</v>
      </c>
      <c r="C936" s="31"/>
      <c r="D936" s="31"/>
      <c r="E936" s="31"/>
      <c r="F936" s="31"/>
      <c r="G936" s="31"/>
    </row>
    <row r="937" spans="1:7" x14ac:dyDescent="0.3">
      <c r="A937" s="131" t="s">
        <v>2096</v>
      </c>
      <c r="B937" s="130">
        <v>151</v>
      </c>
      <c r="C937" s="31"/>
      <c r="D937" s="31"/>
      <c r="E937" s="31"/>
      <c r="F937" s="31"/>
      <c r="G937" s="31"/>
    </row>
    <row r="938" spans="1:7" x14ac:dyDescent="0.3">
      <c r="A938" s="131" t="s">
        <v>2097</v>
      </c>
      <c r="B938" s="130">
        <v>94</v>
      </c>
      <c r="C938" s="31"/>
      <c r="D938" s="31"/>
      <c r="E938" s="31"/>
      <c r="F938" s="31"/>
      <c r="G938" s="31"/>
    </row>
    <row r="939" spans="1:7" x14ac:dyDescent="0.3">
      <c r="A939" s="131" t="s">
        <v>2098</v>
      </c>
      <c r="B939" s="130">
        <v>10</v>
      </c>
      <c r="C939" s="31"/>
      <c r="D939" s="31"/>
      <c r="E939" s="31"/>
      <c r="F939" s="31"/>
      <c r="G939" s="31"/>
    </row>
    <row r="940" spans="1:7" x14ac:dyDescent="0.3">
      <c r="A940" s="131" t="s">
        <v>2099</v>
      </c>
      <c r="B940" s="130">
        <v>19</v>
      </c>
      <c r="C940" s="31"/>
      <c r="D940" s="31"/>
      <c r="E940" s="31"/>
      <c r="F940" s="31"/>
      <c r="G940" s="31"/>
    </row>
    <row r="941" spans="1:7" x14ac:dyDescent="0.3">
      <c r="A941" s="131" t="s">
        <v>2100</v>
      </c>
      <c r="B941" s="130">
        <v>196</v>
      </c>
      <c r="C941" s="31"/>
      <c r="D941" s="31"/>
      <c r="E941" s="31"/>
      <c r="F941" s="31"/>
      <c r="G941" s="31"/>
    </row>
    <row r="942" spans="1:7" x14ac:dyDescent="0.3">
      <c r="A942" s="131" t="s">
        <v>2101</v>
      </c>
      <c r="B942" s="130">
        <v>78</v>
      </c>
      <c r="C942" s="31"/>
      <c r="D942" s="31"/>
      <c r="E942" s="31"/>
      <c r="F942" s="31"/>
      <c r="G942" s="31"/>
    </row>
    <row r="943" spans="1:7" x14ac:dyDescent="0.3">
      <c r="A943" s="131" t="s">
        <v>2102</v>
      </c>
      <c r="B943" s="130">
        <v>25</v>
      </c>
      <c r="C943" s="31"/>
      <c r="D943" s="31"/>
      <c r="E943" s="31"/>
      <c r="F943" s="31"/>
      <c r="G943" s="31"/>
    </row>
    <row r="944" spans="1:7" x14ac:dyDescent="0.3">
      <c r="A944" s="131" t="s">
        <v>2103</v>
      </c>
      <c r="B944" s="130">
        <v>49</v>
      </c>
      <c r="C944" s="31"/>
      <c r="D944" s="31"/>
      <c r="E944" s="31"/>
      <c r="F944" s="31"/>
      <c r="G944" s="31"/>
    </row>
    <row r="945" spans="1:7" x14ac:dyDescent="0.3">
      <c r="A945" s="131" t="s">
        <v>2104</v>
      </c>
      <c r="B945" s="130">
        <v>73</v>
      </c>
      <c r="C945" s="31"/>
      <c r="D945" s="31"/>
      <c r="E945" s="31"/>
      <c r="F945" s="31"/>
      <c r="G945" s="31"/>
    </row>
    <row r="946" spans="1:7" x14ac:dyDescent="0.3">
      <c r="A946" s="131" t="s">
        <v>2105</v>
      </c>
      <c r="B946" s="130">
        <v>21</v>
      </c>
      <c r="C946" s="31"/>
      <c r="D946" s="31"/>
      <c r="E946" s="31"/>
      <c r="F946" s="31"/>
      <c r="G946" s="31"/>
    </row>
    <row r="947" spans="1:7" x14ac:dyDescent="0.3">
      <c r="A947" s="131" t="s">
        <v>2106</v>
      </c>
      <c r="B947" s="130">
        <v>42</v>
      </c>
      <c r="C947" s="31"/>
      <c r="D947" s="31"/>
      <c r="E947" s="31"/>
      <c r="F947" s="31"/>
      <c r="G947" s="31"/>
    </row>
    <row r="948" spans="1:7" x14ac:dyDescent="0.3">
      <c r="A948" s="131" t="s">
        <v>2107</v>
      </c>
      <c r="B948" s="130">
        <v>140</v>
      </c>
      <c r="C948" s="31"/>
      <c r="D948" s="31"/>
      <c r="E948" s="31"/>
      <c r="F948" s="31"/>
      <c r="G948" s="31"/>
    </row>
    <row r="949" spans="1:7" x14ac:dyDescent="0.3">
      <c r="A949" s="131" t="s">
        <v>2108</v>
      </c>
      <c r="B949" s="130">
        <v>64</v>
      </c>
      <c r="C949" s="31"/>
      <c r="D949" s="31"/>
      <c r="E949" s="31"/>
      <c r="F949" s="31"/>
      <c r="G949" s="31"/>
    </row>
    <row r="950" spans="1:7" x14ac:dyDescent="0.3">
      <c r="A950" s="131" t="s">
        <v>2109</v>
      </c>
      <c r="B950" s="130">
        <v>64</v>
      </c>
      <c r="C950" s="31"/>
      <c r="D950" s="31"/>
      <c r="E950" s="31"/>
      <c r="F950" s="31"/>
      <c r="G950" s="31"/>
    </row>
    <row r="951" spans="1:7" x14ac:dyDescent="0.3">
      <c r="A951" s="131" t="s">
        <v>2110</v>
      </c>
      <c r="B951" s="130">
        <v>60</v>
      </c>
      <c r="C951" s="31"/>
      <c r="D951" s="31"/>
      <c r="E951" s="31"/>
      <c r="F951" s="31"/>
      <c r="G951" s="31"/>
    </row>
    <row r="952" spans="1:7" x14ac:dyDescent="0.3">
      <c r="A952" s="131" t="s">
        <v>2111</v>
      </c>
      <c r="B952" s="130" t="s">
        <v>1163</v>
      </c>
      <c r="C952" s="31"/>
      <c r="D952" s="31"/>
      <c r="E952" s="31"/>
      <c r="F952" s="31"/>
      <c r="G952" s="31"/>
    </row>
    <row r="953" spans="1:7" x14ac:dyDescent="0.3">
      <c r="A953" s="131" t="s">
        <v>2112</v>
      </c>
      <c r="B953" s="130">
        <v>34</v>
      </c>
      <c r="C953" s="31"/>
      <c r="D953" s="31"/>
      <c r="E953" s="31"/>
      <c r="F953" s="31"/>
      <c r="G953" s="31"/>
    </row>
    <row r="954" spans="1:7" x14ac:dyDescent="0.3">
      <c r="A954" s="131" t="s">
        <v>2113</v>
      </c>
      <c r="B954" s="130">
        <v>22</v>
      </c>
      <c r="C954" s="31"/>
      <c r="D954" s="31"/>
      <c r="E954" s="31"/>
      <c r="F954" s="31"/>
      <c r="G954" s="31"/>
    </row>
    <row r="955" spans="1:7" x14ac:dyDescent="0.3">
      <c r="A955" s="131" t="s">
        <v>2114</v>
      </c>
      <c r="B955" s="130">
        <v>31</v>
      </c>
      <c r="C955" s="31"/>
      <c r="D955" s="31"/>
      <c r="E955" s="31"/>
      <c r="F955" s="31"/>
      <c r="G955" s="31"/>
    </row>
    <row r="956" spans="1:7" x14ac:dyDescent="0.3">
      <c r="A956" s="131" t="s">
        <v>2115</v>
      </c>
      <c r="B956" s="130">
        <v>165</v>
      </c>
      <c r="C956" s="31"/>
      <c r="D956" s="31"/>
      <c r="E956" s="31"/>
      <c r="F956" s="31"/>
      <c r="G956" s="31"/>
    </row>
    <row r="957" spans="1:7" x14ac:dyDescent="0.3">
      <c r="A957" s="131" t="s">
        <v>2116</v>
      </c>
      <c r="B957" s="130">
        <v>139</v>
      </c>
      <c r="C957" s="31"/>
      <c r="D957" s="31"/>
      <c r="E957" s="31"/>
      <c r="F957" s="31"/>
      <c r="G957" s="31"/>
    </row>
    <row r="958" spans="1:7" x14ac:dyDescent="0.3">
      <c r="A958" s="131" t="s">
        <v>2117</v>
      </c>
      <c r="B958" s="130">
        <v>193</v>
      </c>
      <c r="C958" s="31"/>
      <c r="D958" s="31"/>
      <c r="E958" s="31"/>
      <c r="F958" s="31"/>
      <c r="G958" s="31"/>
    </row>
    <row r="959" spans="1:7" x14ac:dyDescent="0.3">
      <c r="A959" s="131" t="s">
        <v>2118</v>
      </c>
      <c r="B959" s="130">
        <v>109</v>
      </c>
      <c r="C959" s="31"/>
      <c r="D959" s="31"/>
      <c r="E959" s="31"/>
      <c r="F959" s="31"/>
      <c r="G959" s="31"/>
    </row>
    <row r="960" spans="1:7" x14ac:dyDescent="0.3">
      <c r="A960" s="131" t="s">
        <v>2119</v>
      </c>
      <c r="B960" s="130">
        <v>64</v>
      </c>
      <c r="C960" s="31"/>
      <c r="D960" s="31"/>
      <c r="E960" s="31"/>
      <c r="F960" s="31"/>
      <c r="G960" s="31"/>
    </row>
    <row r="961" spans="1:7" x14ac:dyDescent="0.3">
      <c r="A961" s="131" t="s">
        <v>2120</v>
      </c>
      <c r="B961" s="130">
        <v>161</v>
      </c>
      <c r="C961" s="31"/>
      <c r="D961" s="31"/>
      <c r="E961" s="31"/>
      <c r="F961" s="31"/>
      <c r="G961" s="31"/>
    </row>
    <row r="962" spans="1:7" x14ac:dyDescent="0.3">
      <c r="A962" s="131" t="s">
        <v>2121</v>
      </c>
      <c r="B962" s="130">
        <v>44</v>
      </c>
      <c r="C962" s="31"/>
      <c r="D962" s="31"/>
      <c r="E962" s="31"/>
      <c r="F962" s="31"/>
      <c r="G962" s="31"/>
    </row>
    <row r="963" spans="1:7" x14ac:dyDescent="0.3">
      <c r="A963" s="131" t="s">
        <v>2122</v>
      </c>
      <c r="B963" s="130">
        <v>156</v>
      </c>
      <c r="C963" s="31"/>
      <c r="D963" s="31"/>
      <c r="E963" s="31"/>
      <c r="F963" s="31"/>
      <c r="G963" s="31"/>
    </row>
    <row r="964" spans="1:7" x14ac:dyDescent="0.3">
      <c r="A964" s="131" t="s">
        <v>2123</v>
      </c>
      <c r="B964" s="130">
        <v>124</v>
      </c>
      <c r="C964" s="31"/>
      <c r="D964" s="31"/>
      <c r="E964" s="31"/>
      <c r="F964" s="31"/>
      <c r="G964" s="31"/>
    </row>
    <row r="965" spans="1:7" x14ac:dyDescent="0.3">
      <c r="A965" s="131" t="s">
        <v>2124</v>
      </c>
      <c r="B965" s="130">
        <v>16</v>
      </c>
      <c r="C965" s="31"/>
      <c r="D965" s="31"/>
      <c r="E965" s="31"/>
      <c r="F965" s="31"/>
      <c r="G965" s="31"/>
    </row>
    <row r="966" spans="1:7" x14ac:dyDescent="0.3">
      <c r="A966" s="131" t="s">
        <v>2125</v>
      </c>
      <c r="B966" s="130">
        <v>19</v>
      </c>
      <c r="C966" s="31"/>
      <c r="D966" s="31"/>
      <c r="E966" s="31"/>
      <c r="F966" s="31"/>
      <c r="G966" s="31"/>
    </row>
    <row r="967" spans="1:7" x14ac:dyDescent="0.3">
      <c r="A967" s="131" t="s">
        <v>2126</v>
      </c>
      <c r="B967" s="130">
        <v>17</v>
      </c>
      <c r="C967" s="31"/>
      <c r="D967" s="31"/>
      <c r="E967" s="31"/>
      <c r="F967" s="31"/>
      <c r="G967" s="31"/>
    </row>
    <row r="968" spans="1:7" x14ac:dyDescent="0.3">
      <c r="A968" s="131" t="s">
        <v>2127</v>
      </c>
      <c r="B968" s="130">
        <v>60</v>
      </c>
      <c r="C968" s="31"/>
      <c r="D968" s="31"/>
      <c r="E968" s="31"/>
      <c r="F968" s="31"/>
      <c r="G968" s="31"/>
    </row>
    <row r="969" spans="1:7" x14ac:dyDescent="0.3">
      <c r="A969" s="131" t="s">
        <v>2128</v>
      </c>
      <c r="B969" s="130">
        <v>170</v>
      </c>
      <c r="C969" s="31"/>
      <c r="D969" s="31"/>
      <c r="E969" s="31"/>
      <c r="F969" s="31"/>
      <c r="G969" s="31"/>
    </row>
    <row r="970" spans="1:7" x14ac:dyDescent="0.3">
      <c r="A970" s="131" t="s">
        <v>2129</v>
      </c>
      <c r="B970" s="130">
        <v>28</v>
      </c>
      <c r="C970" s="31"/>
      <c r="D970" s="31"/>
      <c r="E970" s="31"/>
      <c r="F970" s="31"/>
      <c r="G970" s="31"/>
    </row>
    <row r="971" spans="1:7" x14ac:dyDescent="0.3">
      <c r="A971" s="131" t="s">
        <v>2130</v>
      </c>
      <c r="B971" s="130">
        <v>24</v>
      </c>
      <c r="C971" s="31"/>
      <c r="D971" s="31"/>
      <c r="E971" s="31"/>
      <c r="F971" s="31"/>
      <c r="G971" s="31"/>
    </row>
    <row r="972" spans="1:7" x14ac:dyDescent="0.3">
      <c r="A972" s="131" t="s">
        <v>2131</v>
      </c>
      <c r="B972" s="130" t="s">
        <v>1163</v>
      </c>
      <c r="C972" s="31"/>
      <c r="D972" s="31"/>
      <c r="E972" s="31"/>
      <c r="F972" s="31"/>
      <c r="G972" s="31"/>
    </row>
    <row r="973" spans="1:7" x14ac:dyDescent="0.3">
      <c r="A973" s="131" t="s">
        <v>2132</v>
      </c>
      <c r="B973" s="130" t="s">
        <v>1163</v>
      </c>
      <c r="C973" s="31"/>
      <c r="D973" s="31"/>
      <c r="E973" s="31"/>
      <c r="F973" s="31"/>
      <c r="G973" s="31"/>
    </row>
    <row r="974" spans="1:7" x14ac:dyDescent="0.3">
      <c r="A974" s="131" t="s">
        <v>2133</v>
      </c>
      <c r="B974" s="130">
        <v>316</v>
      </c>
      <c r="C974" s="31"/>
      <c r="D974" s="31"/>
      <c r="E974" s="31"/>
      <c r="F974" s="31"/>
      <c r="G974" s="31"/>
    </row>
    <row r="975" spans="1:7" x14ac:dyDescent="0.3">
      <c r="A975" s="131" t="s">
        <v>2134</v>
      </c>
      <c r="B975" s="130">
        <v>0</v>
      </c>
      <c r="C975" s="31"/>
      <c r="D975" s="31"/>
      <c r="E975" s="31"/>
      <c r="F975" s="31"/>
      <c r="G975" s="31"/>
    </row>
    <row r="976" spans="1:7" x14ac:dyDescent="0.3">
      <c r="A976" s="131" t="s">
        <v>2135</v>
      </c>
      <c r="B976" s="130" t="s">
        <v>1163</v>
      </c>
      <c r="C976" s="31"/>
      <c r="D976" s="31"/>
      <c r="E976" s="31"/>
      <c r="F976" s="31"/>
      <c r="G976" s="31"/>
    </row>
    <row r="977" spans="1:7" x14ac:dyDescent="0.3">
      <c r="A977" s="131" t="s">
        <v>2136</v>
      </c>
      <c r="B977" s="130">
        <v>40</v>
      </c>
      <c r="C977" s="31"/>
      <c r="D977" s="31"/>
      <c r="E977" s="31"/>
      <c r="F977" s="31"/>
      <c r="G977" s="31"/>
    </row>
    <row r="978" spans="1:7" x14ac:dyDescent="0.3">
      <c r="A978" s="131" t="s">
        <v>2137</v>
      </c>
      <c r="B978" s="130">
        <v>65</v>
      </c>
      <c r="C978" s="31"/>
      <c r="D978" s="31"/>
      <c r="E978" s="31"/>
      <c r="F978" s="31"/>
      <c r="G978" s="31"/>
    </row>
    <row r="979" spans="1:7" x14ac:dyDescent="0.3">
      <c r="A979" s="131" t="s">
        <v>2138</v>
      </c>
      <c r="B979" s="130">
        <v>167</v>
      </c>
      <c r="C979" s="31"/>
      <c r="D979" s="31"/>
      <c r="E979" s="31"/>
      <c r="F979" s="31"/>
      <c r="G979" s="31"/>
    </row>
    <row r="980" spans="1:7" x14ac:dyDescent="0.3">
      <c r="A980" s="131" t="s">
        <v>2139</v>
      </c>
      <c r="B980" s="130">
        <v>80</v>
      </c>
      <c r="C980" s="31"/>
      <c r="D980" s="31"/>
      <c r="E980" s="31"/>
      <c r="F980" s="31"/>
      <c r="G980" s="31"/>
    </row>
    <row r="981" spans="1:7" x14ac:dyDescent="0.3">
      <c r="A981" s="131" t="s">
        <v>2140</v>
      </c>
      <c r="B981" s="130">
        <v>122</v>
      </c>
      <c r="C981" s="31"/>
      <c r="D981" s="31"/>
      <c r="E981" s="31"/>
      <c r="F981" s="31"/>
      <c r="G981" s="31"/>
    </row>
    <row r="982" spans="1:7" x14ac:dyDescent="0.3">
      <c r="A982" s="131" t="s">
        <v>2141</v>
      </c>
      <c r="B982" s="130">
        <v>130</v>
      </c>
      <c r="C982" s="31"/>
      <c r="D982" s="31"/>
      <c r="E982" s="31"/>
      <c r="F982" s="31"/>
      <c r="G982" s="31"/>
    </row>
    <row r="983" spans="1:7" x14ac:dyDescent="0.3">
      <c r="A983" s="131" t="s">
        <v>2142</v>
      </c>
      <c r="B983" s="130">
        <v>138</v>
      </c>
      <c r="C983" s="31"/>
      <c r="D983" s="31"/>
      <c r="E983" s="31"/>
      <c r="F983" s="31"/>
      <c r="G983" s="31"/>
    </row>
    <row r="984" spans="1:7" x14ac:dyDescent="0.3">
      <c r="A984" s="131" t="s">
        <v>2143</v>
      </c>
      <c r="B984" s="130" t="s">
        <v>1163</v>
      </c>
      <c r="C984" s="31"/>
      <c r="D984" s="31"/>
      <c r="E984" s="31"/>
      <c r="F984" s="31"/>
      <c r="G984" s="31"/>
    </row>
    <row r="985" spans="1:7" x14ac:dyDescent="0.3">
      <c r="A985" s="131" t="s">
        <v>2144</v>
      </c>
      <c r="B985" s="130">
        <v>21</v>
      </c>
      <c r="C985" s="31"/>
      <c r="D985" s="31"/>
      <c r="E985" s="31"/>
      <c r="F985" s="31"/>
      <c r="G985" s="31"/>
    </row>
    <row r="986" spans="1:7" x14ac:dyDescent="0.3">
      <c r="A986" s="131" t="s">
        <v>2145</v>
      </c>
      <c r="B986" s="130">
        <v>63</v>
      </c>
      <c r="C986" s="31"/>
      <c r="D986" s="31"/>
      <c r="E986" s="31"/>
      <c r="F986" s="31"/>
      <c r="G986" s="31"/>
    </row>
    <row r="987" spans="1:7" x14ac:dyDescent="0.3">
      <c r="A987" s="131" t="s">
        <v>2146</v>
      </c>
      <c r="B987" s="130">
        <v>81</v>
      </c>
      <c r="C987" s="31"/>
      <c r="D987" s="31"/>
      <c r="E987" s="31"/>
      <c r="F987" s="31"/>
      <c r="G987" s="31"/>
    </row>
    <row r="988" spans="1:7" x14ac:dyDescent="0.3">
      <c r="A988" s="131" t="s">
        <v>2147</v>
      </c>
      <c r="B988" s="130">
        <v>126</v>
      </c>
      <c r="C988" s="31"/>
      <c r="D988" s="31"/>
      <c r="E988" s="31"/>
      <c r="F988" s="31"/>
      <c r="G988" s="31"/>
    </row>
    <row r="989" spans="1:7" x14ac:dyDescent="0.3">
      <c r="A989" s="131" t="s">
        <v>2148</v>
      </c>
      <c r="B989" s="130">
        <v>168</v>
      </c>
      <c r="C989" s="31"/>
      <c r="D989" s="31"/>
      <c r="E989" s="31"/>
      <c r="F989" s="31"/>
      <c r="G989" s="31"/>
    </row>
    <row r="990" spans="1:7" x14ac:dyDescent="0.3">
      <c r="A990" s="131" t="s">
        <v>2149</v>
      </c>
      <c r="B990" s="130">
        <v>180</v>
      </c>
      <c r="C990" s="31"/>
      <c r="D990" s="31"/>
      <c r="E990" s="31"/>
      <c r="F990" s="31"/>
      <c r="G990" s="31"/>
    </row>
    <row r="991" spans="1:7" x14ac:dyDescent="0.3">
      <c r="A991" s="131" t="s">
        <v>2150</v>
      </c>
      <c r="B991" s="130">
        <v>53</v>
      </c>
      <c r="C991" s="31"/>
      <c r="D991" s="31"/>
      <c r="E991" s="31"/>
      <c r="F991" s="31"/>
      <c r="G991" s="31"/>
    </row>
    <row r="992" spans="1:7" x14ac:dyDescent="0.3">
      <c r="A992" s="131" t="s">
        <v>2151</v>
      </c>
      <c r="B992" s="130">
        <v>285</v>
      </c>
      <c r="C992" s="31"/>
      <c r="D992" s="31"/>
      <c r="E992" s="31"/>
      <c r="F992" s="31"/>
      <c r="G992" s="31"/>
    </row>
    <row r="993" spans="1:7" x14ac:dyDescent="0.3">
      <c r="A993" s="131" t="s">
        <v>2152</v>
      </c>
      <c r="B993" s="130" t="s">
        <v>1163</v>
      </c>
      <c r="C993" s="31"/>
      <c r="D993" s="31"/>
      <c r="E993" s="31"/>
      <c r="F993" s="31"/>
      <c r="G993" s="31"/>
    </row>
    <row r="994" spans="1:7" x14ac:dyDescent="0.3">
      <c r="A994" s="131" t="s">
        <v>2153</v>
      </c>
      <c r="B994" s="130">
        <v>20</v>
      </c>
      <c r="C994" s="31"/>
      <c r="D994" s="31"/>
      <c r="E994" s="31"/>
      <c r="F994" s="31"/>
      <c r="G994" s="31"/>
    </row>
    <row r="995" spans="1:7" x14ac:dyDescent="0.3">
      <c r="A995" s="131" t="s">
        <v>2154</v>
      </c>
      <c r="B995" s="130">
        <v>69</v>
      </c>
      <c r="C995" s="31"/>
      <c r="D995" s="31"/>
      <c r="E995" s="31"/>
      <c r="F995" s="31"/>
      <c r="G995" s="31"/>
    </row>
    <row r="996" spans="1:7" x14ac:dyDescent="0.3">
      <c r="A996" s="131" t="s">
        <v>2155</v>
      </c>
      <c r="B996" s="130">
        <v>96</v>
      </c>
      <c r="C996" s="31"/>
      <c r="D996" s="31"/>
      <c r="E996" s="31"/>
      <c r="F996" s="31"/>
      <c r="G996" s="31"/>
    </row>
    <row r="997" spans="1:7" x14ac:dyDescent="0.3">
      <c r="A997" s="131" t="s">
        <v>2156</v>
      </c>
      <c r="B997" s="130">
        <v>32</v>
      </c>
      <c r="C997" s="31"/>
      <c r="D997" s="31"/>
      <c r="E997" s="31"/>
      <c r="F997" s="31"/>
      <c r="G997" s="31"/>
    </row>
    <row r="998" spans="1:7" x14ac:dyDescent="0.3">
      <c r="A998" s="131" t="s">
        <v>2157</v>
      </c>
      <c r="B998" s="130">
        <v>19</v>
      </c>
      <c r="C998" s="31"/>
      <c r="D998" s="31"/>
      <c r="E998" s="31"/>
      <c r="F998" s="31"/>
      <c r="G998" s="31"/>
    </row>
    <row r="999" spans="1:7" x14ac:dyDescent="0.3">
      <c r="A999" s="131" t="s">
        <v>2158</v>
      </c>
      <c r="B999" s="130">
        <v>0</v>
      </c>
      <c r="C999" s="31"/>
      <c r="D999" s="31"/>
      <c r="E999" s="31"/>
      <c r="F999" s="31"/>
      <c r="G999" s="31"/>
    </row>
    <row r="1000" spans="1:7" x14ac:dyDescent="0.3">
      <c r="A1000" s="131" t="s">
        <v>2159</v>
      </c>
      <c r="B1000" s="130">
        <v>27</v>
      </c>
      <c r="C1000" s="31"/>
      <c r="D1000" s="31"/>
      <c r="E1000" s="31"/>
      <c r="F1000" s="31"/>
      <c r="G1000" s="31"/>
    </row>
    <row r="1001" spans="1:7" x14ac:dyDescent="0.3">
      <c r="A1001" s="131" t="s">
        <v>2160</v>
      </c>
      <c r="B1001" s="130">
        <v>14</v>
      </c>
      <c r="C1001" s="31"/>
      <c r="D1001" s="31"/>
      <c r="E1001" s="31"/>
      <c r="F1001" s="31"/>
      <c r="G1001" s="31"/>
    </row>
    <row r="1002" spans="1:7" x14ac:dyDescent="0.3">
      <c r="A1002" s="131" t="s">
        <v>2161</v>
      </c>
      <c r="B1002" s="130" t="s">
        <v>1163</v>
      </c>
      <c r="C1002" s="31"/>
      <c r="D1002" s="31"/>
      <c r="E1002" s="31"/>
      <c r="F1002" s="31"/>
      <c r="G1002" s="31"/>
    </row>
    <row r="1003" spans="1:7" x14ac:dyDescent="0.3">
      <c r="A1003" s="131" t="s">
        <v>2162</v>
      </c>
      <c r="B1003" s="130" t="s">
        <v>1163</v>
      </c>
      <c r="C1003" s="31"/>
      <c r="D1003" s="31"/>
      <c r="E1003" s="31"/>
      <c r="F1003" s="31"/>
      <c r="G1003" s="31"/>
    </row>
    <row r="1004" spans="1:7" x14ac:dyDescent="0.3">
      <c r="A1004" s="131" t="s">
        <v>2163</v>
      </c>
      <c r="B1004" s="130" t="s">
        <v>1163</v>
      </c>
      <c r="C1004" s="31"/>
      <c r="D1004" s="31"/>
      <c r="E1004" s="31"/>
      <c r="F1004" s="31"/>
      <c r="G1004" s="31"/>
    </row>
    <row r="1005" spans="1:7" x14ac:dyDescent="0.3">
      <c r="A1005" s="131" t="s">
        <v>2164</v>
      </c>
      <c r="B1005" s="130">
        <v>11</v>
      </c>
      <c r="C1005" s="31"/>
      <c r="D1005" s="31"/>
      <c r="E1005" s="31"/>
      <c r="F1005" s="31"/>
      <c r="G1005" s="31"/>
    </row>
    <row r="1006" spans="1:7" x14ac:dyDescent="0.3">
      <c r="A1006" s="131" t="s">
        <v>2165</v>
      </c>
      <c r="B1006" s="130">
        <v>70</v>
      </c>
      <c r="C1006" s="31"/>
      <c r="D1006" s="31"/>
      <c r="E1006" s="31"/>
      <c r="F1006" s="31"/>
      <c r="G1006" s="31"/>
    </row>
    <row r="1007" spans="1:7" x14ac:dyDescent="0.3">
      <c r="A1007" s="131" t="s">
        <v>2166</v>
      </c>
      <c r="B1007" s="130">
        <v>150</v>
      </c>
      <c r="C1007" s="31"/>
      <c r="D1007" s="31"/>
      <c r="E1007" s="31"/>
      <c r="F1007" s="31"/>
      <c r="G1007" s="31"/>
    </row>
    <row r="1008" spans="1:7" x14ac:dyDescent="0.3">
      <c r="A1008" s="131" t="s">
        <v>2167</v>
      </c>
      <c r="B1008" s="130" t="s">
        <v>1163</v>
      </c>
      <c r="C1008" s="31"/>
      <c r="D1008" s="31"/>
      <c r="E1008" s="31"/>
      <c r="F1008" s="31"/>
      <c r="G1008" s="31"/>
    </row>
    <row r="1009" spans="1:7" x14ac:dyDescent="0.3">
      <c r="A1009" s="131" t="s">
        <v>2168</v>
      </c>
      <c r="B1009" s="130" t="s">
        <v>1163</v>
      </c>
      <c r="C1009" s="31"/>
      <c r="D1009" s="31"/>
      <c r="E1009" s="31"/>
      <c r="F1009" s="31"/>
      <c r="G1009" s="31"/>
    </row>
    <row r="1010" spans="1:7" x14ac:dyDescent="0.3">
      <c r="A1010" s="131" t="s">
        <v>2169</v>
      </c>
      <c r="B1010" s="130">
        <v>14</v>
      </c>
      <c r="C1010" s="31"/>
      <c r="D1010" s="31"/>
      <c r="E1010" s="31"/>
      <c r="F1010" s="31"/>
      <c r="G1010" s="31"/>
    </row>
    <row r="1011" spans="1:7" x14ac:dyDescent="0.3">
      <c r="A1011" s="131" t="s">
        <v>2170</v>
      </c>
      <c r="B1011" s="130">
        <v>101</v>
      </c>
      <c r="C1011" s="31"/>
      <c r="D1011" s="31"/>
      <c r="E1011" s="31"/>
      <c r="F1011" s="31"/>
      <c r="G1011" s="31"/>
    </row>
    <row r="1012" spans="1:7" x14ac:dyDescent="0.3">
      <c r="A1012" s="131" t="s">
        <v>2171</v>
      </c>
      <c r="B1012" s="130">
        <v>10</v>
      </c>
      <c r="C1012" s="31"/>
      <c r="D1012" s="31"/>
      <c r="E1012" s="31"/>
      <c r="F1012" s="31"/>
      <c r="G1012" s="31"/>
    </row>
    <row r="1013" spans="1:7" x14ac:dyDescent="0.3">
      <c r="A1013" s="131" t="s">
        <v>2172</v>
      </c>
      <c r="B1013" s="130">
        <v>95</v>
      </c>
      <c r="C1013" s="31"/>
      <c r="D1013" s="31"/>
      <c r="E1013" s="31"/>
      <c r="F1013" s="31"/>
      <c r="G1013" s="31"/>
    </row>
    <row r="1014" spans="1:7" x14ac:dyDescent="0.3">
      <c r="A1014" s="131" t="s">
        <v>2173</v>
      </c>
      <c r="B1014" s="130">
        <v>111</v>
      </c>
      <c r="C1014" s="31"/>
      <c r="D1014" s="31"/>
      <c r="E1014" s="31"/>
      <c r="F1014" s="31"/>
      <c r="G1014" s="31"/>
    </row>
    <row r="1015" spans="1:7" x14ac:dyDescent="0.3">
      <c r="A1015" s="131" t="s">
        <v>2174</v>
      </c>
      <c r="B1015" s="130">
        <v>10</v>
      </c>
      <c r="C1015" s="31"/>
      <c r="D1015" s="31"/>
      <c r="E1015" s="31"/>
      <c r="F1015" s="31"/>
      <c r="G1015" s="31"/>
    </row>
    <row r="1016" spans="1:7" x14ac:dyDescent="0.3">
      <c r="A1016" s="131" t="s">
        <v>2175</v>
      </c>
      <c r="B1016" s="130">
        <v>206</v>
      </c>
      <c r="C1016" s="31"/>
      <c r="D1016" s="31"/>
      <c r="E1016" s="31"/>
      <c r="F1016" s="31"/>
      <c r="G1016" s="31"/>
    </row>
    <row r="1017" spans="1:7" x14ac:dyDescent="0.3">
      <c r="A1017" s="131" t="s">
        <v>2176</v>
      </c>
      <c r="B1017" s="130">
        <v>14</v>
      </c>
      <c r="C1017" s="31"/>
      <c r="D1017" s="31"/>
      <c r="E1017" s="31"/>
      <c r="F1017" s="31"/>
      <c r="G1017" s="31"/>
    </row>
    <row r="1018" spans="1:7" x14ac:dyDescent="0.3">
      <c r="A1018" s="131" t="s">
        <v>2177</v>
      </c>
      <c r="B1018" s="130" t="s">
        <v>1163</v>
      </c>
      <c r="C1018" s="31"/>
      <c r="D1018" s="31"/>
      <c r="E1018" s="31"/>
      <c r="F1018" s="31"/>
      <c r="G1018" s="31"/>
    </row>
    <row r="1019" spans="1:7" x14ac:dyDescent="0.3">
      <c r="A1019" s="131" t="s">
        <v>2178</v>
      </c>
      <c r="B1019" s="130">
        <v>35</v>
      </c>
      <c r="C1019" s="31"/>
      <c r="D1019" s="31"/>
      <c r="E1019" s="31"/>
      <c r="F1019" s="31"/>
      <c r="G1019" s="31"/>
    </row>
    <row r="1020" spans="1:7" x14ac:dyDescent="0.3">
      <c r="A1020" s="131" t="s">
        <v>2179</v>
      </c>
      <c r="B1020" s="130">
        <v>120</v>
      </c>
      <c r="C1020" s="31"/>
      <c r="D1020" s="31"/>
      <c r="E1020" s="31"/>
      <c r="F1020" s="31"/>
      <c r="G1020" s="31"/>
    </row>
    <row r="1021" spans="1:7" x14ac:dyDescent="0.3">
      <c r="A1021" s="131" t="s">
        <v>2180</v>
      </c>
      <c r="B1021" s="130">
        <v>0</v>
      </c>
      <c r="C1021" s="31"/>
      <c r="D1021" s="31"/>
      <c r="E1021" s="31"/>
      <c r="F1021" s="31"/>
      <c r="G1021" s="31"/>
    </row>
    <row r="1022" spans="1:7" x14ac:dyDescent="0.3">
      <c r="A1022" s="131" t="s">
        <v>2181</v>
      </c>
      <c r="B1022" s="130">
        <v>0</v>
      </c>
      <c r="C1022" s="31"/>
      <c r="D1022" s="31"/>
      <c r="E1022" s="31"/>
      <c r="F1022" s="31"/>
      <c r="G1022" s="31"/>
    </row>
    <row r="1023" spans="1:7" x14ac:dyDescent="0.3">
      <c r="A1023" s="131" t="s">
        <v>2182</v>
      </c>
      <c r="B1023" s="130">
        <v>24</v>
      </c>
      <c r="C1023" s="31"/>
      <c r="D1023" s="31"/>
      <c r="E1023" s="31"/>
      <c r="F1023" s="31"/>
      <c r="G1023" s="31"/>
    </row>
    <row r="1024" spans="1:7" x14ac:dyDescent="0.3">
      <c r="A1024" s="131" t="s">
        <v>2183</v>
      </c>
      <c r="B1024" s="130">
        <v>379</v>
      </c>
      <c r="C1024" s="31"/>
      <c r="D1024" s="31"/>
      <c r="E1024" s="31"/>
      <c r="F1024" s="31"/>
      <c r="G1024" s="31"/>
    </row>
    <row r="1025" spans="1:7" x14ac:dyDescent="0.3">
      <c r="A1025" s="131" t="s">
        <v>2184</v>
      </c>
      <c r="B1025" s="130">
        <v>104</v>
      </c>
      <c r="C1025" s="31"/>
      <c r="D1025" s="31"/>
      <c r="E1025" s="31"/>
      <c r="F1025" s="31"/>
      <c r="G1025" s="31"/>
    </row>
    <row r="1026" spans="1:7" x14ac:dyDescent="0.3">
      <c r="A1026" s="131" t="s">
        <v>2185</v>
      </c>
      <c r="B1026" s="130">
        <v>161</v>
      </c>
      <c r="C1026" s="31"/>
      <c r="D1026" s="31"/>
      <c r="E1026" s="31"/>
      <c r="F1026" s="31"/>
      <c r="G1026" s="31"/>
    </row>
    <row r="1027" spans="1:7" x14ac:dyDescent="0.3">
      <c r="A1027" s="131" t="s">
        <v>2186</v>
      </c>
      <c r="B1027" s="130">
        <v>166</v>
      </c>
      <c r="C1027" s="31"/>
      <c r="D1027" s="31"/>
      <c r="E1027" s="31"/>
      <c r="F1027" s="31"/>
      <c r="G1027" s="31"/>
    </row>
    <row r="1028" spans="1:7" x14ac:dyDescent="0.3">
      <c r="A1028" s="131" t="s">
        <v>2187</v>
      </c>
      <c r="B1028" s="130">
        <v>63</v>
      </c>
      <c r="C1028" s="31"/>
      <c r="D1028" s="31"/>
      <c r="E1028" s="31"/>
      <c r="F1028" s="31"/>
      <c r="G1028" s="31"/>
    </row>
    <row r="1029" spans="1:7" x14ac:dyDescent="0.3">
      <c r="A1029" s="131" t="s">
        <v>2188</v>
      </c>
      <c r="B1029" s="130">
        <v>318</v>
      </c>
      <c r="C1029" s="31"/>
      <c r="D1029" s="31"/>
      <c r="E1029" s="31"/>
      <c r="F1029" s="31"/>
      <c r="G1029" s="31"/>
    </row>
    <row r="1030" spans="1:7" x14ac:dyDescent="0.3">
      <c r="A1030" s="131" t="s">
        <v>2189</v>
      </c>
      <c r="B1030" s="130">
        <v>41</v>
      </c>
      <c r="C1030" s="31"/>
      <c r="D1030" s="31"/>
      <c r="E1030" s="31"/>
      <c r="F1030" s="31"/>
      <c r="G1030" s="31"/>
    </row>
    <row r="1031" spans="1:7" x14ac:dyDescent="0.3">
      <c r="A1031" s="131" t="s">
        <v>2190</v>
      </c>
      <c r="B1031" s="130">
        <v>220</v>
      </c>
      <c r="C1031" s="31"/>
      <c r="D1031" s="31"/>
      <c r="E1031" s="31"/>
      <c r="F1031" s="31"/>
      <c r="G1031" s="31"/>
    </row>
    <row r="1032" spans="1:7" x14ac:dyDescent="0.3">
      <c r="A1032" s="131" t="s">
        <v>2191</v>
      </c>
      <c r="B1032" s="130">
        <v>173</v>
      </c>
      <c r="C1032" s="31"/>
      <c r="D1032" s="31"/>
      <c r="E1032" s="31"/>
      <c r="F1032" s="31"/>
      <c r="G1032" s="31"/>
    </row>
    <row r="1033" spans="1:7" x14ac:dyDescent="0.3">
      <c r="A1033" s="131" t="s">
        <v>2192</v>
      </c>
      <c r="B1033" s="130" t="s">
        <v>1163</v>
      </c>
      <c r="C1033" s="31"/>
      <c r="D1033" s="31"/>
      <c r="E1033" s="31"/>
      <c r="F1033" s="31"/>
      <c r="G1033" s="31"/>
    </row>
    <row r="1034" spans="1:7" x14ac:dyDescent="0.3">
      <c r="A1034" s="131" t="s">
        <v>2193</v>
      </c>
      <c r="B1034" s="130">
        <v>247</v>
      </c>
      <c r="C1034" s="31"/>
      <c r="D1034" s="31"/>
      <c r="E1034" s="31"/>
      <c r="F1034" s="31"/>
      <c r="G1034" s="31"/>
    </row>
    <row r="1035" spans="1:7" x14ac:dyDescent="0.3">
      <c r="A1035" s="131" t="s">
        <v>2194</v>
      </c>
      <c r="B1035" s="130">
        <v>273</v>
      </c>
      <c r="C1035" s="31"/>
      <c r="D1035" s="31"/>
      <c r="E1035" s="31"/>
      <c r="F1035" s="31"/>
      <c r="G1035" s="31"/>
    </row>
    <row r="1036" spans="1:7" x14ac:dyDescent="0.3">
      <c r="A1036" s="131" t="s">
        <v>2195</v>
      </c>
      <c r="B1036" s="130">
        <v>95</v>
      </c>
      <c r="C1036" s="31"/>
      <c r="D1036" s="31"/>
      <c r="E1036" s="31"/>
      <c r="F1036" s="31"/>
      <c r="G1036" s="31"/>
    </row>
    <row r="1037" spans="1:7" x14ac:dyDescent="0.3">
      <c r="A1037" s="131" t="s">
        <v>2196</v>
      </c>
      <c r="B1037" s="130">
        <v>223</v>
      </c>
      <c r="C1037" s="31"/>
      <c r="D1037" s="31"/>
      <c r="E1037" s="31"/>
      <c r="F1037" s="31"/>
      <c r="G1037" s="31"/>
    </row>
    <row r="1038" spans="1:7" x14ac:dyDescent="0.3">
      <c r="A1038" s="131" t="s">
        <v>2197</v>
      </c>
      <c r="B1038" s="130">
        <v>245</v>
      </c>
      <c r="C1038" s="31"/>
      <c r="D1038" s="31"/>
      <c r="E1038" s="31"/>
      <c r="F1038" s="31"/>
      <c r="G1038" s="31"/>
    </row>
    <row r="1039" spans="1:7" x14ac:dyDescent="0.3">
      <c r="A1039" s="131" t="s">
        <v>2198</v>
      </c>
      <c r="B1039" s="130">
        <v>221</v>
      </c>
      <c r="C1039" s="31"/>
      <c r="D1039" s="31"/>
      <c r="E1039" s="31"/>
      <c r="F1039" s="31"/>
      <c r="G1039" s="31"/>
    </row>
    <row r="1040" spans="1:7" x14ac:dyDescent="0.3">
      <c r="A1040" s="131" t="s">
        <v>2199</v>
      </c>
      <c r="B1040" s="130">
        <v>458</v>
      </c>
      <c r="C1040" s="31"/>
      <c r="D1040" s="31"/>
      <c r="E1040" s="31"/>
      <c r="F1040" s="31"/>
      <c r="G1040" s="31"/>
    </row>
    <row r="1041" spans="1:7" x14ac:dyDescent="0.3">
      <c r="A1041" s="131" t="s">
        <v>2200</v>
      </c>
      <c r="B1041" s="130">
        <v>115</v>
      </c>
      <c r="C1041" s="31"/>
      <c r="D1041" s="31"/>
      <c r="E1041" s="31"/>
      <c r="F1041" s="31"/>
      <c r="G1041" s="31"/>
    </row>
    <row r="1042" spans="1:7" x14ac:dyDescent="0.3">
      <c r="A1042" s="131" t="s">
        <v>2201</v>
      </c>
      <c r="B1042" s="130">
        <v>0</v>
      </c>
      <c r="C1042" s="31"/>
      <c r="D1042" s="31"/>
      <c r="E1042" s="31"/>
      <c r="F1042" s="31"/>
      <c r="G1042" s="31"/>
    </row>
    <row r="1043" spans="1:7" x14ac:dyDescent="0.3">
      <c r="A1043" s="131" t="s">
        <v>2202</v>
      </c>
      <c r="B1043" s="130">
        <v>0</v>
      </c>
      <c r="C1043" s="31"/>
      <c r="D1043" s="31"/>
      <c r="E1043" s="31"/>
      <c r="F1043" s="31"/>
      <c r="G1043" s="31"/>
    </row>
    <row r="1044" spans="1:7" x14ac:dyDescent="0.3">
      <c r="A1044" s="131" t="s">
        <v>2203</v>
      </c>
      <c r="B1044" s="130">
        <v>47</v>
      </c>
      <c r="C1044" s="31"/>
      <c r="D1044" s="31"/>
      <c r="E1044" s="31"/>
      <c r="F1044" s="31"/>
      <c r="G1044" s="31"/>
    </row>
    <row r="1045" spans="1:7" x14ac:dyDescent="0.3">
      <c r="A1045" s="131" t="s">
        <v>2204</v>
      </c>
      <c r="B1045" s="130">
        <v>87</v>
      </c>
      <c r="C1045" s="31"/>
      <c r="D1045" s="31"/>
      <c r="E1045" s="31"/>
      <c r="F1045" s="31"/>
      <c r="G1045" s="31"/>
    </row>
    <row r="1046" spans="1:7" x14ac:dyDescent="0.3">
      <c r="A1046" s="131" t="s">
        <v>2205</v>
      </c>
      <c r="B1046" s="130">
        <v>71</v>
      </c>
      <c r="C1046" s="31"/>
      <c r="D1046" s="31"/>
      <c r="E1046" s="31"/>
      <c r="F1046" s="31"/>
      <c r="G1046" s="31"/>
    </row>
    <row r="1047" spans="1:7" x14ac:dyDescent="0.3">
      <c r="A1047" s="131" t="s">
        <v>2206</v>
      </c>
      <c r="B1047" s="130">
        <v>112</v>
      </c>
      <c r="C1047" s="31"/>
      <c r="D1047" s="31"/>
      <c r="E1047" s="31"/>
      <c r="F1047" s="31"/>
      <c r="G1047" s="31"/>
    </row>
    <row r="1048" spans="1:7" x14ac:dyDescent="0.3">
      <c r="A1048" s="131" t="s">
        <v>2207</v>
      </c>
      <c r="B1048" s="130" t="s">
        <v>1163</v>
      </c>
      <c r="C1048" s="31"/>
      <c r="D1048" s="31"/>
      <c r="E1048" s="31"/>
      <c r="F1048" s="31"/>
      <c r="G1048" s="31"/>
    </row>
    <row r="1049" spans="1:7" x14ac:dyDescent="0.3">
      <c r="A1049" s="131" t="s">
        <v>2208</v>
      </c>
      <c r="B1049" s="130">
        <v>0</v>
      </c>
      <c r="C1049" s="31"/>
      <c r="D1049" s="31"/>
      <c r="E1049" s="31"/>
      <c r="F1049" s="31"/>
      <c r="G1049" s="31"/>
    </row>
    <row r="1050" spans="1:7" x14ac:dyDescent="0.3">
      <c r="A1050" s="131" t="s">
        <v>2209</v>
      </c>
      <c r="B1050" s="130">
        <v>0</v>
      </c>
      <c r="C1050" s="31"/>
      <c r="D1050" s="31"/>
      <c r="E1050" s="31"/>
      <c r="F1050" s="31"/>
      <c r="G1050" s="31"/>
    </row>
    <row r="1051" spans="1:7" x14ac:dyDescent="0.3">
      <c r="A1051" s="131" t="s">
        <v>2210</v>
      </c>
      <c r="B1051" s="130">
        <v>60</v>
      </c>
      <c r="C1051" s="31"/>
      <c r="D1051" s="31"/>
      <c r="E1051" s="31"/>
      <c r="F1051" s="31"/>
      <c r="G1051" s="31"/>
    </row>
    <row r="1052" spans="1:7" x14ac:dyDescent="0.3">
      <c r="A1052" s="131" t="s">
        <v>2211</v>
      </c>
      <c r="B1052" s="130">
        <v>119</v>
      </c>
      <c r="C1052" s="31"/>
      <c r="D1052" s="31"/>
      <c r="E1052" s="31"/>
      <c r="F1052" s="31"/>
      <c r="G1052" s="31"/>
    </row>
    <row r="1053" spans="1:7" x14ac:dyDescent="0.3">
      <c r="A1053" s="131" t="s">
        <v>2212</v>
      </c>
      <c r="B1053" s="130">
        <v>162</v>
      </c>
      <c r="C1053" s="31"/>
      <c r="D1053" s="31"/>
      <c r="E1053" s="31"/>
      <c r="F1053" s="31"/>
      <c r="G1053" s="31"/>
    </row>
    <row r="1054" spans="1:7" x14ac:dyDescent="0.3">
      <c r="A1054" s="131" t="s">
        <v>2213</v>
      </c>
      <c r="B1054" s="130">
        <v>163</v>
      </c>
      <c r="C1054" s="31"/>
      <c r="D1054" s="31"/>
      <c r="E1054" s="31"/>
      <c r="F1054" s="31"/>
      <c r="G1054" s="31"/>
    </row>
    <row r="1055" spans="1:7" x14ac:dyDescent="0.3">
      <c r="A1055" s="131" t="s">
        <v>2214</v>
      </c>
      <c r="B1055" s="130">
        <v>60</v>
      </c>
      <c r="C1055" s="31"/>
      <c r="D1055" s="31"/>
      <c r="E1055" s="31"/>
      <c r="F1055" s="31"/>
      <c r="G1055" s="31"/>
    </row>
    <row r="1056" spans="1:7" x14ac:dyDescent="0.3">
      <c r="A1056" s="131" t="s">
        <v>2215</v>
      </c>
      <c r="B1056" s="130">
        <v>65</v>
      </c>
      <c r="C1056" s="31"/>
      <c r="D1056" s="31"/>
      <c r="E1056" s="31"/>
      <c r="F1056" s="31"/>
      <c r="G1056" s="31"/>
    </row>
    <row r="1057" spans="1:7" x14ac:dyDescent="0.3">
      <c r="A1057" s="131" t="s">
        <v>2216</v>
      </c>
      <c r="B1057" s="130">
        <v>127</v>
      </c>
      <c r="C1057" s="31"/>
      <c r="D1057" s="31"/>
      <c r="E1057" s="31"/>
      <c r="F1057" s="31"/>
      <c r="G1057" s="31"/>
    </row>
    <row r="1058" spans="1:7" x14ac:dyDescent="0.3">
      <c r="A1058" s="131" t="s">
        <v>2217</v>
      </c>
      <c r="B1058" s="130">
        <v>67</v>
      </c>
      <c r="C1058" s="31"/>
      <c r="D1058" s="31"/>
      <c r="E1058" s="31"/>
      <c r="F1058" s="31"/>
      <c r="G1058" s="31"/>
    </row>
    <row r="1059" spans="1:7" x14ac:dyDescent="0.3">
      <c r="A1059" s="131" t="s">
        <v>2218</v>
      </c>
      <c r="B1059" s="130">
        <v>61</v>
      </c>
      <c r="C1059" s="31"/>
      <c r="D1059" s="31"/>
      <c r="E1059" s="31"/>
      <c r="F1059" s="31"/>
      <c r="G1059" s="31"/>
    </row>
    <row r="1060" spans="1:7" x14ac:dyDescent="0.3">
      <c r="A1060" s="131" t="s">
        <v>2219</v>
      </c>
      <c r="B1060" s="130">
        <v>67</v>
      </c>
      <c r="C1060" s="31"/>
      <c r="D1060" s="31"/>
      <c r="E1060" s="31"/>
      <c r="F1060" s="31"/>
      <c r="G1060" s="31"/>
    </row>
    <row r="1061" spans="1:7" x14ac:dyDescent="0.3">
      <c r="A1061" s="131" t="s">
        <v>2220</v>
      </c>
      <c r="B1061" s="130">
        <v>100</v>
      </c>
      <c r="C1061" s="31"/>
      <c r="D1061" s="31"/>
      <c r="E1061" s="31"/>
      <c r="F1061" s="31"/>
      <c r="G1061" s="31"/>
    </row>
    <row r="1062" spans="1:7" x14ac:dyDescent="0.3">
      <c r="A1062" s="131" t="s">
        <v>2221</v>
      </c>
      <c r="B1062" s="130">
        <v>457</v>
      </c>
      <c r="C1062" s="31"/>
      <c r="D1062" s="31"/>
      <c r="E1062" s="31"/>
      <c r="F1062" s="31"/>
      <c r="G1062" s="31"/>
    </row>
    <row r="1063" spans="1:7" x14ac:dyDescent="0.3">
      <c r="A1063" s="131" t="s">
        <v>2222</v>
      </c>
      <c r="B1063" s="130">
        <v>248</v>
      </c>
      <c r="C1063" s="31"/>
      <c r="D1063" s="31"/>
      <c r="E1063" s="31"/>
      <c r="F1063" s="31"/>
      <c r="G1063" s="31"/>
    </row>
    <row r="1064" spans="1:7" x14ac:dyDescent="0.3">
      <c r="A1064" s="131" t="s">
        <v>2223</v>
      </c>
      <c r="B1064" s="130">
        <v>217</v>
      </c>
      <c r="C1064" s="31"/>
      <c r="D1064" s="31"/>
      <c r="E1064" s="31"/>
      <c r="F1064" s="31"/>
      <c r="G1064" s="31"/>
    </row>
    <row r="1065" spans="1:7" x14ac:dyDescent="0.3">
      <c r="A1065" s="131" t="s">
        <v>2224</v>
      </c>
      <c r="B1065" s="130">
        <v>237</v>
      </c>
      <c r="C1065" s="31"/>
      <c r="D1065" s="31"/>
      <c r="E1065" s="31"/>
      <c r="F1065" s="31"/>
      <c r="G1065" s="31"/>
    </row>
    <row r="1066" spans="1:7" x14ac:dyDescent="0.3">
      <c r="A1066" s="131" t="s">
        <v>2225</v>
      </c>
      <c r="B1066" s="130">
        <v>218</v>
      </c>
      <c r="C1066" s="31"/>
      <c r="D1066" s="31"/>
      <c r="E1066" s="31"/>
      <c r="F1066" s="31"/>
      <c r="G1066" s="31"/>
    </row>
    <row r="1067" spans="1:7" x14ac:dyDescent="0.3">
      <c r="A1067" s="131" t="s">
        <v>2226</v>
      </c>
      <c r="B1067" s="130">
        <v>92</v>
      </c>
      <c r="C1067" s="31"/>
      <c r="D1067" s="31"/>
      <c r="E1067" s="31"/>
      <c r="F1067" s="31"/>
      <c r="G1067" s="31"/>
    </row>
    <row r="1068" spans="1:7" x14ac:dyDescent="0.3">
      <c r="A1068" s="131" t="s">
        <v>2227</v>
      </c>
      <c r="B1068" s="130">
        <v>267</v>
      </c>
      <c r="C1068" s="31"/>
      <c r="D1068" s="31"/>
      <c r="E1068" s="31"/>
      <c r="F1068" s="31"/>
      <c r="G1068" s="31"/>
    </row>
    <row r="1069" spans="1:7" x14ac:dyDescent="0.3">
      <c r="A1069" s="131" t="s">
        <v>2228</v>
      </c>
      <c r="B1069" s="130">
        <v>407</v>
      </c>
      <c r="C1069" s="31"/>
      <c r="D1069" s="31"/>
      <c r="E1069" s="31"/>
      <c r="F1069" s="31"/>
      <c r="G1069" s="31"/>
    </row>
    <row r="1070" spans="1:7" x14ac:dyDescent="0.3">
      <c r="A1070" s="131" t="s">
        <v>2229</v>
      </c>
      <c r="B1070" s="130">
        <v>255</v>
      </c>
      <c r="C1070" s="31"/>
      <c r="D1070" s="31"/>
      <c r="E1070" s="31"/>
      <c r="F1070" s="31"/>
      <c r="G1070" s="31"/>
    </row>
    <row r="1071" spans="1:7" x14ac:dyDescent="0.3">
      <c r="A1071" s="131" t="s">
        <v>2230</v>
      </c>
      <c r="B1071" s="130">
        <v>279</v>
      </c>
      <c r="C1071" s="31"/>
      <c r="D1071" s="31"/>
      <c r="E1071" s="31"/>
      <c r="F1071" s="31"/>
      <c r="G1071" s="31"/>
    </row>
    <row r="1072" spans="1:7" x14ac:dyDescent="0.3">
      <c r="A1072" s="131" t="s">
        <v>2231</v>
      </c>
      <c r="B1072" s="130">
        <v>69</v>
      </c>
      <c r="C1072" s="31"/>
      <c r="D1072" s="31"/>
      <c r="E1072" s="31"/>
      <c r="F1072" s="31"/>
      <c r="G1072" s="31"/>
    </row>
    <row r="1073" spans="1:7" x14ac:dyDescent="0.3">
      <c r="A1073" s="131" t="s">
        <v>2232</v>
      </c>
      <c r="B1073" s="130">
        <v>80</v>
      </c>
      <c r="C1073" s="31"/>
      <c r="D1073" s="31"/>
      <c r="E1073" s="31"/>
      <c r="F1073" s="31"/>
      <c r="G1073" s="31"/>
    </row>
    <row r="1074" spans="1:7" x14ac:dyDescent="0.3">
      <c r="A1074" s="131" t="s">
        <v>2233</v>
      </c>
      <c r="B1074" s="130">
        <v>302</v>
      </c>
      <c r="C1074" s="31"/>
      <c r="D1074" s="31"/>
      <c r="E1074" s="31"/>
      <c r="F1074" s="31"/>
      <c r="G1074" s="31"/>
    </row>
    <row r="1075" spans="1:7" x14ac:dyDescent="0.3">
      <c r="A1075" s="131" t="s">
        <v>2234</v>
      </c>
      <c r="B1075" s="130">
        <v>471</v>
      </c>
      <c r="C1075" s="31"/>
      <c r="D1075" s="31"/>
      <c r="E1075" s="31"/>
      <c r="F1075" s="31"/>
      <c r="G1075" s="31"/>
    </row>
    <row r="1076" spans="1:7" x14ac:dyDescent="0.3">
      <c r="A1076" s="131" t="s">
        <v>2235</v>
      </c>
      <c r="B1076" s="130">
        <v>90</v>
      </c>
      <c r="C1076" s="31"/>
      <c r="D1076" s="31"/>
      <c r="E1076" s="31"/>
      <c r="F1076" s="31"/>
      <c r="G1076" s="31"/>
    </row>
    <row r="1077" spans="1:7" x14ac:dyDescent="0.3">
      <c r="A1077" s="131" t="s">
        <v>2236</v>
      </c>
      <c r="B1077" s="130">
        <v>32</v>
      </c>
      <c r="C1077" s="31"/>
      <c r="D1077" s="31"/>
      <c r="E1077" s="31"/>
      <c r="F1077" s="31"/>
      <c r="G1077" s="31"/>
    </row>
    <row r="1078" spans="1:7" x14ac:dyDescent="0.3">
      <c r="A1078" s="131" t="s">
        <v>2237</v>
      </c>
      <c r="B1078" s="130">
        <v>224</v>
      </c>
      <c r="C1078" s="31"/>
      <c r="D1078" s="31"/>
      <c r="E1078" s="31"/>
      <c r="F1078" s="31"/>
      <c r="G1078" s="31"/>
    </row>
    <row r="1079" spans="1:7" x14ac:dyDescent="0.3">
      <c r="A1079" s="131" t="s">
        <v>2238</v>
      </c>
      <c r="B1079" s="130">
        <v>363</v>
      </c>
      <c r="C1079" s="31"/>
      <c r="D1079" s="31"/>
      <c r="E1079" s="31"/>
      <c r="F1079" s="31"/>
      <c r="G1079" s="31"/>
    </row>
    <row r="1080" spans="1:7" x14ac:dyDescent="0.3">
      <c r="A1080" s="131" t="s">
        <v>2239</v>
      </c>
      <c r="B1080" s="130">
        <v>60</v>
      </c>
      <c r="C1080" s="31"/>
      <c r="D1080" s="31"/>
      <c r="E1080" s="31"/>
      <c r="F1080" s="31"/>
      <c r="G1080" s="31"/>
    </row>
    <row r="1081" spans="1:7" x14ac:dyDescent="0.3">
      <c r="A1081" s="131" t="s">
        <v>2240</v>
      </c>
      <c r="B1081" s="130">
        <v>193</v>
      </c>
      <c r="C1081" s="31"/>
      <c r="D1081" s="31"/>
      <c r="E1081" s="31"/>
      <c r="F1081" s="31"/>
      <c r="G1081" s="31"/>
    </row>
    <row r="1082" spans="1:7" x14ac:dyDescent="0.3">
      <c r="A1082" s="131" t="s">
        <v>2241</v>
      </c>
      <c r="B1082" s="130" t="s">
        <v>1163</v>
      </c>
      <c r="C1082" s="31"/>
      <c r="D1082" s="31"/>
      <c r="E1082" s="31"/>
      <c r="F1082" s="31"/>
      <c r="G1082" s="31"/>
    </row>
    <row r="1083" spans="1:7" x14ac:dyDescent="0.3">
      <c r="A1083" s="131" t="s">
        <v>2242</v>
      </c>
      <c r="B1083" s="130">
        <v>280</v>
      </c>
      <c r="C1083" s="31"/>
      <c r="D1083" s="31"/>
      <c r="E1083" s="31"/>
      <c r="F1083" s="31"/>
      <c r="G1083" s="31"/>
    </row>
    <row r="1084" spans="1:7" x14ac:dyDescent="0.3">
      <c r="A1084" s="131" t="s">
        <v>2243</v>
      </c>
      <c r="B1084" s="130">
        <v>350</v>
      </c>
      <c r="C1084" s="31"/>
      <c r="D1084" s="31"/>
      <c r="E1084" s="31"/>
      <c r="F1084" s="31"/>
      <c r="G1084" s="31"/>
    </row>
    <row r="1085" spans="1:7" x14ac:dyDescent="0.3">
      <c r="A1085" s="131" t="s">
        <v>2244</v>
      </c>
      <c r="B1085" s="130">
        <v>216</v>
      </c>
      <c r="C1085" s="31"/>
      <c r="D1085" s="31"/>
      <c r="E1085" s="31"/>
      <c r="F1085" s="31"/>
      <c r="G1085" s="31"/>
    </row>
    <row r="1086" spans="1:7" x14ac:dyDescent="0.3">
      <c r="A1086" s="131" t="s">
        <v>2245</v>
      </c>
      <c r="B1086" s="130">
        <v>85</v>
      </c>
      <c r="C1086" s="31"/>
      <c r="D1086" s="31"/>
      <c r="E1086" s="31"/>
      <c r="F1086" s="31"/>
      <c r="G1086" s="31"/>
    </row>
    <row r="1087" spans="1:7" x14ac:dyDescent="0.3">
      <c r="A1087" s="131" t="s">
        <v>2246</v>
      </c>
      <c r="B1087" s="130">
        <v>98</v>
      </c>
      <c r="C1087" s="31"/>
      <c r="D1087" s="31"/>
      <c r="E1087" s="31"/>
      <c r="F1087" s="31"/>
      <c r="G1087" s="31"/>
    </row>
    <row r="1088" spans="1:7" x14ac:dyDescent="0.3">
      <c r="A1088" s="131" t="s">
        <v>2247</v>
      </c>
      <c r="B1088" s="130">
        <v>54</v>
      </c>
      <c r="C1088" s="31"/>
      <c r="D1088" s="31"/>
      <c r="E1088" s="31"/>
      <c r="F1088" s="31"/>
      <c r="G1088" s="31"/>
    </row>
    <row r="1089" spans="1:7" x14ac:dyDescent="0.3">
      <c r="A1089" s="131" t="s">
        <v>2248</v>
      </c>
      <c r="B1089" s="130">
        <v>183</v>
      </c>
      <c r="C1089" s="31"/>
      <c r="D1089" s="31"/>
      <c r="E1089" s="31"/>
      <c r="F1089" s="31"/>
      <c r="G1089" s="31"/>
    </row>
    <row r="1090" spans="1:7" x14ac:dyDescent="0.3">
      <c r="A1090" s="131" t="s">
        <v>2249</v>
      </c>
      <c r="B1090" s="130">
        <v>63</v>
      </c>
      <c r="C1090" s="31"/>
      <c r="D1090" s="31"/>
      <c r="E1090" s="31"/>
      <c r="F1090" s="31"/>
      <c r="G1090" s="31"/>
    </row>
    <row r="1091" spans="1:7" x14ac:dyDescent="0.3">
      <c r="A1091" s="131" t="s">
        <v>2250</v>
      </c>
      <c r="B1091" s="130">
        <v>368</v>
      </c>
      <c r="C1091" s="31"/>
      <c r="D1091" s="31"/>
      <c r="E1091" s="31"/>
      <c r="F1091" s="31"/>
      <c r="G1091" s="31"/>
    </row>
    <row r="1092" spans="1:7" x14ac:dyDescent="0.3">
      <c r="A1092" s="131" t="s">
        <v>2251</v>
      </c>
      <c r="B1092" s="130">
        <v>340</v>
      </c>
      <c r="C1092" s="31"/>
      <c r="D1092" s="31"/>
      <c r="E1092" s="31"/>
      <c r="F1092" s="31"/>
      <c r="G1092" s="31"/>
    </row>
    <row r="1093" spans="1:7" x14ac:dyDescent="0.3">
      <c r="A1093" s="131" t="s">
        <v>2252</v>
      </c>
      <c r="B1093" s="130">
        <v>96</v>
      </c>
      <c r="C1093" s="31"/>
      <c r="D1093" s="31"/>
      <c r="E1093" s="31"/>
      <c r="F1093" s="31"/>
      <c r="G1093" s="31"/>
    </row>
    <row r="1094" spans="1:7" x14ac:dyDescent="0.3">
      <c r="A1094" s="131" t="s">
        <v>2253</v>
      </c>
      <c r="B1094" s="130">
        <v>208</v>
      </c>
      <c r="C1094" s="31"/>
      <c r="D1094" s="31"/>
      <c r="E1094" s="31"/>
      <c r="F1094" s="31"/>
      <c r="G1094" s="31"/>
    </row>
    <row r="1095" spans="1:7" x14ac:dyDescent="0.3">
      <c r="A1095" s="131" t="s">
        <v>2254</v>
      </c>
      <c r="B1095" s="130">
        <v>102</v>
      </c>
      <c r="C1095" s="31"/>
      <c r="D1095" s="31"/>
      <c r="E1095" s="31"/>
      <c r="F1095" s="31"/>
      <c r="G1095" s="31"/>
    </row>
    <row r="1096" spans="1:7" x14ac:dyDescent="0.3">
      <c r="A1096" s="131" t="s">
        <v>2255</v>
      </c>
      <c r="B1096" s="130">
        <v>94</v>
      </c>
      <c r="C1096" s="31"/>
      <c r="D1096" s="31"/>
      <c r="E1096" s="31"/>
      <c r="F1096" s="31"/>
      <c r="G1096" s="31"/>
    </row>
    <row r="1097" spans="1:7" x14ac:dyDescent="0.3">
      <c r="A1097" s="131" t="s">
        <v>2256</v>
      </c>
      <c r="B1097" s="130">
        <v>208</v>
      </c>
      <c r="C1097" s="31"/>
      <c r="D1097" s="31"/>
      <c r="E1097" s="31"/>
      <c r="F1097" s="31"/>
      <c r="G1097" s="31"/>
    </row>
    <row r="1098" spans="1:7" x14ac:dyDescent="0.3">
      <c r="A1098" s="131" t="s">
        <v>2257</v>
      </c>
      <c r="B1098" s="130">
        <v>65</v>
      </c>
      <c r="C1098" s="31"/>
      <c r="D1098" s="31"/>
      <c r="E1098" s="31"/>
      <c r="F1098" s="31"/>
      <c r="G1098" s="31"/>
    </row>
    <row r="1099" spans="1:7" x14ac:dyDescent="0.3">
      <c r="A1099" s="131" t="s">
        <v>2258</v>
      </c>
      <c r="B1099" s="130">
        <v>84</v>
      </c>
      <c r="C1099" s="31"/>
      <c r="D1099" s="31"/>
      <c r="E1099" s="31"/>
      <c r="F1099" s="31"/>
      <c r="G1099" s="31"/>
    </row>
    <row r="1100" spans="1:7" x14ac:dyDescent="0.3">
      <c r="A1100" s="131" t="s">
        <v>2259</v>
      </c>
      <c r="B1100" s="130">
        <v>127</v>
      </c>
      <c r="C1100" s="31"/>
      <c r="D1100" s="31"/>
      <c r="E1100" s="31"/>
      <c r="F1100" s="31"/>
      <c r="G1100" s="31"/>
    </row>
    <row r="1101" spans="1:7" x14ac:dyDescent="0.3">
      <c r="A1101" s="131" t="s">
        <v>2260</v>
      </c>
      <c r="B1101" s="130">
        <v>129</v>
      </c>
      <c r="C1101" s="31"/>
      <c r="D1101" s="31"/>
      <c r="E1101" s="31"/>
      <c r="F1101" s="31"/>
      <c r="G1101" s="31"/>
    </row>
    <row r="1102" spans="1:7" x14ac:dyDescent="0.3">
      <c r="A1102" s="131" t="s">
        <v>2261</v>
      </c>
      <c r="B1102" s="130">
        <v>149</v>
      </c>
      <c r="C1102" s="31"/>
      <c r="D1102" s="31"/>
      <c r="E1102" s="31"/>
      <c r="F1102" s="31"/>
      <c r="G1102" s="31"/>
    </row>
    <row r="1103" spans="1:7" x14ac:dyDescent="0.3">
      <c r="A1103" s="131" t="s">
        <v>2262</v>
      </c>
      <c r="B1103" s="130">
        <v>119</v>
      </c>
      <c r="C1103" s="31"/>
      <c r="D1103" s="31"/>
      <c r="E1103" s="31"/>
      <c r="F1103" s="31"/>
      <c r="G1103" s="31"/>
    </row>
    <row r="1104" spans="1:7" x14ac:dyDescent="0.3">
      <c r="A1104" s="131" t="s">
        <v>2263</v>
      </c>
      <c r="B1104" s="130">
        <v>98</v>
      </c>
      <c r="C1104" s="31"/>
      <c r="D1104" s="31"/>
      <c r="E1104" s="31"/>
      <c r="F1104" s="31"/>
      <c r="G1104" s="31"/>
    </row>
    <row r="1105" spans="1:7" x14ac:dyDescent="0.3">
      <c r="A1105" s="131" t="s">
        <v>2264</v>
      </c>
      <c r="B1105" s="130">
        <v>363</v>
      </c>
      <c r="C1105" s="31"/>
      <c r="D1105" s="31"/>
      <c r="E1105" s="31"/>
      <c r="F1105" s="31"/>
      <c r="G1105" s="31"/>
    </row>
    <row r="1106" spans="1:7" x14ac:dyDescent="0.3">
      <c r="A1106" s="131" t="s">
        <v>2265</v>
      </c>
      <c r="B1106" s="130">
        <v>173</v>
      </c>
      <c r="C1106" s="31"/>
      <c r="D1106" s="31"/>
      <c r="E1106" s="31"/>
      <c r="F1106" s="31"/>
      <c r="G1106" s="31"/>
    </row>
    <row r="1107" spans="1:7" x14ac:dyDescent="0.3">
      <c r="A1107" s="131" t="s">
        <v>2266</v>
      </c>
      <c r="B1107" s="130">
        <v>213</v>
      </c>
      <c r="C1107" s="31"/>
      <c r="D1107" s="31"/>
      <c r="E1107" s="31"/>
      <c r="F1107" s="31"/>
      <c r="G1107" s="31"/>
    </row>
    <row r="1108" spans="1:7" x14ac:dyDescent="0.3">
      <c r="A1108" s="131" t="s">
        <v>2267</v>
      </c>
      <c r="B1108" s="130">
        <v>124</v>
      </c>
      <c r="C1108" s="31"/>
      <c r="D1108" s="31"/>
      <c r="E1108" s="31"/>
      <c r="F1108" s="31"/>
      <c r="G1108" s="31"/>
    </row>
    <row r="1109" spans="1:7" x14ac:dyDescent="0.3">
      <c r="A1109" s="131" t="s">
        <v>2268</v>
      </c>
      <c r="B1109" s="130">
        <v>170</v>
      </c>
      <c r="C1109" s="31"/>
      <c r="D1109" s="31"/>
      <c r="E1109" s="31"/>
      <c r="F1109" s="31"/>
      <c r="G1109" s="31"/>
    </row>
    <row r="1110" spans="1:7" x14ac:dyDescent="0.3">
      <c r="A1110" s="131" t="s">
        <v>2269</v>
      </c>
      <c r="B1110" s="130">
        <v>155</v>
      </c>
      <c r="C1110" s="31"/>
      <c r="D1110" s="31"/>
      <c r="E1110" s="31"/>
      <c r="F1110" s="31"/>
      <c r="G1110" s="31"/>
    </row>
    <row r="1111" spans="1:7" x14ac:dyDescent="0.3">
      <c r="A1111" s="131" t="s">
        <v>2270</v>
      </c>
      <c r="B1111" s="130">
        <v>301</v>
      </c>
      <c r="C1111" s="31"/>
      <c r="D1111" s="31"/>
      <c r="E1111" s="31"/>
      <c r="F1111" s="31"/>
      <c r="G1111" s="31"/>
    </row>
    <row r="1112" spans="1:7" x14ac:dyDescent="0.3">
      <c r="A1112" s="131" t="s">
        <v>2271</v>
      </c>
      <c r="B1112" s="130">
        <v>231</v>
      </c>
      <c r="C1112" s="31"/>
      <c r="D1112" s="31"/>
      <c r="E1112" s="31"/>
      <c r="F1112" s="31"/>
      <c r="G1112" s="31"/>
    </row>
    <row r="1113" spans="1:7" x14ac:dyDescent="0.3">
      <c r="A1113" s="131" t="s">
        <v>2272</v>
      </c>
      <c r="B1113" s="130">
        <v>151</v>
      </c>
      <c r="C1113" s="31"/>
      <c r="D1113" s="31"/>
      <c r="E1113" s="31"/>
      <c r="F1113" s="31"/>
      <c r="G1113" s="31"/>
    </row>
    <row r="1114" spans="1:7" x14ac:dyDescent="0.3">
      <c r="A1114" s="131" t="s">
        <v>2273</v>
      </c>
      <c r="B1114" s="130">
        <v>222</v>
      </c>
      <c r="C1114" s="31"/>
      <c r="D1114" s="31"/>
      <c r="E1114" s="31"/>
      <c r="F1114" s="31"/>
      <c r="G1114" s="31"/>
    </row>
    <row r="1115" spans="1:7" x14ac:dyDescent="0.3">
      <c r="A1115" s="131" t="s">
        <v>2274</v>
      </c>
      <c r="B1115" s="130">
        <v>257</v>
      </c>
      <c r="C1115" s="31"/>
      <c r="D1115" s="31"/>
      <c r="E1115" s="31"/>
      <c r="F1115" s="31"/>
      <c r="G1115" s="31"/>
    </row>
    <row r="1116" spans="1:7" x14ac:dyDescent="0.3">
      <c r="A1116" s="131" t="s">
        <v>2275</v>
      </c>
      <c r="B1116" s="130">
        <v>282</v>
      </c>
      <c r="C1116" s="31"/>
      <c r="D1116" s="31"/>
      <c r="E1116" s="31"/>
      <c r="F1116" s="31"/>
      <c r="G1116" s="31"/>
    </row>
    <row r="1117" spans="1:7" x14ac:dyDescent="0.3">
      <c r="A1117" s="131" t="s">
        <v>2276</v>
      </c>
      <c r="B1117" s="130">
        <v>0</v>
      </c>
      <c r="C1117" s="31"/>
      <c r="D1117" s="31"/>
      <c r="E1117" s="31"/>
      <c r="F1117" s="31"/>
      <c r="G1117" s="31"/>
    </row>
    <row r="1118" spans="1:7" x14ac:dyDescent="0.3">
      <c r="A1118" s="131" t="s">
        <v>2277</v>
      </c>
      <c r="B1118" s="130">
        <v>0</v>
      </c>
      <c r="C1118" s="31"/>
      <c r="D1118" s="31"/>
      <c r="E1118" s="31"/>
      <c r="F1118" s="31"/>
      <c r="G1118" s="31"/>
    </row>
    <row r="1119" spans="1:7" x14ac:dyDescent="0.3">
      <c r="A1119" s="131" t="s">
        <v>2278</v>
      </c>
      <c r="B1119" s="130">
        <v>0</v>
      </c>
      <c r="C1119" s="31"/>
      <c r="D1119" s="31"/>
      <c r="E1119" s="31"/>
      <c r="F1119" s="31"/>
      <c r="G1119" s="31"/>
    </row>
    <row r="1120" spans="1:7" x14ac:dyDescent="0.3">
      <c r="A1120" s="131" t="s">
        <v>2279</v>
      </c>
      <c r="B1120" s="130">
        <v>0</v>
      </c>
      <c r="C1120" s="31"/>
      <c r="D1120" s="31"/>
      <c r="E1120" s="31"/>
      <c r="F1120" s="31"/>
      <c r="G1120" s="31"/>
    </row>
    <row r="1121" spans="1:7" x14ac:dyDescent="0.3">
      <c r="A1121" s="131" t="s">
        <v>2280</v>
      </c>
      <c r="B1121" s="130">
        <v>0</v>
      </c>
      <c r="C1121" s="31"/>
      <c r="D1121" s="31"/>
      <c r="E1121" s="31"/>
      <c r="F1121" s="31"/>
      <c r="G1121" s="31"/>
    </row>
    <row r="1122" spans="1:7" x14ac:dyDescent="0.3">
      <c r="A1122" s="131" t="s">
        <v>2281</v>
      </c>
      <c r="B1122" s="130">
        <v>0</v>
      </c>
      <c r="C1122" s="31"/>
      <c r="D1122" s="31"/>
      <c r="E1122" s="31"/>
      <c r="F1122" s="31"/>
      <c r="G1122" s="31"/>
    </row>
    <row r="1123" spans="1:7" x14ac:dyDescent="0.3">
      <c r="A1123" s="131" t="s">
        <v>2282</v>
      </c>
      <c r="B1123" s="130">
        <v>0</v>
      </c>
      <c r="C1123" s="31"/>
      <c r="D1123" s="31"/>
      <c r="E1123" s="31"/>
      <c r="F1123" s="31"/>
      <c r="G1123" s="31"/>
    </row>
    <row r="1124" spans="1:7" x14ac:dyDescent="0.3">
      <c r="A1124" s="131" t="s">
        <v>2283</v>
      </c>
      <c r="B1124" s="130">
        <v>0</v>
      </c>
      <c r="C1124" s="31"/>
      <c r="D1124" s="31"/>
      <c r="E1124" s="31"/>
      <c r="F1124" s="31"/>
      <c r="G1124" s="31"/>
    </row>
    <row r="1125" spans="1:7" x14ac:dyDescent="0.3">
      <c r="A1125" s="131" t="s">
        <v>2284</v>
      </c>
      <c r="B1125" s="130">
        <v>0</v>
      </c>
      <c r="C1125" s="31"/>
      <c r="D1125" s="31"/>
      <c r="E1125" s="31"/>
      <c r="F1125" s="31"/>
      <c r="G1125" s="31"/>
    </row>
    <row r="1126" spans="1:7" x14ac:dyDescent="0.3">
      <c r="A1126" s="131" t="s">
        <v>2285</v>
      </c>
      <c r="B1126" s="130">
        <v>0</v>
      </c>
      <c r="C1126" s="31"/>
      <c r="D1126" s="31"/>
      <c r="E1126" s="31"/>
      <c r="F1126" s="31"/>
      <c r="G1126" s="31"/>
    </row>
    <row r="1127" spans="1:7" x14ac:dyDescent="0.3">
      <c r="A1127" s="131" t="s">
        <v>2286</v>
      </c>
      <c r="B1127" s="130">
        <v>0</v>
      </c>
      <c r="C1127" s="31"/>
      <c r="D1127" s="31"/>
      <c r="E1127" s="31"/>
      <c r="F1127" s="31"/>
      <c r="G1127" s="31"/>
    </row>
    <row r="1128" spans="1:7" x14ac:dyDescent="0.3">
      <c r="A1128" s="131" t="s">
        <v>2287</v>
      </c>
      <c r="B1128" s="130">
        <v>133</v>
      </c>
      <c r="C1128" s="31"/>
      <c r="D1128" s="31"/>
      <c r="E1128" s="31"/>
      <c r="F1128" s="31"/>
      <c r="G1128" s="31"/>
    </row>
    <row r="1129" spans="1:7" x14ac:dyDescent="0.3">
      <c r="A1129" s="131" t="s">
        <v>2288</v>
      </c>
      <c r="B1129" s="130">
        <v>126</v>
      </c>
      <c r="C1129" s="31"/>
      <c r="D1129" s="31"/>
      <c r="E1129" s="31"/>
      <c r="F1129" s="31"/>
      <c r="G1129" s="31"/>
    </row>
    <row r="1130" spans="1:7" x14ac:dyDescent="0.3">
      <c r="A1130" s="131" t="s">
        <v>2289</v>
      </c>
      <c r="B1130" s="130">
        <v>227</v>
      </c>
      <c r="C1130" s="31"/>
      <c r="D1130" s="31"/>
      <c r="E1130" s="31"/>
      <c r="F1130" s="31"/>
      <c r="G1130" s="31"/>
    </row>
    <row r="1131" spans="1:7" x14ac:dyDescent="0.3">
      <c r="A1131" s="131" t="s">
        <v>2290</v>
      </c>
      <c r="B1131" s="130">
        <v>351</v>
      </c>
      <c r="C1131" s="31"/>
      <c r="D1131" s="31"/>
      <c r="E1131" s="31"/>
      <c r="F1131" s="31"/>
      <c r="G1131" s="31"/>
    </row>
    <row r="1132" spans="1:7" x14ac:dyDescent="0.3">
      <c r="A1132" s="131" t="s">
        <v>2291</v>
      </c>
      <c r="B1132" s="130">
        <v>312</v>
      </c>
      <c r="C1132" s="31"/>
      <c r="D1132" s="31"/>
      <c r="E1132" s="31"/>
      <c r="F1132" s="31"/>
      <c r="G1132" s="31"/>
    </row>
    <row r="1133" spans="1:7" x14ac:dyDescent="0.3">
      <c r="A1133" s="131" t="s">
        <v>2292</v>
      </c>
      <c r="B1133" s="130">
        <v>474</v>
      </c>
      <c r="C1133" s="31"/>
      <c r="D1133" s="31"/>
      <c r="E1133" s="31"/>
      <c r="F1133" s="31"/>
      <c r="G1133" s="31"/>
    </row>
    <row r="1134" spans="1:7" x14ac:dyDescent="0.3">
      <c r="A1134" s="131" t="s">
        <v>2293</v>
      </c>
      <c r="B1134" s="130">
        <v>351</v>
      </c>
      <c r="C1134" s="31"/>
      <c r="D1134" s="31"/>
      <c r="E1134" s="31"/>
      <c r="F1134" s="31"/>
      <c r="G1134" s="31"/>
    </row>
    <row r="1135" spans="1:7" x14ac:dyDescent="0.3">
      <c r="A1135" s="131" t="s">
        <v>2294</v>
      </c>
      <c r="B1135" s="130">
        <v>370</v>
      </c>
      <c r="C1135" s="31"/>
      <c r="D1135" s="31"/>
      <c r="E1135" s="31"/>
      <c r="F1135" s="31"/>
      <c r="G1135" s="31"/>
    </row>
    <row r="1136" spans="1:7" x14ac:dyDescent="0.3">
      <c r="A1136" s="131" t="s">
        <v>2295</v>
      </c>
      <c r="B1136" s="130">
        <v>439</v>
      </c>
      <c r="C1136" s="31"/>
      <c r="D1136" s="31"/>
      <c r="E1136" s="31"/>
      <c r="F1136" s="31"/>
      <c r="G1136" s="31"/>
    </row>
    <row r="1137" spans="1:7" x14ac:dyDescent="0.3">
      <c r="A1137" s="131" t="s">
        <v>2296</v>
      </c>
      <c r="B1137" s="130">
        <v>118</v>
      </c>
      <c r="C1137" s="31"/>
      <c r="D1137" s="31"/>
      <c r="E1137" s="31"/>
      <c r="F1137" s="31"/>
      <c r="G1137" s="31"/>
    </row>
    <row r="1138" spans="1:7" x14ac:dyDescent="0.3">
      <c r="A1138" s="131" t="s">
        <v>2297</v>
      </c>
      <c r="B1138" s="130">
        <v>31</v>
      </c>
      <c r="C1138" s="31"/>
      <c r="D1138" s="31"/>
      <c r="E1138" s="31"/>
      <c r="F1138" s="31"/>
      <c r="G1138" s="31"/>
    </row>
    <row r="1139" spans="1:7" x14ac:dyDescent="0.3">
      <c r="A1139" s="131" t="s">
        <v>2298</v>
      </c>
      <c r="B1139" s="130">
        <v>159</v>
      </c>
      <c r="C1139" s="31"/>
      <c r="D1139" s="31"/>
      <c r="E1139" s="31"/>
      <c r="F1139" s="31"/>
      <c r="G1139" s="31"/>
    </row>
    <row r="1140" spans="1:7" x14ac:dyDescent="0.3">
      <c r="A1140" s="131" t="s">
        <v>2299</v>
      </c>
      <c r="B1140" s="130">
        <v>178</v>
      </c>
      <c r="C1140" s="31"/>
      <c r="D1140" s="31"/>
      <c r="E1140" s="31"/>
      <c r="F1140" s="31"/>
      <c r="G1140" s="31"/>
    </row>
    <row r="1141" spans="1:7" x14ac:dyDescent="0.3">
      <c r="A1141" s="131" t="s">
        <v>2300</v>
      </c>
      <c r="B1141" s="130">
        <v>97</v>
      </c>
      <c r="C1141" s="31"/>
      <c r="D1141" s="31"/>
      <c r="E1141" s="31"/>
      <c r="F1141" s="31"/>
      <c r="G1141" s="31"/>
    </row>
    <row r="1142" spans="1:7" x14ac:dyDescent="0.3">
      <c r="A1142" s="131" t="s">
        <v>2301</v>
      </c>
      <c r="B1142" s="130">
        <v>104</v>
      </c>
      <c r="C1142" s="31"/>
      <c r="D1142" s="31"/>
      <c r="E1142" s="31"/>
      <c r="F1142" s="31"/>
      <c r="G1142" s="31"/>
    </row>
    <row r="1143" spans="1:7" x14ac:dyDescent="0.3">
      <c r="A1143" s="131" t="s">
        <v>2302</v>
      </c>
      <c r="B1143" s="130">
        <v>173</v>
      </c>
      <c r="C1143" s="31"/>
      <c r="D1143" s="31"/>
      <c r="E1143" s="31"/>
      <c r="F1143" s="31"/>
      <c r="G1143" s="31"/>
    </row>
    <row r="1144" spans="1:7" x14ac:dyDescent="0.3">
      <c r="A1144" s="131" t="s">
        <v>2303</v>
      </c>
      <c r="B1144" s="130">
        <v>138</v>
      </c>
      <c r="C1144" s="31"/>
      <c r="D1144" s="31"/>
      <c r="E1144" s="31"/>
      <c r="F1144" s="31"/>
      <c r="G1144" s="31"/>
    </row>
    <row r="1145" spans="1:7" x14ac:dyDescent="0.3">
      <c r="A1145" s="131" t="s">
        <v>2304</v>
      </c>
      <c r="B1145" s="130">
        <v>327</v>
      </c>
      <c r="C1145" s="31"/>
      <c r="D1145" s="31"/>
      <c r="E1145" s="31"/>
      <c r="F1145" s="31"/>
      <c r="G1145" s="31"/>
    </row>
    <row r="1146" spans="1:7" x14ac:dyDescent="0.3">
      <c r="A1146" s="131" t="s">
        <v>2305</v>
      </c>
      <c r="B1146" s="130">
        <v>384</v>
      </c>
      <c r="C1146" s="31"/>
      <c r="D1146" s="31"/>
      <c r="E1146" s="31"/>
      <c r="F1146" s="31"/>
      <c r="G1146" s="31"/>
    </row>
    <row r="1147" spans="1:7" x14ac:dyDescent="0.3">
      <c r="A1147" s="131" t="s">
        <v>2306</v>
      </c>
      <c r="B1147" s="130">
        <v>194</v>
      </c>
      <c r="C1147" s="31"/>
      <c r="D1147" s="31"/>
      <c r="E1147" s="31"/>
      <c r="F1147" s="31"/>
      <c r="G1147" s="31"/>
    </row>
    <row r="1148" spans="1:7" x14ac:dyDescent="0.3">
      <c r="A1148" s="131" t="s">
        <v>2307</v>
      </c>
      <c r="B1148" s="130">
        <v>329</v>
      </c>
      <c r="C1148" s="31"/>
      <c r="D1148" s="31"/>
      <c r="E1148" s="31"/>
      <c r="F1148" s="31"/>
      <c r="G1148" s="31"/>
    </row>
    <row r="1149" spans="1:7" x14ac:dyDescent="0.3">
      <c r="A1149" s="131" t="s">
        <v>2308</v>
      </c>
      <c r="B1149" s="130">
        <v>329</v>
      </c>
      <c r="C1149" s="31"/>
      <c r="D1149" s="31"/>
      <c r="E1149" s="31"/>
      <c r="F1149" s="31"/>
      <c r="G1149" s="31"/>
    </row>
    <row r="1150" spans="1:7" x14ac:dyDescent="0.3">
      <c r="A1150" s="131" t="s">
        <v>2309</v>
      </c>
      <c r="B1150" s="130">
        <v>182</v>
      </c>
      <c r="C1150" s="31"/>
      <c r="D1150" s="31"/>
      <c r="E1150" s="31"/>
      <c r="F1150" s="31"/>
      <c r="G1150" s="31"/>
    </row>
    <row r="1151" spans="1:7" x14ac:dyDescent="0.3">
      <c r="A1151" s="131" t="s">
        <v>2310</v>
      </c>
      <c r="B1151" s="130">
        <v>181</v>
      </c>
      <c r="C1151" s="31"/>
      <c r="D1151" s="31"/>
      <c r="E1151" s="31"/>
      <c r="F1151" s="31"/>
      <c r="G1151" s="31"/>
    </row>
    <row r="1152" spans="1:7" x14ac:dyDescent="0.3">
      <c r="A1152" s="131" t="s">
        <v>2311</v>
      </c>
      <c r="B1152" s="130">
        <v>156</v>
      </c>
      <c r="C1152" s="31"/>
      <c r="D1152" s="31"/>
      <c r="E1152" s="31"/>
      <c r="F1152" s="31"/>
      <c r="G1152" s="31"/>
    </row>
    <row r="1153" spans="1:7" x14ac:dyDescent="0.3">
      <c r="A1153" s="131" t="s">
        <v>2312</v>
      </c>
      <c r="B1153" s="130">
        <v>212</v>
      </c>
      <c r="C1153" s="31"/>
      <c r="D1153" s="31"/>
      <c r="E1153" s="31"/>
      <c r="F1153" s="31"/>
      <c r="G1153" s="31"/>
    </row>
    <row r="1154" spans="1:7" x14ac:dyDescent="0.3">
      <c r="A1154" s="131" t="s">
        <v>2313</v>
      </c>
      <c r="B1154" s="130">
        <v>99</v>
      </c>
      <c r="C1154" s="31"/>
      <c r="D1154" s="31"/>
      <c r="E1154" s="31"/>
      <c r="F1154" s="31"/>
      <c r="G1154" s="31"/>
    </row>
    <row r="1155" spans="1:7" x14ac:dyDescent="0.3">
      <c r="A1155" s="131" t="s">
        <v>2314</v>
      </c>
      <c r="B1155" s="130">
        <v>92</v>
      </c>
      <c r="C1155" s="31"/>
      <c r="D1155" s="31"/>
      <c r="E1155" s="31"/>
      <c r="F1155" s="31"/>
      <c r="G1155" s="31"/>
    </row>
    <row r="1156" spans="1:7" x14ac:dyDescent="0.3">
      <c r="A1156" s="131" t="s">
        <v>2315</v>
      </c>
      <c r="B1156" s="130">
        <v>234</v>
      </c>
      <c r="C1156" s="31"/>
      <c r="D1156" s="31"/>
      <c r="E1156" s="31"/>
      <c r="F1156" s="31"/>
      <c r="G1156" s="31"/>
    </row>
    <row r="1157" spans="1:7" x14ac:dyDescent="0.3">
      <c r="A1157" s="131" t="s">
        <v>2316</v>
      </c>
      <c r="B1157" s="130">
        <v>191</v>
      </c>
      <c r="C1157" s="31"/>
      <c r="D1157" s="31"/>
      <c r="E1157" s="31"/>
      <c r="F1157" s="31"/>
      <c r="G1157" s="31"/>
    </row>
    <row r="1158" spans="1:7" x14ac:dyDescent="0.3">
      <c r="A1158" s="131" t="s">
        <v>2317</v>
      </c>
      <c r="B1158" s="130">
        <v>153</v>
      </c>
      <c r="C1158" s="31"/>
      <c r="D1158" s="31"/>
      <c r="E1158" s="31"/>
      <c r="F1158" s="31"/>
      <c r="G1158" s="31"/>
    </row>
    <row r="1159" spans="1:7" x14ac:dyDescent="0.3">
      <c r="A1159" s="131" t="s">
        <v>2318</v>
      </c>
      <c r="B1159" s="130">
        <v>159</v>
      </c>
      <c r="C1159" s="31"/>
      <c r="D1159" s="31"/>
      <c r="E1159" s="31"/>
      <c r="F1159" s="31"/>
      <c r="G1159" s="31"/>
    </row>
    <row r="1160" spans="1:7" x14ac:dyDescent="0.3">
      <c r="A1160" s="131" t="s">
        <v>2319</v>
      </c>
      <c r="B1160" s="130">
        <v>139</v>
      </c>
      <c r="C1160" s="31"/>
      <c r="D1160" s="31"/>
      <c r="E1160" s="31"/>
      <c r="F1160" s="31"/>
      <c r="G1160" s="31"/>
    </row>
    <row r="1161" spans="1:7" x14ac:dyDescent="0.3">
      <c r="A1161" s="131" t="s">
        <v>2320</v>
      </c>
      <c r="B1161" s="130">
        <v>296</v>
      </c>
      <c r="C1161" s="31"/>
      <c r="D1161" s="31"/>
      <c r="E1161" s="31"/>
      <c r="F1161" s="31"/>
      <c r="G1161" s="31"/>
    </row>
    <row r="1162" spans="1:7" x14ac:dyDescent="0.3">
      <c r="A1162" s="131" t="s">
        <v>2321</v>
      </c>
      <c r="B1162" s="130">
        <v>116</v>
      </c>
      <c r="C1162" s="31"/>
      <c r="D1162" s="31"/>
      <c r="E1162" s="31"/>
      <c r="F1162" s="31"/>
      <c r="G1162" s="31"/>
    </row>
    <row r="1163" spans="1:7" x14ac:dyDescent="0.3">
      <c r="A1163" s="131" t="s">
        <v>2322</v>
      </c>
      <c r="B1163" s="130">
        <v>161</v>
      </c>
      <c r="C1163" s="31"/>
      <c r="D1163" s="31"/>
      <c r="E1163" s="31"/>
      <c r="F1163" s="31"/>
      <c r="G1163" s="31"/>
    </row>
    <row r="1164" spans="1:7" x14ac:dyDescent="0.3">
      <c r="A1164" s="131" t="s">
        <v>2323</v>
      </c>
      <c r="B1164" s="130">
        <v>63</v>
      </c>
      <c r="C1164" s="31"/>
      <c r="D1164" s="31"/>
      <c r="E1164" s="31"/>
      <c r="F1164" s="31"/>
      <c r="G1164" s="31"/>
    </row>
    <row r="1165" spans="1:7" x14ac:dyDescent="0.3">
      <c r="A1165" s="131" t="s">
        <v>2324</v>
      </c>
      <c r="B1165" s="130">
        <v>139</v>
      </c>
      <c r="C1165" s="31"/>
      <c r="D1165" s="31"/>
      <c r="E1165" s="31"/>
      <c r="F1165" s="31"/>
      <c r="G1165" s="31"/>
    </row>
    <row r="1166" spans="1:7" x14ac:dyDescent="0.3">
      <c r="A1166" s="131" t="s">
        <v>2325</v>
      </c>
      <c r="B1166" s="130">
        <v>385</v>
      </c>
      <c r="C1166" s="31"/>
      <c r="D1166" s="31"/>
      <c r="E1166" s="31"/>
      <c r="F1166" s="31"/>
      <c r="G1166" s="31"/>
    </row>
    <row r="1167" spans="1:7" x14ac:dyDescent="0.3">
      <c r="A1167" s="131" t="s">
        <v>2326</v>
      </c>
      <c r="B1167" s="130">
        <v>218</v>
      </c>
      <c r="C1167" s="31"/>
      <c r="D1167" s="31"/>
      <c r="E1167" s="31"/>
      <c r="F1167" s="31"/>
      <c r="G1167" s="31"/>
    </row>
    <row r="1168" spans="1:7" x14ac:dyDescent="0.3">
      <c r="A1168" s="131" t="s">
        <v>2327</v>
      </c>
      <c r="B1168" s="130">
        <v>178</v>
      </c>
      <c r="C1168" s="31"/>
      <c r="D1168" s="31"/>
      <c r="E1168" s="31"/>
      <c r="F1168" s="31"/>
      <c r="G1168" s="31"/>
    </row>
    <row r="1169" spans="1:7" x14ac:dyDescent="0.3">
      <c r="A1169" s="131" t="s">
        <v>2328</v>
      </c>
      <c r="B1169" s="130">
        <v>291</v>
      </c>
      <c r="C1169" s="31"/>
      <c r="D1169" s="31"/>
      <c r="E1169" s="31"/>
      <c r="F1169" s="31"/>
      <c r="G1169" s="31"/>
    </row>
    <row r="1170" spans="1:7" x14ac:dyDescent="0.3">
      <c r="A1170" s="131" t="s">
        <v>2329</v>
      </c>
      <c r="B1170" s="130">
        <v>355</v>
      </c>
      <c r="C1170" s="31"/>
      <c r="D1170" s="31"/>
      <c r="E1170" s="31"/>
      <c r="F1170" s="31"/>
      <c r="G1170" s="31"/>
    </row>
    <row r="1171" spans="1:7" x14ac:dyDescent="0.3">
      <c r="A1171" s="131" t="s">
        <v>2330</v>
      </c>
      <c r="B1171" s="130">
        <v>224</v>
      </c>
      <c r="C1171" s="31"/>
      <c r="D1171" s="31"/>
      <c r="E1171" s="31"/>
      <c r="F1171" s="31"/>
      <c r="G1171" s="31"/>
    </row>
    <row r="1172" spans="1:7" x14ac:dyDescent="0.3">
      <c r="A1172" s="131" t="s">
        <v>2331</v>
      </c>
      <c r="B1172" s="130">
        <v>214</v>
      </c>
      <c r="C1172" s="31"/>
      <c r="D1172" s="31"/>
      <c r="E1172" s="31"/>
      <c r="F1172" s="31"/>
      <c r="G1172" s="31"/>
    </row>
    <row r="1173" spans="1:7" x14ac:dyDescent="0.3">
      <c r="A1173" s="131" t="s">
        <v>2332</v>
      </c>
      <c r="B1173" s="130">
        <v>143</v>
      </c>
      <c r="C1173" s="31"/>
      <c r="D1173" s="31"/>
      <c r="E1173" s="31"/>
      <c r="F1173" s="31"/>
      <c r="G1173" s="31"/>
    </row>
    <row r="1174" spans="1:7" x14ac:dyDescent="0.3">
      <c r="A1174" s="131" t="s">
        <v>2333</v>
      </c>
      <c r="B1174" s="130">
        <v>136</v>
      </c>
      <c r="C1174" s="31"/>
      <c r="D1174" s="31"/>
      <c r="E1174" s="31"/>
      <c r="F1174" s="31"/>
      <c r="G1174" s="31"/>
    </row>
    <row r="1175" spans="1:7" x14ac:dyDescent="0.3">
      <c r="A1175" s="131" t="s">
        <v>2334</v>
      </c>
      <c r="B1175" s="130">
        <v>332</v>
      </c>
      <c r="C1175" s="31"/>
      <c r="D1175" s="31"/>
      <c r="E1175" s="31"/>
      <c r="F1175" s="31"/>
      <c r="G1175" s="31"/>
    </row>
    <row r="1176" spans="1:7" x14ac:dyDescent="0.3">
      <c r="A1176" s="131" t="s">
        <v>2335</v>
      </c>
      <c r="B1176" s="130">
        <v>217</v>
      </c>
      <c r="C1176" s="31"/>
      <c r="D1176" s="31"/>
      <c r="E1176" s="31"/>
      <c r="F1176" s="31"/>
      <c r="G1176" s="31"/>
    </row>
    <row r="1177" spans="1:7" x14ac:dyDescent="0.3">
      <c r="A1177" s="131" t="s">
        <v>2336</v>
      </c>
      <c r="B1177" s="130">
        <v>171</v>
      </c>
      <c r="C1177" s="31"/>
      <c r="D1177" s="31"/>
      <c r="E1177" s="31"/>
      <c r="F1177" s="31"/>
      <c r="G1177" s="31"/>
    </row>
    <row r="1178" spans="1:7" x14ac:dyDescent="0.3">
      <c r="A1178" s="131" t="s">
        <v>2337</v>
      </c>
      <c r="B1178" s="130">
        <v>48</v>
      </c>
      <c r="C1178" s="31"/>
      <c r="D1178" s="31"/>
      <c r="E1178" s="31"/>
      <c r="F1178" s="31"/>
      <c r="G1178" s="31"/>
    </row>
    <row r="1179" spans="1:7" x14ac:dyDescent="0.3">
      <c r="A1179" s="131" t="s">
        <v>2338</v>
      </c>
      <c r="B1179" s="130">
        <v>127</v>
      </c>
      <c r="C1179" s="31"/>
      <c r="D1179" s="31"/>
      <c r="E1179" s="31"/>
      <c r="F1179" s="31"/>
      <c r="G1179" s="31"/>
    </row>
    <row r="1180" spans="1:7" x14ac:dyDescent="0.3">
      <c r="A1180" s="131" t="s">
        <v>2339</v>
      </c>
      <c r="B1180" s="130">
        <v>23</v>
      </c>
      <c r="C1180" s="31"/>
      <c r="D1180" s="31"/>
      <c r="E1180" s="31"/>
      <c r="F1180" s="31"/>
      <c r="G1180" s="31"/>
    </row>
    <row r="1181" spans="1:7" x14ac:dyDescent="0.3">
      <c r="A1181" s="131" t="s">
        <v>2340</v>
      </c>
      <c r="B1181" s="130">
        <v>72</v>
      </c>
      <c r="C1181" s="31"/>
      <c r="D1181" s="31"/>
      <c r="E1181" s="31"/>
      <c r="F1181" s="31"/>
      <c r="G1181" s="31"/>
    </row>
    <row r="1182" spans="1:7" x14ac:dyDescent="0.3">
      <c r="A1182" s="131" t="s">
        <v>2341</v>
      </c>
      <c r="B1182" s="130">
        <v>40</v>
      </c>
      <c r="C1182" s="31"/>
      <c r="D1182" s="31"/>
      <c r="E1182" s="31"/>
      <c r="F1182" s="31"/>
      <c r="G1182" s="31"/>
    </row>
    <row r="1183" spans="1:7" x14ac:dyDescent="0.3">
      <c r="A1183" s="131" t="s">
        <v>2342</v>
      </c>
      <c r="B1183" s="130">
        <v>91</v>
      </c>
      <c r="C1183" s="31"/>
      <c r="D1183" s="31"/>
      <c r="E1183" s="31"/>
      <c r="F1183" s="31"/>
      <c r="G1183" s="31"/>
    </row>
    <row r="1184" spans="1:7" x14ac:dyDescent="0.3">
      <c r="A1184" s="131" t="s">
        <v>2343</v>
      </c>
      <c r="B1184" s="130">
        <v>149</v>
      </c>
      <c r="C1184" s="31"/>
      <c r="D1184" s="31"/>
      <c r="E1184" s="31"/>
      <c r="F1184" s="31"/>
      <c r="G1184" s="31"/>
    </row>
    <row r="1185" spans="1:7" x14ac:dyDescent="0.3">
      <c r="A1185" s="131" t="s">
        <v>2344</v>
      </c>
      <c r="B1185" s="130" t="s">
        <v>1163</v>
      </c>
      <c r="C1185" s="31"/>
      <c r="D1185" s="31"/>
      <c r="E1185" s="31"/>
      <c r="F1185" s="31"/>
      <c r="G1185" s="31"/>
    </row>
    <row r="1186" spans="1:7" x14ac:dyDescent="0.3">
      <c r="A1186" s="131" t="s">
        <v>2345</v>
      </c>
      <c r="B1186" s="130" t="s">
        <v>1163</v>
      </c>
      <c r="C1186" s="31"/>
      <c r="D1186" s="31"/>
      <c r="E1186" s="31"/>
      <c r="F1186" s="31"/>
      <c r="G1186" s="31"/>
    </row>
    <row r="1187" spans="1:7" x14ac:dyDescent="0.3">
      <c r="A1187" s="131" t="s">
        <v>2346</v>
      </c>
      <c r="B1187" s="130" t="s">
        <v>1163</v>
      </c>
      <c r="C1187" s="31"/>
      <c r="D1187" s="31"/>
      <c r="E1187" s="31"/>
      <c r="F1187" s="31"/>
      <c r="G1187" s="31"/>
    </row>
    <row r="1188" spans="1:7" x14ac:dyDescent="0.3">
      <c r="A1188" s="131" t="s">
        <v>2347</v>
      </c>
      <c r="B1188" s="130" t="s">
        <v>1163</v>
      </c>
      <c r="C1188" s="31"/>
      <c r="D1188" s="31"/>
      <c r="E1188" s="31"/>
      <c r="F1188" s="31"/>
      <c r="G1188" s="31"/>
    </row>
    <row r="1189" spans="1:7" x14ac:dyDescent="0.3">
      <c r="A1189" s="131" t="s">
        <v>2348</v>
      </c>
      <c r="B1189" s="130">
        <v>0</v>
      </c>
      <c r="C1189" s="31"/>
      <c r="D1189" s="31"/>
      <c r="E1189" s="31"/>
      <c r="F1189" s="31"/>
      <c r="G1189" s="31"/>
    </row>
    <row r="1190" spans="1:7" x14ac:dyDescent="0.3">
      <c r="A1190" s="131" t="s">
        <v>2349</v>
      </c>
      <c r="B1190" s="130" t="s">
        <v>1163</v>
      </c>
      <c r="C1190" s="31"/>
      <c r="D1190" s="31"/>
      <c r="E1190" s="31"/>
      <c r="F1190" s="31"/>
      <c r="G1190" s="31"/>
    </row>
    <row r="1191" spans="1:7" x14ac:dyDescent="0.3">
      <c r="A1191" s="131" t="s">
        <v>2350</v>
      </c>
      <c r="B1191" s="130" t="s">
        <v>1163</v>
      </c>
      <c r="C1191" s="31"/>
      <c r="D1191" s="31"/>
      <c r="E1191" s="31"/>
      <c r="F1191" s="31"/>
      <c r="G1191" s="31"/>
    </row>
    <row r="1192" spans="1:7" x14ac:dyDescent="0.3">
      <c r="A1192" s="131" t="s">
        <v>2351</v>
      </c>
      <c r="B1192" s="130" t="s">
        <v>1163</v>
      </c>
      <c r="C1192" s="31"/>
      <c r="D1192" s="31"/>
      <c r="E1192" s="31"/>
      <c r="F1192" s="31"/>
      <c r="G1192" s="31"/>
    </row>
    <row r="1193" spans="1:7" x14ac:dyDescent="0.3">
      <c r="A1193" s="131" t="s">
        <v>2352</v>
      </c>
      <c r="B1193" s="130" t="s">
        <v>1163</v>
      </c>
      <c r="C1193" s="31"/>
      <c r="D1193" s="31"/>
      <c r="E1193" s="31"/>
      <c r="F1193" s="31"/>
      <c r="G1193" s="31"/>
    </row>
    <row r="1194" spans="1:7" x14ac:dyDescent="0.3">
      <c r="A1194" s="131" t="s">
        <v>2353</v>
      </c>
      <c r="B1194" s="130" t="s">
        <v>1163</v>
      </c>
      <c r="C1194" s="31"/>
      <c r="D1194" s="31"/>
      <c r="E1194" s="31"/>
      <c r="F1194" s="31"/>
      <c r="G1194" s="31"/>
    </row>
    <row r="1195" spans="1:7" x14ac:dyDescent="0.3">
      <c r="A1195" s="131" t="s">
        <v>2354</v>
      </c>
      <c r="B1195" s="130">
        <v>173</v>
      </c>
      <c r="C1195" s="31"/>
      <c r="D1195" s="31"/>
      <c r="E1195" s="31"/>
      <c r="F1195" s="31"/>
      <c r="G1195" s="31"/>
    </row>
    <row r="1196" spans="1:7" x14ac:dyDescent="0.3">
      <c r="A1196" s="131" t="s">
        <v>2355</v>
      </c>
      <c r="B1196" s="130">
        <v>59</v>
      </c>
      <c r="C1196" s="31"/>
      <c r="D1196" s="31"/>
      <c r="E1196" s="31"/>
      <c r="F1196" s="31"/>
      <c r="G1196" s="31"/>
    </row>
    <row r="1197" spans="1:7" x14ac:dyDescent="0.3">
      <c r="A1197" s="131" t="s">
        <v>2356</v>
      </c>
      <c r="B1197" s="130">
        <v>126</v>
      </c>
      <c r="C1197" s="31"/>
      <c r="D1197" s="31"/>
      <c r="E1197" s="31"/>
      <c r="F1197" s="31"/>
      <c r="G1197" s="31"/>
    </row>
    <row r="1198" spans="1:7" x14ac:dyDescent="0.3">
      <c r="A1198" s="131" t="s">
        <v>2357</v>
      </c>
      <c r="B1198" s="130">
        <v>95</v>
      </c>
      <c r="C1198" s="31"/>
      <c r="D1198" s="31"/>
      <c r="E1198" s="31"/>
      <c r="F1198" s="31"/>
      <c r="G1198" s="31"/>
    </row>
    <row r="1199" spans="1:7" x14ac:dyDescent="0.3">
      <c r="A1199" s="131" t="s">
        <v>2358</v>
      </c>
      <c r="B1199" s="130">
        <v>161</v>
      </c>
      <c r="C1199" s="31"/>
      <c r="D1199" s="31"/>
      <c r="E1199" s="31"/>
      <c r="F1199" s="31"/>
      <c r="G1199" s="31"/>
    </row>
    <row r="1200" spans="1:7" x14ac:dyDescent="0.3">
      <c r="A1200" s="131" t="s">
        <v>2359</v>
      </c>
      <c r="B1200" s="130">
        <v>278</v>
      </c>
      <c r="C1200" s="31"/>
      <c r="D1200" s="31"/>
      <c r="E1200" s="31"/>
      <c r="F1200" s="31"/>
      <c r="G1200" s="31"/>
    </row>
    <row r="1201" spans="1:7" x14ac:dyDescent="0.3">
      <c r="A1201" s="131" t="s">
        <v>2360</v>
      </c>
      <c r="B1201" s="130">
        <v>98</v>
      </c>
      <c r="C1201" s="31"/>
      <c r="D1201" s="31"/>
      <c r="E1201" s="31"/>
      <c r="F1201" s="31"/>
      <c r="G1201" s="31"/>
    </row>
    <row r="1202" spans="1:7" x14ac:dyDescent="0.3">
      <c r="A1202" s="131" t="s">
        <v>2361</v>
      </c>
      <c r="B1202" s="130">
        <v>320</v>
      </c>
      <c r="C1202" s="31"/>
      <c r="D1202" s="31"/>
      <c r="E1202" s="31"/>
      <c r="F1202" s="31"/>
      <c r="G1202" s="31"/>
    </row>
    <row r="1203" spans="1:7" x14ac:dyDescent="0.3">
      <c r="A1203" s="131" t="s">
        <v>2362</v>
      </c>
      <c r="B1203" s="130">
        <v>27</v>
      </c>
      <c r="C1203" s="31"/>
      <c r="D1203" s="31"/>
      <c r="E1203" s="31"/>
      <c r="F1203" s="31"/>
      <c r="G1203" s="31"/>
    </row>
    <row r="1204" spans="1:7" x14ac:dyDescent="0.3">
      <c r="A1204" s="131" t="s">
        <v>2363</v>
      </c>
      <c r="B1204" s="130">
        <v>15</v>
      </c>
      <c r="C1204" s="31"/>
      <c r="D1204" s="31"/>
      <c r="E1204" s="31"/>
      <c r="F1204" s="31"/>
      <c r="G1204" s="31"/>
    </row>
    <row r="1205" spans="1:7" x14ac:dyDescent="0.3">
      <c r="A1205" s="131" t="s">
        <v>2364</v>
      </c>
      <c r="B1205" s="130">
        <v>0</v>
      </c>
      <c r="C1205" s="31"/>
      <c r="D1205" s="31"/>
      <c r="E1205" s="31"/>
      <c r="F1205" s="31"/>
      <c r="G1205" s="31"/>
    </row>
    <row r="1206" spans="1:7" x14ac:dyDescent="0.3">
      <c r="A1206" s="131" t="s">
        <v>2365</v>
      </c>
      <c r="B1206" s="130" t="s">
        <v>1163</v>
      </c>
      <c r="C1206" s="31"/>
      <c r="D1206" s="31"/>
      <c r="E1206" s="31"/>
      <c r="F1206" s="31"/>
      <c r="G1206" s="31"/>
    </row>
    <row r="1207" spans="1:7" x14ac:dyDescent="0.3">
      <c r="A1207" s="131" t="s">
        <v>2366</v>
      </c>
      <c r="B1207" s="130">
        <v>23</v>
      </c>
      <c r="C1207" s="31"/>
      <c r="D1207" s="31"/>
      <c r="E1207" s="31"/>
      <c r="F1207" s="31"/>
      <c r="G1207" s="31"/>
    </row>
    <row r="1208" spans="1:7" x14ac:dyDescent="0.3">
      <c r="A1208" s="131" t="s">
        <v>2367</v>
      </c>
      <c r="B1208" s="130">
        <v>55</v>
      </c>
      <c r="C1208" s="31"/>
      <c r="D1208" s="31"/>
      <c r="E1208" s="31"/>
      <c r="F1208" s="31"/>
      <c r="G1208" s="31"/>
    </row>
    <row r="1209" spans="1:7" x14ac:dyDescent="0.3">
      <c r="A1209" s="131" t="s">
        <v>2368</v>
      </c>
      <c r="B1209" s="130">
        <v>66</v>
      </c>
      <c r="C1209" s="31"/>
      <c r="D1209" s="31"/>
      <c r="E1209" s="31"/>
      <c r="F1209" s="31"/>
      <c r="G1209" s="31"/>
    </row>
    <row r="1210" spans="1:7" x14ac:dyDescent="0.3">
      <c r="A1210" s="131" t="s">
        <v>2369</v>
      </c>
      <c r="B1210" s="130">
        <v>0</v>
      </c>
      <c r="C1210" s="31"/>
      <c r="D1210" s="31"/>
      <c r="E1210" s="31"/>
      <c r="F1210" s="31"/>
      <c r="G1210" s="31"/>
    </row>
    <row r="1211" spans="1:7" x14ac:dyDescent="0.3">
      <c r="A1211" s="131" t="s">
        <v>2370</v>
      </c>
      <c r="B1211" s="130">
        <v>44</v>
      </c>
      <c r="C1211" s="31"/>
      <c r="D1211" s="31"/>
      <c r="E1211" s="31"/>
      <c r="F1211" s="31"/>
      <c r="G1211" s="31"/>
    </row>
    <row r="1212" spans="1:7" x14ac:dyDescent="0.3">
      <c r="A1212" s="131" t="s">
        <v>2371</v>
      </c>
      <c r="B1212" s="130">
        <v>128</v>
      </c>
      <c r="C1212" s="31"/>
      <c r="D1212" s="31"/>
      <c r="E1212" s="31"/>
      <c r="F1212" s="31"/>
      <c r="G1212" s="31"/>
    </row>
    <row r="1213" spans="1:7" x14ac:dyDescent="0.3">
      <c r="A1213" s="131" t="s">
        <v>2372</v>
      </c>
      <c r="B1213" s="130">
        <v>62</v>
      </c>
      <c r="C1213" s="31"/>
      <c r="D1213" s="31"/>
      <c r="E1213" s="31"/>
      <c r="F1213" s="31"/>
      <c r="G1213" s="31"/>
    </row>
    <row r="1214" spans="1:7" x14ac:dyDescent="0.3">
      <c r="A1214" s="131" t="s">
        <v>2373</v>
      </c>
      <c r="B1214" s="130">
        <v>55</v>
      </c>
      <c r="C1214" s="31"/>
      <c r="D1214" s="31"/>
      <c r="E1214" s="31"/>
      <c r="F1214" s="31"/>
      <c r="G1214" s="31"/>
    </row>
    <row r="1215" spans="1:7" x14ac:dyDescent="0.3">
      <c r="A1215" s="131" t="s">
        <v>2374</v>
      </c>
      <c r="B1215" s="130">
        <v>30</v>
      </c>
      <c r="C1215" s="31"/>
      <c r="D1215" s="31"/>
      <c r="E1215" s="31"/>
      <c r="F1215" s="31"/>
      <c r="G1215" s="31"/>
    </row>
    <row r="1216" spans="1:7" x14ac:dyDescent="0.3">
      <c r="A1216" s="131" t="s">
        <v>2375</v>
      </c>
      <c r="B1216" s="130">
        <v>133</v>
      </c>
      <c r="C1216" s="31"/>
      <c r="D1216" s="31"/>
      <c r="E1216" s="31"/>
      <c r="F1216" s="31"/>
      <c r="G1216" s="31"/>
    </row>
    <row r="1217" spans="1:7" x14ac:dyDescent="0.3">
      <c r="A1217" s="131" t="s">
        <v>2376</v>
      </c>
      <c r="B1217" s="130">
        <v>250</v>
      </c>
      <c r="C1217" s="31"/>
      <c r="D1217" s="31"/>
      <c r="E1217" s="31"/>
      <c r="F1217" s="31"/>
      <c r="G1217" s="31"/>
    </row>
    <row r="1218" spans="1:7" x14ac:dyDescent="0.3">
      <c r="A1218" s="131" t="s">
        <v>2377</v>
      </c>
      <c r="B1218" s="130">
        <v>93</v>
      </c>
      <c r="C1218" s="31"/>
      <c r="D1218" s="31"/>
      <c r="E1218" s="31"/>
      <c r="F1218" s="31"/>
      <c r="G1218" s="31"/>
    </row>
    <row r="1219" spans="1:7" x14ac:dyDescent="0.3">
      <c r="A1219" s="131" t="s">
        <v>2378</v>
      </c>
      <c r="B1219" s="130">
        <v>52</v>
      </c>
      <c r="C1219" s="31"/>
      <c r="D1219" s="31"/>
      <c r="E1219" s="31"/>
      <c r="F1219" s="31"/>
      <c r="G1219" s="31"/>
    </row>
    <row r="1220" spans="1:7" x14ac:dyDescent="0.3">
      <c r="A1220" s="131" t="s">
        <v>2379</v>
      </c>
      <c r="B1220" s="130">
        <v>126</v>
      </c>
      <c r="C1220" s="31"/>
      <c r="D1220" s="31"/>
      <c r="E1220" s="31"/>
      <c r="F1220" s="31"/>
      <c r="G1220" s="31"/>
    </row>
    <row r="1221" spans="1:7" x14ac:dyDescent="0.3">
      <c r="A1221" s="131" t="s">
        <v>2380</v>
      </c>
      <c r="B1221" s="130">
        <v>80</v>
      </c>
      <c r="C1221" s="31"/>
      <c r="D1221" s="31"/>
      <c r="E1221" s="31"/>
      <c r="F1221" s="31"/>
      <c r="G1221" s="31"/>
    </row>
    <row r="1222" spans="1:7" x14ac:dyDescent="0.3">
      <c r="A1222" s="131" t="s">
        <v>2381</v>
      </c>
      <c r="B1222" s="130">
        <v>183</v>
      </c>
      <c r="C1222" s="31"/>
      <c r="D1222" s="31"/>
      <c r="E1222" s="31"/>
      <c r="F1222" s="31"/>
      <c r="G1222" s="31"/>
    </row>
    <row r="1223" spans="1:7" x14ac:dyDescent="0.3">
      <c r="A1223" s="131" t="s">
        <v>2382</v>
      </c>
      <c r="B1223" s="130">
        <v>270</v>
      </c>
      <c r="C1223" s="31"/>
      <c r="D1223" s="31"/>
      <c r="E1223" s="31"/>
      <c r="F1223" s="31"/>
      <c r="G1223" s="31"/>
    </row>
    <row r="1224" spans="1:7" x14ac:dyDescent="0.3">
      <c r="A1224" s="131" t="s">
        <v>2383</v>
      </c>
      <c r="B1224" s="130">
        <v>75</v>
      </c>
      <c r="C1224" s="31"/>
      <c r="D1224" s="31"/>
      <c r="E1224" s="31"/>
      <c r="F1224" s="31"/>
      <c r="G1224" s="31"/>
    </row>
    <row r="1225" spans="1:7" x14ac:dyDescent="0.3">
      <c r="A1225" s="131" t="s">
        <v>2384</v>
      </c>
      <c r="B1225" s="130">
        <v>113</v>
      </c>
      <c r="C1225" s="31"/>
      <c r="D1225" s="31"/>
      <c r="E1225" s="31"/>
      <c r="F1225" s="31"/>
      <c r="G1225" s="31"/>
    </row>
    <row r="1226" spans="1:7" x14ac:dyDescent="0.3">
      <c r="A1226" s="131" t="s">
        <v>2385</v>
      </c>
      <c r="B1226" s="130">
        <v>124</v>
      </c>
      <c r="C1226" s="31"/>
      <c r="D1226" s="31"/>
      <c r="E1226" s="31"/>
      <c r="F1226" s="31"/>
      <c r="G1226" s="31"/>
    </row>
    <row r="1227" spans="1:7" x14ac:dyDescent="0.3">
      <c r="A1227" s="131" t="s">
        <v>2386</v>
      </c>
      <c r="B1227" s="130">
        <v>65</v>
      </c>
      <c r="C1227" s="31"/>
      <c r="D1227" s="31"/>
      <c r="E1227" s="31"/>
      <c r="F1227" s="31"/>
      <c r="G1227" s="31"/>
    </row>
    <row r="1228" spans="1:7" x14ac:dyDescent="0.3">
      <c r="A1228" s="131" t="s">
        <v>2387</v>
      </c>
      <c r="B1228" s="130">
        <v>119</v>
      </c>
      <c r="C1228" s="31"/>
      <c r="D1228" s="31"/>
      <c r="E1228" s="31"/>
      <c r="F1228" s="31"/>
      <c r="G1228" s="31"/>
    </row>
    <row r="1229" spans="1:7" x14ac:dyDescent="0.3">
      <c r="A1229" s="131" t="s">
        <v>2388</v>
      </c>
      <c r="B1229" s="130">
        <v>151</v>
      </c>
      <c r="C1229" s="31"/>
      <c r="D1229" s="31"/>
      <c r="E1229" s="31"/>
      <c r="F1229" s="31"/>
      <c r="G1229" s="31"/>
    </row>
    <row r="1230" spans="1:7" x14ac:dyDescent="0.3">
      <c r="A1230" s="131" t="s">
        <v>2389</v>
      </c>
      <c r="B1230" s="130">
        <v>227</v>
      </c>
      <c r="C1230" s="31"/>
      <c r="D1230" s="31"/>
      <c r="E1230" s="31"/>
      <c r="F1230" s="31"/>
      <c r="G1230" s="31"/>
    </row>
    <row r="1231" spans="1:7" x14ac:dyDescent="0.3">
      <c r="A1231" s="131" t="s">
        <v>2390</v>
      </c>
      <c r="B1231" s="130">
        <v>314</v>
      </c>
      <c r="C1231" s="31"/>
      <c r="D1231" s="31"/>
      <c r="E1231" s="31"/>
      <c r="F1231" s="31"/>
      <c r="G1231" s="31"/>
    </row>
    <row r="1232" spans="1:7" x14ac:dyDescent="0.3">
      <c r="A1232" s="131" t="s">
        <v>2391</v>
      </c>
      <c r="B1232" s="130">
        <v>114</v>
      </c>
      <c r="C1232" s="31"/>
      <c r="D1232" s="31"/>
      <c r="E1232" s="31"/>
      <c r="F1232" s="31"/>
      <c r="G1232" s="31"/>
    </row>
    <row r="1233" spans="1:7" x14ac:dyDescent="0.3">
      <c r="A1233" s="131" t="s">
        <v>2392</v>
      </c>
      <c r="B1233" s="130">
        <v>0</v>
      </c>
      <c r="C1233" s="31"/>
      <c r="D1233" s="31"/>
      <c r="E1233" s="31"/>
      <c r="F1233" s="31"/>
      <c r="G1233" s="31"/>
    </row>
    <row r="1234" spans="1:7" x14ac:dyDescent="0.3">
      <c r="A1234" s="131" t="s">
        <v>2393</v>
      </c>
      <c r="B1234" s="130">
        <v>0</v>
      </c>
      <c r="C1234" s="31"/>
      <c r="D1234" s="31"/>
      <c r="E1234" s="31"/>
      <c r="F1234" s="31"/>
      <c r="G1234" s="31"/>
    </row>
    <row r="1235" spans="1:7" x14ac:dyDescent="0.3">
      <c r="A1235" s="131" t="s">
        <v>2394</v>
      </c>
      <c r="B1235" s="130">
        <v>0</v>
      </c>
      <c r="C1235" s="31"/>
      <c r="D1235" s="31"/>
      <c r="E1235" s="31"/>
      <c r="F1235" s="31"/>
      <c r="G1235" s="31"/>
    </row>
    <row r="1236" spans="1:7" x14ac:dyDescent="0.3">
      <c r="A1236" s="131" t="s">
        <v>2395</v>
      </c>
      <c r="B1236" s="130">
        <v>0</v>
      </c>
      <c r="C1236" s="31"/>
      <c r="D1236" s="31"/>
      <c r="E1236" s="31"/>
      <c r="F1236" s="31"/>
      <c r="G1236" s="31"/>
    </row>
    <row r="1237" spans="1:7" x14ac:dyDescent="0.3">
      <c r="A1237" s="131" t="s">
        <v>2396</v>
      </c>
      <c r="B1237" s="130">
        <v>0</v>
      </c>
      <c r="C1237" s="31"/>
      <c r="D1237" s="31"/>
      <c r="E1237" s="31"/>
      <c r="F1237" s="31"/>
      <c r="G1237" s="31"/>
    </row>
    <row r="1238" spans="1:7" x14ac:dyDescent="0.3">
      <c r="A1238" s="131" t="s">
        <v>2397</v>
      </c>
      <c r="B1238" s="130">
        <v>0</v>
      </c>
      <c r="C1238" s="31"/>
      <c r="D1238" s="31"/>
      <c r="E1238" s="31"/>
      <c r="F1238" s="31"/>
      <c r="G1238" s="31"/>
    </row>
    <row r="1239" spans="1:7" x14ac:dyDescent="0.3">
      <c r="A1239" s="131" t="s">
        <v>2398</v>
      </c>
      <c r="B1239" s="130">
        <v>0</v>
      </c>
      <c r="C1239" s="31"/>
      <c r="D1239" s="31"/>
      <c r="E1239" s="31"/>
      <c r="F1239" s="31"/>
      <c r="G1239" s="31"/>
    </row>
    <row r="1240" spans="1:7" x14ac:dyDescent="0.3">
      <c r="A1240" s="131" t="s">
        <v>2399</v>
      </c>
      <c r="B1240" s="130">
        <v>0</v>
      </c>
      <c r="C1240" s="31"/>
      <c r="D1240" s="31"/>
      <c r="E1240" s="31"/>
      <c r="F1240" s="31"/>
      <c r="G1240" s="31"/>
    </row>
    <row r="1241" spans="1:7" x14ac:dyDescent="0.3">
      <c r="A1241" s="131" t="s">
        <v>2400</v>
      </c>
      <c r="B1241" s="130">
        <v>0</v>
      </c>
      <c r="C1241" s="31"/>
      <c r="D1241" s="31"/>
      <c r="E1241" s="31"/>
      <c r="F1241" s="31"/>
      <c r="G1241" s="31"/>
    </row>
    <row r="1242" spans="1:7" x14ac:dyDescent="0.3">
      <c r="A1242" s="131" t="s">
        <v>2401</v>
      </c>
      <c r="B1242" s="130">
        <v>0</v>
      </c>
      <c r="C1242" s="31"/>
      <c r="D1242" s="31"/>
      <c r="E1242" s="31"/>
      <c r="F1242" s="31"/>
      <c r="G1242" s="31"/>
    </row>
    <row r="1243" spans="1:7" x14ac:dyDescent="0.3">
      <c r="A1243" s="131" t="s">
        <v>2402</v>
      </c>
      <c r="B1243" s="130">
        <v>0</v>
      </c>
      <c r="C1243" s="31"/>
      <c r="D1243" s="31"/>
      <c r="E1243" s="31"/>
      <c r="F1243" s="31"/>
      <c r="G1243" s="31"/>
    </row>
    <row r="1244" spans="1:7" x14ac:dyDescent="0.3">
      <c r="A1244" s="131" t="s">
        <v>2403</v>
      </c>
      <c r="B1244" s="130">
        <v>110</v>
      </c>
      <c r="C1244" s="31"/>
      <c r="D1244" s="31"/>
      <c r="E1244" s="31"/>
      <c r="F1244" s="31"/>
      <c r="G1244" s="31"/>
    </row>
    <row r="1245" spans="1:7" x14ac:dyDescent="0.3">
      <c r="A1245" s="131" t="s">
        <v>2404</v>
      </c>
      <c r="B1245" s="130">
        <v>25</v>
      </c>
      <c r="C1245" s="31"/>
      <c r="D1245" s="31"/>
      <c r="E1245" s="31"/>
      <c r="F1245" s="31"/>
      <c r="G1245" s="31"/>
    </row>
    <row r="1246" spans="1:7" x14ac:dyDescent="0.3">
      <c r="A1246" s="131" t="s">
        <v>2405</v>
      </c>
      <c r="B1246" s="130">
        <v>122</v>
      </c>
      <c r="C1246" s="31"/>
      <c r="D1246" s="31"/>
      <c r="E1246" s="31"/>
      <c r="F1246" s="31"/>
      <c r="G1246" s="31"/>
    </row>
    <row r="1247" spans="1:7" x14ac:dyDescent="0.3">
      <c r="A1247" s="131" t="s">
        <v>2406</v>
      </c>
      <c r="B1247" s="130">
        <v>190</v>
      </c>
      <c r="C1247" s="31"/>
      <c r="D1247" s="31"/>
      <c r="E1247" s="31"/>
      <c r="F1247" s="31"/>
      <c r="G1247" s="31"/>
    </row>
    <row r="1248" spans="1:7" x14ac:dyDescent="0.3">
      <c r="A1248" s="131" t="s">
        <v>2407</v>
      </c>
      <c r="B1248" s="130">
        <v>165</v>
      </c>
      <c r="C1248" s="31"/>
      <c r="D1248" s="31"/>
      <c r="E1248" s="31"/>
      <c r="F1248" s="31"/>
      <c r="G1248" s="31"/>
    </row>
    <row r="1249" spans="1:7" x14ac:dyDescent="0.3">
      <c r="A1249" s="131" t="s">
        <v>2408</v>
      </c>
      <c r="B1249" s="130">
        <v>262</v>
      </c>
      <c r="C1249" s="31"/>
      <c r="D1249" s="31"/>
      <c r="E1249" s="31"/>
      <c r="F1249" s="31"/>
      <c r="G1249" s="31"/>
    </row>
    <row r="1250" spans="1:7" x14ac:dyDescent="0.3">
      <c r="A1250" s="131" t="s">
        <v>2409</v>
      </c>
      <c r="B1250" s="130">
        <v>27</v>
      </c>
      <c r="C1250" s="31"/>
      <c r="D1250" s="31"/>
      <c r="E1250" s="31"/>
      <c r="F1250" s="31"/>
      <c r="G1250" s="31"/>
    </row>
    <row r="1251" spans="1:7" x14ac:dyDescent="0.3">
      <c r="A1251" s="131" t="s">
        <v>2410</v>
      </c>
      <c r="B1251" s="130">
        <v>28</v>
      </c>
      <c r="C1251" s="31"/>
      <c r="D1251" s="31"/>
      <c r="E1251" s="31"/>
      <c r="F1251" s="31"/>
      <c r="G1251" s="31"/>
    </row>
    <row r="1252" spans="1:7" x14ac:dyDescent="0.3">
      <c r="A1252" s="131" t="s">
        <v>2411</v>
      </c>
      <c r="B1252" s="130">
        <v>91</v>
      </c>
      <c r="C1252" s="31"/>
      <c r="D1252" s="31"/>
      <c r="E1252" s="31"/>
      <c r="F1252" s="31"/>
      <c r="G1252" s="31"/>
    </row>
    <row r="1253" spans="1:7" x14ac:dyDescent="0.3">
      <c r="A1253" s="131" t="s">
        <v>2412</v>
      </c>
      <c r="B1253" s="130">
        <v>41</v>
      </c>
      <c r="C1253" s="31"/>
      <c r="D1253" s="31"/>
      <c r="E1253" s="31"/>
      <c r="F1253" s="31"/>
      <c r="G1253" s="31"/>
    </row>
    <row r="1254" spans="1:7" x14ac:dyDescent="0.3">
      <c r="A1254" s="131" t="s">
        <v>2413</v>
      </c>
      <c r="B1254" s="130">
        <v>47</v>
      </c>
      <c r="C1254" s="31"/>
      <c r="D1254" s="31"/>
      <c r="E1254" s="31"/>
      <c r="F1254" s="31"/>
      <c r="G1254" s="31"/>
    </row>
    <row r="1255" spans="1:7" x14ac:dyDescent="0.3">
      <c r="A1255" s="131" t="s">
        <v>2414</v>
      </c>
      <c r="B1255" s="130">
        <v>68</v>
      </c>
      <c r="C1255" s="31"/>
      <c r="D1255" s="31"/>
      <c r="E1255" s="31"/>
      <c r="F1255" s="31"/>
      <c r="G1255" s="31"/>
    </row>
    <row r="1256" spans="1:7" x14ac:dyDescent="0.3">
      <c r="A1256" s="131" t="s">
        <v>2415</v>
      </c>
      <c r="B1256" s="130">
        <v>48</v>
      </c>
      <c r="C1256" s="31"/>
      <c r="D1256" s="31"/>
      <c r="E1256" s="31"/>
      <c r="F1256" s="31"/>
      <c r="G1256" s="31"/>
    </row>
    <row r="1257" spans="1:7" x14ac:dyDescent="0.3">
      <c r="A1257" s="131" t="s">
        <v>2416</v>
      </c>
      <c r="B1257" s="130">
        <v>69</v>
      </c>
      <c r="C1257" s="31"/>
      <c r="D1257" s="31"/>
      <c r="E1257" s="31"/>
      <c r="F1257" s="31"/>
      <c r="G1257" s="31"/>
    </row>
    <row r="1258" spans="1:7" x14ac:dyDescent="0.3">
      <c r="A1258" s="131" t="s">
        <v>2417</v>
      </c>
      <c r="B1258" s="130">
        <v>115</v>
      </c>
      <c r="C1258" s="31"/>
      <c r="D1258" s="31"/>
      <c r="E1258" s="31"/>
      <c r="F1258" s="31"/>
      <c r="G1258" s="31"/>
    </row>
    <row r="1259" spans="1:7" x14ac:dyDescent="0.3">
      <c r="A1259" s="131" t="s">
        <v>2418</v>
      </c>
      <c r="B1259" s="130">
        <v>75</v>
      </c>
      <c r="C1259" s="31"/>
      <c r="D1259" s="31"/>
      <c r="E1259" s="31"/>
      <c r="F1259" s="31"/>
      <c r="G1259" s="31"/>
    </row>
    <row r="1260" spans="1:7" x14ac:dyDescent="0.3">
      <c r="A1260" s="131" t="s">
        <v>2419</v>
      </c>
      <c r="B1260" s="130">
        <v>75</v>
      </c>
      <c r="C1260" s="31"/>
      <c r="D1260" s="31"/>
      <c r="E1260" s="31"/>
      <c r="F1260" s="31"/>
      <c r="G1260" s="31"/>
    </row>
    <row r="1261" spans="1:7" x14ac:dyDescent="0.3">
      <c r="A1261" s="131" t="s">
        <v>2420</v>
      </c>
      <c r="B1261" s="130">
        <v>78</v>
      </c>
      <c r="C1261" s="31"/>
      <c r="D1261" s="31"/>
      <c r="E1261" s="31"/>
      <c r="F1261" s="31"/>
      <c r="G1261" s="31"/>
    </row>
    <row r="1262" spans="1:7" x14ac:dyDescent="0.3">
      <c r="A1262" s="131" t="s">
        <v>2421</v>
      </c>
      <c r="B1262" s="130">
        <v>29</v>
      </c>
      <c r="C1262" s="31"/>
      <c r="D1262" s="31"/>
      <c r="E1262" s="31"/>
      <c r="F1262" s="31"/>
      <c r="G1262" s="31"/>
    </row>
    <row r="1263" spans="1:7" x14ac:dyDescent="0.3">
      <c r="A1263" s="131" t="s">
        <v>2422</v>
      </c>
      <c r="B1263" s="130">
        <v>59</v>
      </c>
      <c r="C1263" s="31"/>
      <c r="D1263" s="31"/>
      <c r="E1263" s="31"/>
      <c r="F1263" s="31"/>
      <c r="G1263" s="31"/>
    </row>
    <row r="1264" spans="1:7" x14ac:dyDescent="0.3">
      <c r="A1264" s="131" t="s">
        <v>2423</v>
      </c>
      <c r="B1264" s="130">
        <v>150</v>
      </c>
      <c r="C1264" s="31"/>
      <c r="D1264" s="31"/>
      <c r="E1264" s="31"/>
      <c r="F1264" s="31"/>
      <c r="G1264" s="31"/>
    </row>
    <row r="1265" spans="1:7" x14ac:dyDescent="0.3">
      <c r="A1265" s="131" t="s">
        <v>2424</v>
      </c>
      <c r="B1265" s="130">
        <v>97</v>
      </c>
      <c r="C1265" s="31"/>
      <c r="D1265" s="31"/>
      <c r="E1265" s="31"/>
      <c r="F1265" s="31"/>
      <c r="G1265" s="31"/>
    </row>
    <row r="1266" spans="1:7" x14ac:dyDescent="0.3">
      <c r="A1266" s="131" t="s">
        <v>2425</v>
      </c>
      <c r="B1266" s="130">
        <v>127</v>
      </c>
      <c r="C1266" s="31"/>
      <c r="D1266" s="31"/>
      <c r="E1266" s="31"/>
      <c r="F1266" s="31"/>
      <c r="G1266" s="31"/>
    </row>
    <row r="1267" spans="1:7" x14ac:dyDescent="0.3">
      <c r="A1267" s="131" t="s">
        <v>2426</v>
      </c>
      <c r="B1267" s="130">
        <v>124</v>
      </c>
      <c r="C1267" s="31"/>
      <c r="D1267" s="31"/>
      <c r="E1267" s="31"/>
      <c r="F1267" s="31"/>
      <c r="G1267" s="31"/>
    </row>
    <row r="1268" spans="1:7" x14ac:dyDescent="0.3">
      <c r="A1268" s="131" t="s">
        <v>2427</v>
      </c>
      <c r="B1268" s="130">
        <v>177</v>
      </c>
      <c r="C1268" s="31"/>
      <c r="D1268" s="31"/>
      <c r="E1268" s="31"/>
      <c r="F1268" s="31"/>
      <c r="G1268" s="31"/>
    </row>
    <row r="1269" spans="1:7" x14ac:dyDescent="0.3">
      <c r="A1269" s="131" t="s">
        <v>2428</v>
      </c>
      <c r="B1269" s="130">
        <v>106</v>
      </c>
      <c r="C1269" s="31"/>
      <c r="D1269" s="31"/>
      <c r="E1269" s="31"/>
      <c r="F1269" s="31"/>
      <c r="G1269" s="31"/>
    </row>
    <row r="1270" spans="1:7" x14ac:dyDescent="0.3">
      <c r="A1270" s="131" t="s">
        <v>2429</v>
      </c>
      <c r="B1270" s="130">
        <v>107</v>
      </c>
      <c r="C1270" s="31"/>
      <c r="D1270" s="31"/>
      <c r="E1270" s="31"/>
      <c r="F1270" s="31"/>
      <c r="G1270" s="31"/>
    </row>
    <row r="1271" spans="1:7" x14ac:dyDescent="0.3">
      <c r="A1271" s="131" t="s">
        <v>2430</v>
      </c>
      <c r="B1271" s="130">
        <v>159</v>
      </c>
      <c r="C1271" s="31"/>
      <c r="D1271" s="31"/>
      <c r="E1271" s="31"/>
      <c r="F1271" s="31"/>
      <c r="G1271" s="31"/>
    </row>
    <row r="1272" spans="1:7" x14ac:dyDescent="0.3">
      <c r="A1272" s="131" t="s">
        <v>2431</v>
      </c>
      <c r="B1272" s="130">
        <v>125</v>
      </c>
      <c r="C1272" s="31"/>
      <c r="D1272" s="31"/>
      <c r="E1272" s="31"/>
      <c r="F1272" s="31"/>
      <c r="G1272" s="31"/>
    </row>
    <row r="1273" spans="1:7" x14ac:dyDescent="0.3">
      <c r="A1273" s="131" t="s">
        <v>2432</v>
      </c>
      <c r="B1273" s="130">
        <v>123</v>
      </c>
      <c r="C1273" s="31"/>
      <c r="D1273" s="31"/>
      <c r="E1273" s="31"/>
      <c r="F1273" s="31"/>
      <c r="G1273" s="31"/>
    </row>
    <row r="1274" spans="1:7" x14ac:dyDescent="0.3">
      <c r="A1274" s="131" t="s">
        <v>2433</v>
      </c>
      <c r="B1274" s="130">
        <v>109</v>
      </c>
      <c r="C1274" s="31"/>
      <c r="D1274" s="31"/>
      <c r="E1274" s="31"/>
      <c r="F1274" s="31"/>
      <c r="G1274" s="31"/>
    </row>
    <row r="1275" spans="1:7" x14ac:dyDescent="0.3">
      <c r="A1275" s="131" t="s">
        <v>2434</v>
      </c>
      <c r="B1275" s="130">
        <v>71</v>
      </c>
      <c r="C1275" s="31"/>
      <c r="D1275" s="31"/>
      <c r="E1275" s="31"/>
      <c r="F1275" s="31"/>
      <c r="G1275" s="31"/>
    </row>
    <row r="1276" spans="1:7" x14ac:dyDescent="0.3">
      <c r="A1276" s="131" t="s">
        <v>2435</v>
      </c>
      <c r="B1276" s="130">
        <v>97</v>
      </c>
      <c r="C1276" s="31"/>
      <c r="D1276" s="31"/>
      <c r="E1276" s="31"/>
      <c r="F1276" s="31"/>
      <c r="G1276" s="31"/>
    </row>
    <row r="1277" spans="1:7" x14ac:dyDescent="0.3">
      <c r="A1277" s="131" t="s">
        <v>2436</v>
      </c>
      <c r="B1277" s="130">
        <v>0</v>
      </c>
      <c r="C1277" s="31"/>
      <c r="D1277" s="31"/>
      <c r="E1277" s="31"/>
      <c r="F1277" s="31"/>
      <c r="G1277" s="31"/>
    </row>
    <row r="1278" spans="1:7" x14ac:dyDescent="0.3">
      <c r="A1278" s="131" t="s">
        <v>2437</v>
      </c>
      <c r="B1278" s="130">
        <v>12</v>
      </c>
      <c r="C1278" s="31"/>
      <c r="D1278" s="31"/>
      <c r="E1278" s="31"/>
      <c r="F1278" s="31"/>
      <c r="G1278" s="31"/>
    </row>
    <row r="1279" spans="1:7" x14ac:dyDescent="0.3">
      <c r="A1279" s="131" t="s">
        <v>2438</v>
      </c>
      <c r="B1279" s="130">
        <v>20</v>
      </c>
      <c r="C1279" s="31"/>
      <c r="D1279" s="31"/>
      <c r="E1279" s="31"/>
      <c r="F1279" s="31"/>
      <c r="G1279" s="31"/>
    </row>
    <row r="1280" spans="1:7" x14ac:dyDescent="0.3">
      <c r="A1280" s="131" t="s">
        <v>2439</v>
      </c>
      <c r="B1280" s="130" t="s">
        <v>1163</v>
      </c>
      <c r="C1280" s="31"/>
      <c r="D1280" s="31"/>
      <c r="E1280" s="31"/>
      <c r="F1280" s="31"/>
      <c r="G1280" s="31"/>
    </row>
    <row r="1281" spans="1:7" x14ac:dyDescent="0.3">
      <c r="A1281" s="131" t="s">
        <v>2440</v>
      </c>
      <c r="B1281" s="130">
        <v>65</v>
      </c>
      <c r="C1281" s="31"/>
      <c r="D1281" s="31"/>
      <c r="E1281" s="31"/>
      <c r="F1281" s="31"/>
      <c r="G1281" s="31"/>
    </row>
    <row r="1282" spans="1:7" x14ac:dyDescent="0.3">
      <c r="A1282" s="131" t="s">
        <v>2441</v>
      </c>
      <c r="B1282" s="130" t="s">
        <v>1163</v>
      </c>
      <c r="C1282" s="31"/>
      <c r="D1282" s="31"/>
      <c r="E1282" s="31"/>
      <c r="F1282" s="31"/>
      <c r="G1282" s="31"/>
    </row>
    <row r="1283" spans="1:7" x14ac:dyDescent="0.3">
      <c r="A1283" s="131" t="s">
        <v>2442</v>
      </c>
      <c r="B1283" s="130" t="s">
        <v>1163</v>
      </c>
      <c r="C1283" s="31"/>
      <c r="D1283" s="31"/>
      <c r="E1283" s="31"/>
      <c r="F1283" s="31"/>
      <c r="G1283" s="31"/>
    </row>
    <row r="1284" spans="1:7" x14ac:dyDescent="0.3">
      <c r="A1284" s="131" t="s">
        <v>2443</v>
      </c>
      <c r="B1284" s="130">
        <v>21</v>
      </c>
      <c r="C1284" s="31"/>
      <c r="D1284" s="31"/>
      <c r="E1284" s="31"/>
      <c r="F1284" s="31"/>
      <c r="G1284" s="31"/>
    </row>
    <row r="1285" spans="1:7" x14ac:dyDescent="0.3">
      <c r="A1285" s="131" t="s">
        <v>2444</v>
      </c>
      <c r="B1285" s="130" t="s">
        <v>1163</v>
      </c>
      <c r="C1285" s="31"/>
      <c r="D1285" s="31"/>
      <c r="E1285" s="31"/>
      <c r="F1285" s="31"/>
      <c r="G1285" s="31"/>
    </row>
    <row r="1286" spans="1:7" x14ac:dyDescent="0.3">
      <c r="A1286" s="131" t="s">
        <v>2445</v>
      </c>
      <c r="B1286" s="130">
        <v>11</v>
      </c>
      <c r="C1286" s="31"/>
      <c r="D1286" s="31"/>
      <c r="E1286" s="31"/>
      <c r="F1286" s="31"/>
      <c r="G1286" s="31"/>
    </row>
    <row r="1287" spans="1:7" x14ac:dyDescent="0.3">
      <c r="A1287" s="131" t="s">
        <v>2446</v>
      </c>
      <c r="B1287" s="130">
        <v>12</v>
      </c>
      <c r="C1287" s="31"/>
      <c r="D1287" s="31"/>
      <c r="E1287" s="31"/>
      <c r="F1287" s="31"/>
      <c r="G1287" s="31"/>
    </row>
    <row r="1288" spans="1:7" x14ac:dyDescent="0.3">
      <c r="A1288" s="131" t="s">
        <v>2447</v>
      </c>
      <c r="B1288" s="130">
        <v>23</v>
      </c>
      <c r="C1288" s="31"/>
      <c r="D1288" s="31"/>
      <c r="E1288" s="31"/>
      <c r="F1288" s="31"/>
      <c r="G1288" s="31"/>
    </row>
    <row r="1289" spans="1:7" x14ac:dyDescent="0.3">
      <c r="A1289" s="131" t="s">
        <v>2448</v>
      </c>
      <c r="B1289" s="130">
        <v>244</v>
      </c>
      <c r="C1289" s="31"/>
      <c r="D1289" s="31"/>
      <c r="E1289" s="31"/>
      <c r="F1289" s="31"/>
      <c r="G1289" s="31"/>
    </row>
    <row r="1290" spans="1:7" x14ac:dyDescent="0.3">
      <c r="A1290" s="131" t="s">
        <v>2449</v>
      </c>
      <c r="B1290" s="130">
        <v>10</v>
      </c>
      <c r="C1290" s="31"/>
      <c r="D1290" s="31"/>
      <c r="E1290" s="31"/>
      <c r="F1290" s="31"/>
      <c r="G1290" s="31"/>
    </row>
    <row r="1291" spans="1:7" x14ac:dyDescent="0.3">
      <c r="A1291" s="131" t="s">
        <v>2450</v>
      </c>
      <c r="B1291" s="130" t="s">
        <v>1163</v>
      </c>
      <c r="C1291" s="31"/>
      <c r="D1291" s="31"/>
      <c r="E1291" s="31"/>
      <c r="F1291" s="31"/>
      <c r="G1291" s="31"/>
    </row>
    <row r="1292" spans="1:7" x14ac:dyDescent="0.3">
      <c r="A1292" s="131" t="s">
        <v>2451</v>
      </c>
      <c r="B1292" s="130" t="s">
        <v>1163</v>
      </c>
      <c r="C1292" s="31"/>
      <c r="D1292" s="31"/>
      <c r="E1292" s="31"/>
      <c r="F1292" s="31"/>
      <c r="G1292" s="31"/>
    </row>
    <row r="1293" spans="1:7" x14ac:dyDescent="0.3">
      <c r="A1293" s="131" t="s">
        <v>2452</v>
      </c>
      <c r="B1293" s="130" t="s">
        <v>1163</v>
      </c>
      <c r="C1293" s="31"/>
      <c r="D1293" s="31"/>
      <c r="E1293" s="31"/>
      <c r="F1293" s="31"/>
      <c r="G1293" s="31"/>
    </row>
    <row r="1294" spans="1:7" x14ac:dyDescent="0.3">
      <c r="A1294" s="131" t="s">
        <v>2453</v>
      </c>
      <c r="B1294" s="130" t="s">
        <v>1163</v>
      </c>
      <c r="C1294" s="31"/>
      <c r="D1294" s="31"/>
      <c r="E1294" s="31"/>
      <c r="F1294" s="31"/>
      <c r="G1294" s="31"/>
    </row>
    <row r="1295" spans="1:7" x14ac:dyDescent="0.3">
      <c r="A1295" s="131" t="s">
        <v>2454</v>
      </c>
      <c r="B1295" s="130">
        <v>16</v>
      </c>
      <c r="C1295" s="31"/>
      <c r="D1295" s="31"/>
      <c r="E1295" s="31"/>
      <c r="F1295" s="31"/>
      <c r="G1295" s="31"/>
    </row>
    <row r="1296" spans="1:7" x14ac:dyDescent="0.3">
      <c r="A1296" s="131" t="s">
        <v>2455</v>
      </c>
      <c r="B1296" s="130" t="s">
        <v>1163</v>
      </c>
      <c r="C1296" s="31"/>
      <c r="D1296" s="31"/>
      <c r="E1296" s="31"/>
      <c r="F1296" s="31"/>
      <c r="G1296" s="31"/>
    </row>
    <row r="1297" spans="1:7" x14ac:dyDescent="0.3">
      <c r="A1297" s="131" t="s">
        <v>2456</v>
      </c>
      <c r="B1297" s="130">
        <v>12</v>
      </c>
      <c r="C1297" s="31"/>
      <c r="D1297" s="31"/>
      <c r="E1297" s="31"/>
      <c r="F1297" s="31"/>
      <c r="G1297" s="31"/>
    </row>
    <row r="1298" spans="1:7" x14ac:dyDescent="0.3">
      <c r="A1298" s="131" t="s">
        <v>2457</v>
      </c>
      <c r="B1298" s="130" t="s">
        <v>1163</v>
      </c>
      <c r="C1298" s="31"/>
      <c r="D1298" s="31"/>
      <c r="E1298" s="31"/>
      <c r="F1298" s="31"/>
      <c r="G1298" s="31"/>
    </row>
    <row r="1299" spans="1:7" x14ac:dyDescent="0.3">
      <c r="A1299" s="131" t="s">
        <v>2458</v>
      </c>
      <c r="B1299" s="130">
        <v>34</v>
      </c>
      <c r="C1299" s="31"/>
      <c r="D1299" s="31"/>
      <c r="E1299" s="31"/>
      <c r="F1299" s="31"/>
      <c r="G1299" s="31"/>
    </row>
    <row r="1300" spans="1:7" x14ac:dyDescent="0.3">
      <c r="A1300" s="131" t="s">
        <v>2459</v>
      </c>
      <c r="B1300" s="130">
        <v>112</v>
      </c>
      <c r="C1300" s="31"/>
      <c r="D1300" s="31"/>
      <c r="E1300" s="31"/>
      <c r="F1300" s="31"/>
      <c r="G1300" s="31"/>
    </row>
    <row r="1301" spans="1:7" x14ac:dyDescent="0.3">
      <c r="A1301" s="131" t="s">
        <v>2460</v>
      </c>
      <c r="B1301" s="130">
        <v>11</v>
      </c>
      <c r="C1301" s="31"/>
      <c r="D1301" s="31"/>
      <c r="E1301" s="31"/>
      <c r="F1301" s="31"/>
      <c r="G1301" s="31"/>
    </row>
    <row r="1302" spans="1:7" x14ac:dyDescent="0.3">
      <c r="A1302" s="131" t="s">
        <v>2461</v>
      </c>
      <c r="B1302" s="130">
        <v>22</v>
      </c>
      <c r="C1302" s="31"/>
      <c r="D1302" s="31"/>
      <c r="E1302" s="31"/>
      <c r="F1302" s="31"/>
      <c r="G1302" s="31"/>
    </row>
    <row r="1303" spans="1:7" x14ac:dyDescent="0.3">
      <c r="A1303" s="131" t="s">
        <v>2462</v>
      </c>
      <c r="B1303" s="130">
        <v>0</v>
      </c>
      <c r="C1303" s="31"/>
      <c r="D1303" s="31"/>
      <c r="E1303" s="31"/>
      <c r="F1303" s="31"/>
      <c r="G1303" s="31"/>
    </row>
    <row r="1304" spans="1:7" x14ac:dyDescent="0.3">
      <c r="A1304" s="131" t="s">
        <v>2463</v>
      </c>
      <c r="B1304" s="130">
        <v>0</v>
      </c>
      <c r="C1304" s="31"/>
      <c r="D1304" s="31"/>
      <c r="E1304" s="31"/>
      <c r="F1304" s="31"/>
      <c r="G1304" s="31"/>
    </row>
    <row r="1305" spans="1:7" x14ac:dyDescent="0.3">
      <c r="A1305" s="131" t="s">
        <v>2464</v>
      </c>
      <c r="B1305" s="130">
        <v>0</v>
      </c>
      <c r="C1305" s="31"/>
      <c r="D1305" s="31"/>
      <c r="E1305" s="31"/>
      <c r="F1305" s="31"/>
      <c r="G1305" s="31"/>
    </row>
    <row r="1306" spans="1:7" x14ac:dyDescent="0.3">
      <c r="A1306" s="131" t="s">
        <v>2465</v>
      </c>
      <c r="B1306" s="130">
        <v>60</v>
      </c>
      <c r="C1306" s="31"/>
      <c r="D1306" s="31"/>
      <c r="E1306" s="31"/>
      <c r="F1306" s="31"/>
      <c r="G1306" s="31"/>
    </row>
    <row r="1307" spans="1:7" x14ac:dyDescent="0.3">
      <c r="A1307" s="131" t="s">
        <v>2466</v>
      </c>
      <c r="B1307" s="130">
        <v>25</v>
      </c>
      <c r="C1307" s="31"/>
      <c r="D1307" s="31"/>
      <c r="E1307" s="31"/>
      <c r="F1307" s="31"/>
      <c r="G1307" s="31"/>
    </row>
    <row r="1308" spans="1:7" x14ac:dyDescent="0.3">
      <c r="A1308" s="131" t="s">
        <v>2467</v>
      </c>
      <c r="B1308" s="130" t="s">
        <v>1163</v>
      </c>
      <c r="C1308" s="31"/>
      <c r="D1308" s="31"/>
      <c r="E1308" s="31"/>
      <c r="F1308" s="31"/>
      <c r="G1308" s="31"/>
    </row>
    <row r="1309" spans="1:7" x14ac:dyDescent="0.3">
      <c r="A1309" s="131" t="s">
        <v>2468</v>
      </c>
      <c r="B1309" s="130" t="s">
        <v>1163</v>
      </c>
      <c r="C1309" s="31"/>
      <c r="D1309" s="31"/>
      <c r="E1309" s="31"/>
      <c r="F1309" s="31"/>
      <c r="G1309" s="31"/>
    </row>
    <row r="1310" spans="1:7" x14ac:dyDescent="0.3">
      <c r="A1310" s="131" t="s">
        <v>2469</v>
      </c>
      <c r="B1310" s="130" t="s">
        <v>1163</v>
      </c>
      <c r="C1310" s="31"/>
      <c r="D1310" s="31"/>
      <c r="E1310" s="31"/>
      <c r="F1310" s="31"/>
      <c r="G1310" s="31"/>
    </row>
    <row r="1311" spans="1:7" x14ac:dyDescent="0.3">
      <c r="A1311" s="131" t="s">
        <v>2470</v>
      </c>
      <c r="B1311" s="130" t="s">
        <v>1163</v>
      </c>
      <c r="C1311" s="31"/>
      <c r="D1311" s="31"/>
      <c r="E1311" s="31"/>
      <c r="F1311" s="31"/>
      <c r="G1311" s="31"/>
    </row>
    <row r="1312" spans="1:7" x14ac:dyDescent="0.3">
      <c r="A1312" s="131" t="s">
        <v>2471</v>
      </c>
      <c r="B1312" s="130" t="s">
        <v>1163</v>
      </c>
      <c r="C1312" s="31"/>
      <c r="D1312" s="31"/>
      <c r="E1312" s="31"/>
      <c r="F1312" s="31"/>
      <c r="G1312" s="31"/>
    </row>
    <row r="1313" spans="1:7" x14ac:dyDescent="0.3">
      <c r="A1313" s="131" t="s">
        <v>2472</v>
      </c>
      <c r="B1313" s="130" t="s">
        <v>1163</v>
      </c>
      <c r="C1313" s="31"/>
      <c r="D1313" s="31"/>
      <c r="E1313" s="31"/>
      <c r="F1313" s="31"/>
      <c r="G1313" s="31"/>
    </row>
    <row r="1314" spans="1:7" x14ac:dyDescent="0.3">
      <c r="A1314" s="131" t="s">
        <v>2473</v>
      </c>
      <c r="B1314" s="130" t="s">
        <v>1163</v>
      </c>
      <c r="C1314" s="31"/>
      <c r="D1314" s="31"/>
      <c r="E1314" s="31"/>
      <c r="F1314" s="31"/>
      <c r="G1314" s="31"/>
    </row>
    <row r="1315" spans="1:7" x14ac:dyDescent="0.3">
      <c r="A1315" s="131" t="s">
        <v>2474</v>
      </c>
      <c r="B1315" s="130" t="s">
        <v>1163</v>
      </c>
      <c r="C1315" s="31"/>
      <c r="D1315" s="31"/>
      <c r="E1315" s="31"/>
      <c r="F1315" s="31"/>
      <c r="G1315" s="31"/>
    </row>
    <row r="1316" spans="1:7" x14ac:dyDescent="0.3">
      <c r="A1316" s="131" t="s">
        <v>2475</v>
      </c>
      <c r="B1316" s="130">
        <v>0</v>
      </c>
      <c r="C1316" s="31"/>
      <c r="D1316" s="31"/>
      <c r="E1316" s="31"/>
      <c r="F1316" s="31"/>
      <c r="G1316" s="31"/>
    </row>
    <row r="1317" spans="1:7" x14ac:dyDescent="0.3">
      <c r="A1317" s="131" t="s">
        <v>2476</v>
      </c>
      <c r="B1317" s="130" t="s">
        <v>1163</v>
      </c>
      <c r="C1317" s="31"/>
      <c r="D1317" s="31"/>
      <c r="E1317" s="31"/>
      <c r="F1317" s="31"/>
      <c r="G1317" s="31"/>
    </row>
    <row r="1318" spans="1:7" x14ac:dyDescent="0.3">
      <c r="A1318" s="131" t="s">
        <v>2477</v>
      </c>
      <c r="B1318" s="130">
        <v>16</v>
      </c>
      <c r="C1318" s="31"/>
      <c r="D1318" s="31"/>
      <c r="E1318" s="31"/>
      <c r="F1318" s="31"/>
      <c r="G1318" s="31"/>
    </row>
    <row r="1319" spans="1:7" x14ac:dyDescent="0.3">
      <c r="A1319" s="131" t="s">
        <v>2478</v>
      </c>
      <c r="B1319" s="130">
        <v>13</v>
      </c>
      <c r="C1319" s="31"/>
      <c r="D1319" s="31"/>
      <c r="E1319" s="31"/>
      <c r="F1319" s="31"/>
      <c r="G1319" s="31"/>
    </row>
    <row r="1320" spans="1:7" x14ac:dyDescent="0.3">
      <c r="A1320" s="131" t="s">
        <v>2479</v>
      </c>
      <c r="B1320" s="130" t="s">
        <v>1163</v>
      </c>
      <c r="C1320" s="31"/>
      <c r="D1320" s="31"/>
      <c r="E1320" s="31"/>
      <c r="F1320" s="31"/>
      <c r="G1320" s="31"/>
    </row>
    <row r="1321" spans="1:7" x14ac:dyDescent="0.3">
      <c r="A1321" s="131" t="s">
        <v>2480</v>
      </c>
      <c r="B1321" s="130" t="s">
        <v>1163</v>
      </c>
      <c r="C1321" s="31"/>
      <c r="D1321" s="31"/>
      <c r="E1321" s="31"/>
      <c r="F1321" s="31"/>
      <c r="G1321" s="31"/>
    </row>
    <row r="1322" spans="1:7" x14ac:dyDescent="0.3">
      <c r="A1322" s="131" t="s">
        <v>2481</v>
      </c>
      <c r="B1322" s="130" t="s">
        <v>1163</v>
      </c>
      <c r="C1322" s="31"/>
      <c r="D1322" s="31"/>
      <c r="E1322" s="31"/>
      <c r="F1322" s="31"/>
      <c r="G1322" s="31"/>
    </row>
    <row r="1323" spans="1:7" x14ac:dyDescent="0.3">
      <c r="A1323" s="131" t="s">
        <v>2482</v>
      </c>
      <c r="B1323" s="130" t="s">
        <v>1163</v>
      </c>
      <c r="C1323" s="31"/>
      <c r="D1323" s="31"/>
      <c r="E1323" s="31"/>
      <c r="F1323" s="31"/>
      <c r="G1323" s="31"/>
    </row>
    <row r="1324" spans="1:7" x14ac:dyDescent="0.3">
      <c r="A1324" s="131" t="s">
        <v>2483</v>
      </c>
      <c r="B1324" s="130" t="s">
        <v>1163</v>
      </c>
      <c r="C1324" s="31"/>
      <c r="D1324" s="31"/>
      <c r="E1324" s="31"/>
      <c r="F1324" s="31"/>
      <c r="G1324" s="31"/>
    </row>
    <row r="1325" spans="1:7" x14ac:dyDescent="0.3">
      <c r="A1325" s="131" t="s">
        <v>2484</v>
      </c>
      <c r="B1325" s="130">
        <v>26</v>
      </c>
      <c r="C1325" s="31"/>
      <c r="D1325" s="31"/>
      <c r="E1325" s="31"/>
      <c r="F1325" s="31"/>
      <c r="G1325" s="31"/>
    </row>
    <row r="1326" spans="1:7" x14ac:dyDescent="0.3">
      <c r="A1326" s="131" t="s">
        <v>2485</v>
      </c>
      <c r="B1326" s="130">
        <v>23</v>
      </c>
      <c r="C1326" s="31"/>
      <c r="D1326" s="31"/>
      <c r="E1326" s="31"/>
      <c r="F1326" s="31"/>
      <c r="G1326" s="31"/>
    </row>
    <row r="1327" spans="1:7" x14ac:dyDescent="0.3">
      <c r="A1327" s="131" t="s">
        <v>2486</v>
      </c>
      <c r="B1327" s="130">
        <v>32</v>
      </c>
      <c r="C1327" s="31"/>
      <c r="D1327" s="31"/>
      <c r="E1327" s="31"/>
      <c r="F1327" s="31"/>
      <c r="G1327" s="31"/>
    </row>
    <row r="1328" spans="1:7" x14ac:dyDescent="0.3">
      <c r="A1328" s="131" t="s">
        <v>2487</v>
      </c>
      <c r="B1328" s="130" t="s">
        <v>1163</v>
      </c>
      <c r="C1328" s="31"/>
      <c r="D1328" s="31"/>
      <c r="E1328" s="31"/>
      <c r="F1328" s="31"/>
      <c r="G1328" s="31"/>
    </row>
    <row r="1329" spans="1:7" x14ac:dyDescent="0.3">
      <c r="A1329" s="131" t="s">
        <v>2488</v>
      </c>
      <c r="B1329" s="130" t="s">
        <v>1163</v>
      </c>
      <c r="C1329" s="31"/>
      <c r="D1329" s="31"/>
      <c r="E1329" s="31"/>
      <c r="F1329" s="31"/>
      <c r="G1329" s="31"/>
    </row>
    <row r="1330" spans="1:7" x14ac:dyDescent="0.3">
      <c r="A1330" s="131" t="s">
        <v>2489</v>
      </c>
      <c r="B1330" s="130">
        <v>0</v>
      </c>
      <c r="C1330" s="31"/>
      <c r="D1330" s="31"/>
      <c r="E1330" s="31"/>
      <c r="F1330" s="31"/>
      <c r="G1330" s="31"/>
    </row>
    <row r="1331" spans="1:7" x14ac:dyDescent="0.3">
      <c r="A1331" s="131" t="s">
        <v>2490</v>
      </c>
      <c r="B1331" s="130">
        <v>0</v>
      </c>
      <c r="C1331" s="31"/>
      <c r="D1331" s="31"/>
      <c r="E1331" s="31"/>
      <c r="F1331" s="31"/>
      <c r="G1331" s="31"/>
    </row>
    <row r="1332" spans="1:7" x14ac:dyDescent="0.3">
      <c r="A1332" s="131" t="s">
        <v>2491</v>
      </c>
      <c r="B1332" s="130">
        <v>0</v>
      </c>
      <c r="C1332" s="31"/>
      <c r="D1332" s="31"/>
      <c r="E1332" s="31"/>
      <c r="F1332" s="31"/>
      <c r="G1332" s="31"/>
    </row>
    <row r="1333" spans="1:7" x14ac:dyDescent="0.3">
      <c r="A1333" s="131" t="s">
        <v>2492</v>
      </c>
      <c r="B1333" s="130">
        <v>0</v>
      </c>
      <c r="C1333" s="31"/>
      <c r="D1333" s="31"/>
      <c r="E1333" s="31"/>
      <c r="F1333" s="31"/>
      <c r="G1333" s="31"/>
    </row>
    <row r="1334" spans="1:7" x14ac:dyDescent="0.3">
      <c r="A1334" s="131" t="s">
        <v>2493</v>
      </c>
      <c r="B1334" s="130">
        <v>0</v>
      </c>
      <c r="C1334" s="31"/>
      <c r="D1334" s="31"/>
      <c r="E1334" s="31"/>
      <c r="F1334" s="31"/>
      <c r="G1334" s="31"/>
    </row>
    <row r="1335" spans="1:7" x14ac:dyDescent="0.3">
      <c r="A1335" s="131" t="s">
        <v>2494</v>
      </c>
      <c r="B1335" s="130">
        <v>0</v>
      </c>
      <c r="C1335" s="31"/>
      <c r="D1335" s="31"/>
      <c r="E1335" s="31"/>
      <c r="F1335" s="31"/>
      <c r="G1335" s="31"/>
    </row>
    <row r="1336" spans="1:7" x14ac:dyDescent="0.3">
      <c r="A1336" s="131" t="s">
        <v>2495</v>
      </c>
      <c r="B1336" s="130">
        <v>123</v>
      </c>
      <c r="C1336" s="31"/>
      <c r="D1336" s="31"/>
      <c r="E1336" s="31"/>
      <c r="F1336" s="31"/>
      <c r="G1336" s="31"/>
    </row>
    <row r="1337" spans="1:7" x14ac:dyDescent="0.3">
      <c r="A1337" s="131" t="s">
        <v>2496</v>
      </c>
      <c r="B1337" s="130">
        <v>162</v>
      </c>
      <c r="C1337" s="31"/>
      <c r="D1337" s="31"/>
      <c r="E1337" s="31"/>
      <c r="F1337" s="31"/>
      <c r="G1337" s="31"/>
    </row>
    <row r="1338" spans="1:7" x14ac:dyDescent="0.3">
      <c r="A1338" s="131" t="s">
        <v>2497</v>
      </c>
      <c r="B1338" s="130">
        <v>76</v>
      </c>
      <c r="C1338" s="31"/>
      <c r="D1338" s="31"/>
      <c r="E1338" s="31"/>
      <c r="F1338" s="31"/>
      <c r="G1338" s="31"/>
    </row>
    <row r="1339" spans="1:7" x14ac:dyDescent="0.3">
      <c r="A1339" s="131" t="s">
        <v>2498</v>
      </c>
      <c r="B1339" s="130">
        <v>36</v>
      </c>
      <c r="C1339" s="31"/>
      <c r="D1339" s="31"/>
      <c r="E1339" s="31"/>
      <c r="F1339" s="31"/>
      <c r="G1339" s="31"/>
    </row>
    <row r="1340" spans="1:7" x14ac:dyDescent="0.3">
      <c r="A1340" s="131" t="s">
        <v>2499</v>
      </c>
      <c r="B1340" s="130">
        <v>56</v>
      </c>
      <c r="C1340" s="31"/>
      <c r="D1340" s="31"/>
      <c r="E1340" s="31"/>
      <c r="F1340" s="31"/>
      <c r="G1340" s="31"/>
    </row>
    <row r="1341" spans="1:7" x14ac:dyDescent="0.3">
      <c r="A1341" s="131" t="s">
        <v>2500</v>
      </c>
      <c r="B1341" s="130" t="s">
        <v>1163</v>
      </c>
      <c r="C1341" s="31"/>
      <c r="D1341" s="31"/>
      <c r="E1341" s="31"/>
      <c r="F1341" s="31"/>
      <c r="G1341" s="31"/>
    </row>
    <row r="1342" spans="1:7" x14ac:dyDescent="0.3">
      <c r="A1342" s="131" t="s">
        <v>2501</v>
      </c>
      <c r="B1342" s="130">
        <v>27</v>
      </c>
      <c r="C1342" s="31"/>
      <c r="D1342" s="31"/>
      <c r="E1342" s="31"/>
      <c r="F1342" s="31"/>
      <c r="G1342" s="31"/>
    </row>
    <row r="1343" spans="1:7" x14ac:dyDescent="0.3">
      <c r="A1343" s="131" t="s">
        <v>2502</v>
      </c>
      <c r="B1343" s="130">
        <v>10</v>
      </c>
      <c r="C1343" s="31"/>
      <c r="D1343" s="31"/>
      <c r="E1343" s="31"/>
      <c r="F1343" s="31"/>
      <c r="G1343" s="31"/>
    </row>
    <row r="1344" spans="1:7" x14ac:dyDescent="0.3">
      <c r="A1344" s="131" t="s">
        <v>2503</v>
      </c>
      <c r="B1344" s="130">
        <v>17</v>
      </c>
      <c r="C1344" s="31"/>
      <c r="D1344" s="31"/>
      <c r="E1344" s="31"/>
      <c r="F1344" s="31"/>
      <c r="G1344" s="31"/>
    </row>
    <row r="1345" spans="1:7" x14ac:dyDescent="0.3">
      <c r="A1345" s="131" t="s">
        <v>2504</v>
      </c>
      <c r="B1345" s="130">
        <v>48</v>
      </c>
      <c r="C1345" s="31"/>
      <c r="D1345" s="31"/>
      <c r="E1345" s="31"/>
      <c r="F1345" s="31"/>
      <c r="G1345" s="31"/>
    </row>
    <row r="1346" spans="1:7" x14ac:dyDescent="0.3">
      <c r="A1346" s="131" t="s">
        <v>2505</v>
      </c>
      <c r="B1346" s="130">
        <v>25</v>
      </c>
      <c r="C1346" s="31"/>
      <c r="D1346" s="31"/>
      <c r="E1346" s="31"/>
      <c r="F1346" s="31"/>
      <c r="G1346" s="31"/>
    </row>
    <row r="1347" spans="1:7" x14ac:dyDescent="0.3">
      <c r="A1347" s="131" t="s">
        <v>2506</v>
      </c>
      <c r="B1347" s="130">
        <v>46</v>
      </c>
      <c r="C1347" s="31"/>
      <c r="D1347" s="31"/>
      <c r="E1347" s="31"/>
      <c r="F1347" s="31"/>
      <c r="G1347" s="31"/>
    </row>
    <row r="1348" spans="1:7" x14ac:dyDescent="0.3">
      <c r="A1348" s="131" t="s">
        <v>2507</v>
      </c>
      <c r="B1348" s="130">
        <v>12</v>
      </c>
      <c r="C1348" s="31"/>
      <c r="D1348" s="31"/>
      <c r="E1348" s="31"/>
      <c r="F1348" s="31"/>
      <c r="G1348" s="31"/>
    </row>
    <row r="1349" spans="1:7" x14ac:dyDescent="0.3">
      <c r="A1349" s="131" t="s">
        <v>2508</v>
      </c>
      <c r="B1349" s="130">
        <v>28</v>
      </c>
      <c r="C1349" s="31"/>
      <c r="D1349" s="31"/>
      <c r="E1349" s="31"/>
      <c r="F1349" s="31"/>
      <c r="G1349" s="31"/>
    </row>
    <row r="1350" spans="1:7" x14ac:dyDescent="0.3">
      <c r="A1350" s="131" t="s">
        <v>2509</v>
      </c>
      <c r="B1350" s="130">
        <v>31</v>
      </c>
      <c r="C1350" s="31"/>
      <c r="D1350" s="31"/>
      <c r="E1350" s="31"/>
      <c r="F1350" s="31"/>
      <c r="G1350" s="31"/>
    </row>
    <row r="1351" spans="1:7" x14ac:dyDescent="0.3">
      <c r="A1351" s="131" t="s">
        <v>2510</v>
      </c>
      <c r="B1351" s="130">
        <v>58</v>
      </c>
      <c r="C1351" s="31"/>
      <c r="D1351" s="31"/>
      <c r="E1351" s="31"/>
      <c r="F1351" s="31"/>
      <c r="G1351" s="31"/>
    </row>
    <row r="1352" spans="1:7" x14ac:dyDescent="0.3">
      <c r="A1352" s="131" t="s">
        <v>2511</v>
      </c>
      <c r="B1352" s="130">
        <v>25</v>
      </c>
      <c r="C1352" s="31"/>
      <c r="D1352" s="31"/>
      <c r="E1352" s="31"/>
      <c r="F1352" s="31"/>
      <c r="G1352" s="31"/>
    </row>
    <row r="1353" spans="1:7" x14ac:dyDescent="0.3">
      <c r="A1353" s="131" t="s">
        <v>2512</v>
      </c>
      <c r="B1353" s="130">
        <v>11</v>
      </c>
      <c r="C1353" s="31"/>
      <c r="D1353" s="31"/>
      <c r="E1353" s="31"/>
      <c r="F1353" s="31"/>
      <c r="G1353" s="31"/>
    </row>
    <row r="1354" spans="1:7" x14ac:dyDescent="0.3">
      <c r="A1354" s="131" t="s">
        <v>2513</v>
      </c>
      <c r="B1354" s="130">
        <v>21</v>
      </c>
      <c r="C1354" s="31"/>
      <c r="D1354" s="31"/>
      <c r="E1354" s="31"/>
      <c r="F1354" s="31"/>
      <c r="G1354" s="31"/>
    </row>
    <row r="1355" spans="1:7" x14ac:dyDescent="0.3">
      <c r="A1355" s="131" t="s">
        <v>2514</v>
      </c>
      <c r="B1355" s="130" t="s">
        <v>1163</v>
      </c>
      <c r="C1355" s="31"/>
      <c r="D1355" s="31"/>
      <c r="E1355" s="31"/>
      <c r="F1355" s="31"/>
      <c r="G1355" s="31"/>
    </row>
    <row r="1356" spans="1:7" x14ac:dyDescent="0.3">
      <c r="A1356" s="131" t="s">
        <v>2515</v>
      </c>
      <c r="B1356" s="130" t="s">
        <v>1163</v>
      </c>
      <c r="C1356" s="31"/>
      <c r="D1356" s="31"/>
      <c r="E1356" s="31"/>
      <c r="F1356" s="31"/>
      <c r="G1356" s="31"/>
    </row>
    <row r="1357" spans="1:7" x14ac:dyDescent="0.3">
      <c r="A1357" s="131" t="s">
        <v>2516</v>
      </c>
      <c r="B1357" s="130">
        <v>13</v>
      </c>
      <c r="C1357" s="31"/>
      <c r="D1357" s="31"/>
      <c r="E1357" s="31"/>
      <c r="F1357" s="31"/>
      <c r="G1357" s="31"/>
    </row>
    <row r="1358" spans="1:7" x14ac:dyDescent="0.3">
      <c r="A1358" s="131" t="s">
        <v>2517</v>
      </c>
      <c r="B1358" s="130">
        <v>240</v>
      </c>
      <c r="C1358" s="31"/>
      <c r="D1358" s="31"/>
      <c r="E1358" s="31"/>
      <c r="F1358" s="31"/>
      <c r="G1358" s="31"/>
    </row>
    <row r="1359" spans="1:7" x14ac:dyDescent="0.3">
      <c r="A1359" s="131" t="s">
        <v>2518</v>
      </c>
      <c r="B1359" s="130">
        <v>52</v>
      </c>
      <c r="C1359" s="31"/>
      <c r="D1359" s="31"/>
      <c r="E1359" s="31"/>
      <c r="F1359" s="31"/>
      <c r="G1359" s="31"/>
    </row>
    <row r="1360" spans="1:7" x14ac:dyDescent="0.3">
      <c r="A1360" s="131" t="s">
        <v>2519</v>
      </c>
      <c r="B1360" s="130">
        <v>30</v>
      </c>
      <c r="C1360" s="31"/>
      <c r="D1360" s="31"/>
      <c r="E1360" s="31"/>
      <c r="F1360" s="31"/>
      <c r="G1360" s="31"/>
    </row>
    <row r="1361" spans="1:7" x14ac:dyDescent="0.3">
      <c r="A1361" s="131" t="s">
        <v>2520</v>
      </c>
      <c r="B1361" s="130">
        <v>45</v>
      </c>
      <c r="C1361" s="31"/>
      <c r="D1361" s="31"/>
      <c r="E1361" s="31"/>
      <c r="F1361" s="31"/>
      <c r="G1361" s="31"/>
    </row>
    <row r="1362" spans="1:7" x14ac:dyDescent="0.3">
      <c r="A1362" s="131" t="s">
        <v>2521</v>
      </c>
      <c r="B1362" s="130">
        <v>69</v>
      </c>
      <c r="C1362" s="31"/>
      <c r="D1362" s="31"/>
      <c r="E1362" s="31"/>
      <c r="F1362" s="31"/>
      <c r="G1362" s="31"/>
    </row>
    <row r="1363" spans="1:7" x14ac:dyDescent="0.3">
      <c r="A1363" s="131" t="s">
        <v>2522</v>
      </c>
      <c r="B1363" s="130">
        <v>194</v>
      </c>
      <c r="C1363" s="31"/>
      <c r="D1363" s="31"/>
      <c r="E1363" s="31"/>
      <c r="F1363" s="31"/>
      <c r="G1363" s="31"/>
    </row>
    <row r="1364" spans="1:7" x14ac:dyDescent="0.3">
      <c r="A1364" s="131" t="s">
        <v>2523</v>
      </c>
      <c r="B1364" s="130">
        <v>22</v>
      </c>
      <c r="C1364" s="31"/>
      <c r="D1364" s="31"/>
      <c r="E1364" s="31"/>
      <c r="F1364" s="31"/>
      <c r="G1364" s="31"/>
    </row>
    <row r="1365" spans="1:7" x14ac:dyDescent="0.3">
      <c r="A1365" s="131" t="s">
        <v>2524</v>
      </c>
      <c r="B1365" s="130">
        <v>66</v>
      </c>
      <c r="C1365" s="31"/>
      <c r="D1365" s="31"/>
      <c r="E1365" s="31"/>
      <c r="F1365" s="31"/>
      <c r="G1365" s="31"/>
    </row>
    <row r="1366" spans="1:7" x14ac:dyDescent="0.3">
      <c r="A1366" s="131" t="s">
        <v>2525</v>
      </c>
      <c r="B1366" s="130">
        <v>82</v>
      </c>
      <c r="C1366" s="31"/>
      <c r="D1366" s="31"/>
      <c r="E1366" s="31"/>
      <c r="F1366" s="31"/>
      <c r="G1366" s="31"/>
    </row>
    <row r="1367" spans="1:7" x14ac:dyDescent="0.3">
      <c r="A1367" s="131" t="s">
        <v>2526</v>
      </c>
      <c r="B1367" s="130">
        <v>347</v>
      </c>
      <c r="C1367" s="31"/>
      <c r="D1367" s="31"/>
      <c r="E1367" s="31"/>
      <c r="F1367" s="31"/>
      <c r="G1367" s="31"/>
    </row>
    <row r="1368" spans="1:7" x14ac:dyDescent="0.3">
      <c r="A1368" s="131" t="s">
        <v>2527</v>
      </c>
      <c r="B1368" s="130">
        <v>248</v>
      </c>
      <c r="C1368" s="31"/>
      <c r="D1368" s="31"/>
      <c r="E1368" s="31"/>
      <c r="F1368" s="31"/>
      <c r="G1368" s="31"/>
    </row>
    <row r="1369" spans="1:7" x14ac:dyDescent="0.3">
      <c r="A1369" s="131" t="s">
        <v>2528</v>
      </c>
      <c r="B1369" s="130">
        <v>320</v>
      </c>
      <c r="C1369" s="31"/>
      <c r="D1369" s="31"/>
      <c r="E1369" s="31"/>
      <c r="F1369" s="31"/>
      <c r="G1369" s="31"/>
    </row>
    <row r="1370" spans="1:7" x14ac:dyDescent="0.3">
      <c r="A1370" s="131" t="s">
        <v>2529</v>
      </c>
      <c r="B1370" s="130">
        <v>299</v>
      </c>
      <c r="C1370" s="31"/>
      <c r="D1370" s="31"/>
      <c r="E1370" s="31"/>
      <c r="F1370" s="31"/>
      <c r="G1370" s="31"/>
    </row>
    <row r="1371" spans="1:7" x14ac:dyDescent="0.3">
      <c r="A1371" s="131" t="s">
        <v>2530</v>
      </c>
      <c r="B1371" s="130">
        <v>102</v>
      </c>
      <c r="C1371" s="31"/>
      <c r="D1371" s="31"/>
      <c r="E1371" s="31"/>
      <c r="F1371" s="31"/>
      <c r="G1371" s="31"/>
    </row>
    <row r="1372" spans="1:7" x14ac:dyDescent="0.3">
      <c r="A1372" s="131" t="s">
        <v>2531</v>
      </c>
      <c r="B1372" s="130">
        <v>182</v>
      </c>
      <c r="C1372" s="31"/>
      <c r="D1372" s="31"/>
      <c r="E1372" s="31"/>
      <c r="F1372" s="31"/>
      <c r="G1372" s="31"/>
    </row>
    <row r="1373" spans="1:7" x14ac:dyDescent="0.3">
      <c r="A1373" s="131" t="s">
        <v>2532</v>
      </c>
      <c r="B1373" s="130">
        <v>124</v>
      </c>
      <c r="C1373" s="31"/>
      <c r="D1373" s="31"/>
      <c r="E1373" s="31"/>
      <c r="F1373" s="31"/>
      <c r="G1373" s="31"/>
    </row>
    <row r="1374" spans="1:7" x14ac:dyDescent="0.3">
      <c r="A1374" s="131" t="s">
        <v>2533</v>
      </c>
      <c r="B1374" s="130">
        <v>237</v>
      </c>
      <c r="C1374" s="31"/>
      <c r="D1374" s="31"/>
      <c r="E1374" s="31"/>
      <c r="F1374" s="31"/>
      <c r="G1374" s="31"/>
    </row>
    <row r="1375" spans="1:7" x14ac:dyDescent="0.3">
      <c r="A1375" s="131" t="s">
        <v>2534</v>
      </c>
      <c r="B1375" s="130">
        <v>161</v>
      </c>
      <c r="C1375" s="31"/>
      <c r="D1375" s="31"/>
      <c r="E1375" s="31"/>
      <c r="F1375" s="31"/>
      <c r="G1375" s="31"/>
    </row>
    <row r="1376" spans="1:7" x14ac:dyDescent="0.3">
      <c r="A1376" s="131" t="s">
        <v>2535</v>
      </c>
      <c r="B1376" s="130">
        <v>250</v>
      </c>
      <c r="C1376" s="31"/>
      <c r="D1376" s="31"/>
      <c r="E1376" s="31"/>
      <c r="F1376" s="31"/>
      <c r="G1376" s="31"/>
    </row>
    <row r="1377" spans="1:7" x14ac:dyDescent="0.3">
      <c r="A1377" s="131" t="s">
        <v>2536</v>
      </c>
      <c r="B1377" s="130">
        <v>215</v>
      </c>
      <c r="C1377" s="31"/>
      <c r="D1377" s="31"/>
      <c r="E1377" s="31"/>
      <c r="F1377" s="31"/>
      <c r="G1377" s="31"/>
    </row>
    <row r="1378" spans="1:7" x14ac:dyDescent="0.3">
      <c r="A1378" s="131" t="s">
        <v>2537</v>
      </c>
      <c r="B1378" s="130">
        <v>223</v>
      </c>
      <c r="C1378" s="31"/>
      <c r="D1378" s="31"/>
      <c r="E1378" s="31"/>
      <c r="F1378" s="31"/>
      <c r="G1378" s="31"/>
    </row>
    <row r="1379" spans="1:7" x14ac:dyDescent="0.3">
      <c r="A1379" s="131" t="s">
        <v>2538</v>
      </c>
      <c r="B1379" s="130">
        <v>174</v>
      </c>
      <c r="C1379" s="31"/>
      <c r="D1379" s="31"/>
      <c r="E1379" s="31"/>
      <c r="F1379" s="31"/>
      <c r="G1379" s="31"/>
    </row>
    <row r="1380" spans="1:7" x14ac:dyDescent="0.3">
      <c r="A1380" s="131" t="s">
        <v>2539</v>
      </c>
      <c r="B1380" s="130">
        <v>282</v>
      </c>
      <c r="C1380" s="31"/>
      <c r="D1380" s="31"/>
      <c r="E1380" s="31"/>
      <c r="F1380" s="31"/>
      <c r="G1380" s="31"/>
    </row>
    <row r="1381" spans="1:7" x14ac:dyDescent="0.3">
      <c r="A1381" s="131" t="s">
        <v>2540</v>
      </c>
      <c r="B1381" s="130">
        <v>112</v>
      </c>
      <c r="C1381" s="31"/>
      <c r="D1381" s="31"/>
      <c r="E1381" s="31"/>
      <c r="F1381" s="31"/>
      <c r="G1381" s="31"/>
    </row>
    <row r="1382" spans="1:7" x14ac:dyDescent="0.3">
      <c r="A1382" s="131" t="s">
        <v>2541</v>
      </c>
      <c r="B1382" s="130">
        <v>179</v>
      </c>
      <c r="C1382" s="31"/>
      <c r="D1382" s="31"/>
      <c r="E1382" s="31"/>
      <c r="F1382" s="31"/>
      <c r="G1382" s="31"/>
    </row>
    <row r="1383" spans="1:7" x14ac:dyDescent="0.3">
      <c r="A1383" s="131" t="s">
        <v>2542</v>
      </c>
      <c r="B1383" s="130">
        <v>264</v>
      </c>
      <c r="C1383" s="31"/>
      <c r="D1383" s="31"/>
      <c r="E1383" s="31"/>
      <c r="F1383" s="31"/>
      <c r="G1383" s="31"/>
    </row>
    <row r="1384" spans="1:7" x14ac:dyDescent="0.3">
      <c r="A1384" s="131" t="s">
        <v>2543</v>
      </c>
      <c r="B1384" s="130">
        <v>207</v>
      </c>
      <c r="C1384" s="31"/>
      <c r="D1384" s="31"/>
      <c r="E1384" s="31"/>
      <c r="F1384" s="31"/>
      <c r="G1384" s="31"/>
    </row>
    <row r="1385" spans="1:7" x14ac:dyDescent="0.3">
      <c r="A1385" s="131" t="s">
        <v>2544</v>
      </c>
      <c r="B1385" s="130">
        <v>150</v>
      </c>
      <c r="C1385" s="31"/>
      <c r="D1385" s="31"/>
      <c r="E1385" s="31"/>
      <c r="F1385" s="31"/>
      <c r="G1385" s="31"/>
    </row>
    <row r="1386" spans="1:7" x14ac:dyDescent="0.3">
      <c r="A1386" s="131" t="s">
        <v>2545</v>
      </c>
      <c r="B1386" s="130">
        <v>172</v>
      </c>
      <c r="C1386" s="31"/>
      <c r="D1386" s="31"/>
      <c r="E1386" s="31"/>
      <c r="F1386" s="31"/>
      <c r="G1386" s="31"/>
    </row>
    <row r="1387" spans="1:7" x14ac:dyDescent="0.3">
      <c r="A1387" s="131" t="s">
        <v>2546</v>
      </c>
      <c r="B1387" s="130">
        <v>132</v>
      </c>
      <c r="C1387" s="31"/>
      <c r="D1387" s="31"/>
      <c r="E1387" s="31"/>
      <c r="F1387" s="31"/>
      <c r="G1387" s="31"/>
    </row>
    <row r="1388" spans="1:7" x14ac:dyDescent="0.3">
      <c r="A1388" s="131" t="s">
        <v>2547</v>
      </c>
      <c r="B1388" s="130">
        <v>185</v>
      </c>
      <c r="C1388" s="31"/>
      <c r="D1388" s="31"/>
      <c r="E1388" s="31"/>
      <c r="F1388" s="31"/>
      <c r="G1388" s="31"/>
    </row>
    <row r="1389" spans="1:7" x14ac:dyDescent="0.3">
      <c r="A1389" s="131" t="s">
        <v>2548</v>
      </c>
      <c r="B1389" s="130">
        <v>96</v>
      </c>
      <c r="C1389" s="31"/>
      <c r="D1389" s="31"/>
      <c r="E1389" s="31"/>
      <c r="F1389" s="31"/>
      <c r="G1389" s="31"/>
    </row>
    <row r="1390" spans="1:7" x14ac:dyDescent="0.3">
      <c r="A1390" s="131" t="s">
        <v>2549</v>
      </c>
      <c r="B1390" s="130">
        <v>19</v>
      </c>
      <c r="C1390" s="31"/>
      <c r="D1390" s="31"/>
      <c r="E1390" s="31"/>
      <c r="F1390" s="31"/>
      <c r="G1390" s="31"/>
    </row>
    <row r="1391" spans="1:7" x14ac:dyDescent="0.3">
      <c r="A1391" s="131" t="s">
        <v>2550</v>
      </c>
      <c r="B1391" s="130" t="s">
        <v>1163</v>
      </c>
      <c r="C1391" s="31"/>
      <c r="D1391" s="31"/>
      <c r="E1391" s="31"/>
      <c r="F1391" s="31"/>
      <c r="G1391" s="31"/>
    </row>
    <row r="1392" spans="1:7" x14ac:dyDescent="0.3">
      <c r="A1392" s="131" t="s">
        <v>2551</v>
      </c>
      <c r="B1392" s="130">
        <v>0</v>
      </c>
      <c r="C1392" s="31"/>
      <c r="D1392" s="31"/>
      <c r="E1392" s="31"/>
      <c r="F1392" s="31"/>
      <c r="G1392" s="31"/>
    </row>
    <row r="1393" spans="1:7" x14ac:dyDescent="0.3">
      <c r="A1393" s="131" t="s">
        <v>2552</v>
      </c>
      <c r="B1393" s="130" t="s">
        <v>1163</v>
      </c>
      <c r="C1393" s="31"/>
      <c r="D1393" s="31"/>
      <c r="E1393" s="31"/>
      <c r="F1393" s="31"/>
      <c r="G1393" s="31"/>
    </row>
    <row r="1394" spans="1:7" x14ac:dyDescent="0.3">
      <c r="A1394" s="131" t="s">
        <v>2553</v>
      </c>
      <c r="B1394" s="130" t="s">
        <v>1163</v>
      </c>
      <c r="C1394" s="31"/>
      <c r="D1394" s="31"/>
      <c r="E1394" s="31"/>
      <c r="F1394" s="31"/>
      <c r="G1394" s="31"/>
    </row>
    <row r="1395" spans="1:7" x14ac:dyDescent="0.3">
      <c r="A1395" s="131" t="s">
        <v>2554</v>
      </c>
      <c r="B1395" s="130">
        <v>24</v>
      </c>
      <c r="C1395" s="31"/>
      <c r="D1395" s="31"/>
      <c r="E1395" s="31"/>
      <c r="F1395" s="31"/>
      <c r="G1395" s="31"/>
    </row>
    <row r="1396" spans="1:7" x14ac:dyDescent="0.3">
      <c r="A1396" s="131" t="s">
        <v>2555</v>
      </c>
      <c r="B1396" s="130">
        <v>57</v>
      </c>
      <c r="C1396" s="31"/>
      <c r="D1396" s="31"/>
      <c r="E1396" s="31"/>
      <c r="F1396" s="31"/>
      <c r="G1396" s="31"/>
    </row>
    <row r="1397" spans="1:7" x14ac:dyDescent="0.3">
      <c r="A1397" s="131" t="s">
        <v>2556</v>
      </c>
      <c r="B1397" s="130">
        <v>36</v>
      </c>
      <c r="C1397" s="31"/>
      <c r="D1397" s="31"/>
      <c r="E1397" s="31"/>
      <c r="F1397" s="31"/>
      <c r="G1397" s="31"/>
    </row>
    <row r="1398" spans="1:7" x14ac:dyDescent="0.3">
      <c r="A1398" s="131" t="s">
        <v>2557</v>
      </c>
      <c r="B1398" s="130">
        <v>103</v>
      </c>
      <c r="C1398" s="31"/>
      <c r="D1398" s="31"/>
      <c r="E1398" s="31"/>
      <c r="F1398" s="31"/>
      <c r="G1398" s="31"/>
    </row>
    <row r="1399" spans="1:7" x14ac:dyDescent="0.3">
      <c r="A1399" s="131" t="s">
        <v>2558</v>
      </c>
      <c r="B1399" s="130">
        <v>0</v>
      </c>
      <c r="C1399" s="31"/>
      <c r="D1399" s="31"/>
      <c r="E1399" s="31"/>
      <c r="F1399" s="31"/>
      <c r="G1399" s="31"/>
    </row>
    <row r="1400" spans="1:7" x14ac:dyDescent="0.3">
      <c r="A1400" s="131" t="s">
        <v>2559</v>
      </c>
      <c r="B1400" s="130" t="s">
        <v>1163</v>
      </c>
      <c r="C1400" s="31"/>
      <c r="D1400" s="31"/>
      <c r="E1400" s="31"/>
      <c r="F1400" s="31"/>
      <c r="G1400" s="31"/>
    </row>
    <row r="1401" spans="1:7" x14ac:dyDescent="0.3">
      <c r="A1401" s="131" t="s">
        <v>2560</v>
      </c>
      <c r="B1401" s="130" t="s">
        <v>1163</v>
      </c>
      <c r="C1401" s="31"/>
      <c r="D1401" s="31"/>
      <c r="E1401" s="31"/>
      <c r="F1401" s="31"/>
      <c r="G1401" s="31"/>
    </row>
    <row r="1402" spans="1:7" x14ac:dyDescent="0.3">
      <c r="A1402" s="131" t="s">
        <v>2561</v>
      </c>
      <c r="B1402" s="130" t="s">
        <v>1163</v>
      </c>
      <c r="C1402" s="31"/>
      <c r="D1402" s="31"/>
      <c r="E1402" s="31"/>
      <c r="F1402" s="31"/>
      <c r="G1402" s="31"/>
    </row>
    <row r="1403" spans="1:7" x14ac:dyDescent="0.3">
      <c r="A1403" s="131" t="s">
        <v>2562</v>
      </c>
      <c r="B1403" s="130">
        <v>0</v>
      </c>
      <c r="C1403" s="31"/>
      <c r="D1403" s="31"/>
      <c r="E1403" s="31"/>
      <c r="F1403" s="31"/>
      <c r="G1403" s="31"/>
    </row>
    <row r="1404" spans="1:7" x14ac:dyDescent="0.3">
      <c r="A1404" s="131" t="s">
        <v>2563</v>
      </c>
      <c r="B1404" s="130">
        <v>0</v>
      </c>
      <c r="C1404" s="31"/>
      <c r="D1404" s="31"/>
      <c r="E1404" s="31"/>
      <c r="F1404" s="31"/>
      <c r="G1404" s="31"/>
    </row>
    <row r="1405" spans="1:7" x14ac:dyDescent="0.3">
      <c r="A1405" s="131" t="s">
        <v>2564</v>
      </c>
      <c r="B1405" s="130" t="s">
        <v>1163</v>
      </c>
      <c r="C1405" s="31"/>
      <c r="D1405" s="31"/>
      <c r="E1405" s="31"/>
      <c r="F1405" s="31"/>
      <c r="G1405" s="31"/>
    </row>
    <row r="1406" spans="1:7" x14ac:dyDescent="0.3">
      <c r="A1406" s="131" t="s">
        <v>2565</v>
      </c>
      <c r="B1406" s="130">
        <v>85</v>
      </c>
      <c r="C1406" s="31"/>
      <c r="D1406" s="31"/>
      <c r="E1406" s="31"/>
      <c r="F1406" s="31"/>
      <c r="G1406" s="31"/>
    </row>
    <row r="1407" spans="1:7" x14ac:dyDescent="0.3">
      <c r="A1407" s="131" t="s">
        <v>2566</v>
      </c>
      <c r="B1407" s="130">
        <v>39</v>
      </c>
      <c r="C1407" s="31"/>
      <c r="D1407" s="31"/>
      <c r="E1407" s="31"/>
      <c r="F1407" s="31"/>
      <c r="G1407" s="31"/>
    </row>
    <row r="1408" spans="1:7" x14ac:dyDescent="0.3">
      <c r="A1408" s="131" t="s">
        <v>2567</v>
      </c>
      <c r="B1408" s="130">
        <v>428</v>
      </c>
      <c r="C1408" s="31"/>
      <c r="D1408" s="31"/>
      <c r="E1408" s="31"/>
      <c r="F1408" s="31"/>
      <c r="G1408" s="31"/>
    </row>
    <row r="1409" spans="1:7" x14ac:dyDescent="0.3">
      <c r="A1409" s="131" t="s">
        <v>2568</v>
      </c>
      <c r="B1409" s="130">
        <v>260</v>
      </c>
      <c r="C1409" s="31"/>
      <c r="D1409" s="31"/>
      <c r="E1409" s="31"/>
      <c r="F1409" s="31"/>
      <c r="G1409" s="31"/>
    </row>
    <row r="1410" spans="1:7" x14ac:dyDescent="0.3">
      <c r="A1410" s="131" t="s">
        <v>2569</v>
      </c>
      <c r="B1410" s="130">
        <v>197</v>
      </c>
      <c r="C1410" s="31"/>
      <c r="D1410" s="31"/>
      <c r="E1410" s="31"/>
      <c r="F1410" s="31"/>
      <c r="G1410" s="31"/>
    </row>
    <row r="1411" spans="1:7" x14ac:dyDescent="0.3">
      <c r="A1411" s="131" t="s">
        <v>2570</v>
      </c>
      <c r="B1411" s="130">
        <v>44</v>
      </c>
      <c r="C1411" s="31"/>
      <c r="D1411" s="31"/>
      <c r="E1411" s="31"/>
      <c r="F1411" s="31"/>
      <c r="G1411" s="31"/>
    </row>
    <row r="1412" spans="1:7" x14ac:dyDescent="0.3">
      <c r="A1412" s="131" t="s">
        <v>2571</v>
      </c>
      <c r="B1412" s="130">
        <v>138</v>
      </c>
      <c r="C1412" s="31"/>
      <c r="D1412" s="31"/>
      <c r="E1412" s="31"/>
      <c r="F1412" s="31"/>
      <c r="G1412" s="31"/>
    </row>
    <row r="1413" spans="1:7" x14ac:dyDescent="0.3">
      <c r="A1413" s="131" t="s">
        <v>2572</v>
      </c>
      <c r="B1413" s="130">
        <v>104</v>
      </c>
      <c r="C1413" s="31"/>
      <c r="D1413" s="31"/>
      <c r="E1413" s="31"/>
      <c r="F1413" s="31"/>
      <c r="G1413" s="31"/>
    </row>
    <row r="1414" spans="1:7" x14ac:dyDescent="0.3">
      <c r="A1414" s="131" t="s">
        <v>2573</v>
      </c>
      <c r="B1414" s="130">
        <v>102</v>
      </c>
      <c r="C1414" s="31"/>
      <c r="D1414" s="31"/>
      <c r="E1414" s="31"/>
      <c r="F1414" s="31"/>
      <c r="G1414" s="31"/>
    </row>
    <row r="1415" spans="1:7" x14ac:dyDescent="0.3">
      <c r="A1415" s="131" t="s">
        <v>2574</v>
      </c>
      <c r="B1415" s="130">
        <v>82</v>
      </c>
      <c r="C1415" s="31"/>
      <c r="D1415" s="31"/>
      <c r="E1415" s="31"/>
      <c r="F1415" s="31"/>
      <c r="G1415" s="31"/>
    </row>
    <row r="1416" spans="1:7" x14ac:dyDescent="0.3">
      <c r="A1416" s="131" t="s">
        <v>2575</v>
      </c>
      <c r="B1416" s="130">
        <v>94</v>
      </c>
      <c r="C1416" s="31"/>
      <c r="D1416" s="31"/>
      <c r="E1416" s="31"/>
      <c r="F1416" s="31"/>
      <c r="G1416" s="31"/>
    </row>
    <row r="1417" spans="1:7" x14ac:dyDescent="0.3">
      <c r="A1417" s="131" t="s">
        <v>2576</v>
      </c>
      <c r="B1417" s="130">
        <v>39</v>
      </c>
      <c r="C1417" s="31"/>
      <c r="D1417" s="31"/>
      <c r="E1417" s="31"/>
      <c r="F1417" s="31"/>
      <c r="G1417" s="31"/>
    </row>
    <row r="1418" spans="1:7" x14ac:dyDescent="0.3">
      <c r="A1418" s="131" t="s">
        <v>2577</v>
      </c>
      <c r="B1418" s="130">
        <v>56</v>
      </c>
      <c r="C1418" s="31"/>
      <c r="D1418" s="31"/>
      <c r="E1418" s="31"/>
      <c r="F1418" s="31"/>
      <c r="G1418" s="31"/>
    </row>
    <row r="1419" spans="1:7" x14ac:dyDescent="0.3">
      <c r="A1419" s="131" t="s">
        <v>2578</v>
      </c>
      <c r="B1419" s="130">
        <v>95</v>
      </c>
      <c r="C1419" s="31"/>
      <c r="D1419" s="31"/>
      <c r="E1419" s="31"/>
      <c r="F1419" s="31"/>
      <c r="G1419" s="31"/>
    </row>
    <row r="1420" spans="1:7" x14ac:dyDescent="0.3">
      <c r="A1420" s="131" t="s">
        <v>2579</v>
      </c>
      <c r="B1420" s="130">
        <v>86</v>
      </c>
      <c r="C1420" s="31"/>
      <c r="D1420" s="31"/>
      <c r="E1420" s="31"/>
      <c r="F1420" s="31"/>
      <c r="G1420" s="31"/>
    </row>
    <row r="1421" spans="1:7" x14ac:dyDescent="0.3">
      <c r="A1421" s="131" t="s">
        <v>2580</v>
      </c>
      <c r="B1421" s="130">
        <v>12</v>
      </c>
      <c r="C1421" s="31"/>
      <c r="D1421" s="31"/>
      <c r="E1421" s="31"/>
      <c r="F1421" s="31"/>
      <c r="G1421" s="31"/>
    </row>
    <row r="1422" spans="1:7" x14ac:dyDescent="0.3">
      <c r="A1422" s="131" t="s">
        <v>2581</v>
      </c>
      <c r="B1422" s="130">
        <v>0</v>
      </c>
      <c r="C1422" s="31"/>
      <c r="D1422" s="31"/>
      <c r="E1422" s="31"/>
      <c r="F1422" s="31"/>
      <c r="G1422" s="31"/>
    </row>
    <row r="1423" spans="1:7" x14ac:dyDescent="0.3">
      <c r="A1423" s="131" t="s">
        <v>2582</v>
      </c>
      <c r="B1423" s="130" t="s">
        <v>1163</v>
      </c>
      <c r="C1423" s="31"/>
      <c r="D1423" s="31"/>
      <c r="E1423" s="31"/>
      <c r="F1423" s="31"/>
      <c r="G1423" s="31"/>
    </row>
    <row r="1424" spans="1:7" x14ac:dyDescent="0.3">
      <c r="A1424" s="131" t="s">
        <v>2583</v>
      </c>
      <c r="B1424" s="130">
        <v>47</v>
      </c>
      <c r="C1424" s="31"/>
      <c r="D1424" s="31"/>
      <c r="E1424" s="31"/>
      <c r="F1424" s="31"/>
      <c r="G1424" s="31"/>
    </row>
    <row r="1425" spans="1:7" x14ac:dyDescent="0.3">
      <c r="A1425" s="131" t="s">
        <v>2584</v>
      </c>
      <c r="B1425" s="130">
        <v>66</v>
      </c>
      <c r="C1425" s="31"/>
      <c r="D1425" s="31"/>
      <c r="E1425" s="31"/>
      <c r="F1425" s="31"/>
      <c r="G1425" s="31"/>
    </row>
    <row r="1426" spans="1:7" x14ac:dyDescent="0.3">
      <c r="A1426" s="131" t="s">
        <v>2585</v>
      </c>
      <c r="B1426" s="130">
        <v>177</v>
      </c>
      <c r="C1426" s="31"/>
      <c r="D1426" s="31"/>
      <c r="E1426" s="31"/>
      <c r="F1426" s="31"/>
      <c r="G1426" s="31"/>
    </row>
    <row r="1427" spans="1:7" x14ac:dyDescent="0.3">
      <c r="A1427" s="131" t="s">
        <v>2586</v>
      </c>
      <c r="B1427" s="130">
        <v>43</v>
      </c>
      <c r="C1427" s="31"/>
      <c r="D1427" s="31"/>
      <c r="E1427" s="31"/>
      <c r="F1427" s="31"/>
      <c r="G1427" s="31"/>
    </row>
    <row r="1428" spans="1:7" x14ac:dyDescent="0.3">
      <c r="A1428" s="131" t="s">
        <v>2587</v>
      </c>
      <c r="B1428" s="130">
        <v>81</v>
      </c>
      <c r="C1428" s="31"/>
      <c r="D1428" s="31"/>
      <c r="E1428" s="31"/>
      <c r="F1428" s="31"/>
      <c r="G1428" s="31"/>
    </row>
    <row r="1429" spans="1:7" x14ac:dyDescent="0.3">
      <c r="A1429" s="131" t="s">
        <v>2588</v>
      </c>
      <c r="B1429" s="130">
        <v>57</v>
      </c>
      <c r="C1429" s="31"/>
      <c r="D1429" s="31"/>
      <c r="E1429" s="31"/>
      <c r="F1429" s="31"/>
      <c r="G1429" s="31"/>
    </row>
    <row r="1430" spans="1:7" x14ac:dyDescent="0.3">
      <c r="A1430" s="131" t="s">
        <v>2589</v>
      </c>
      <c r="B1430" s="130">
        <v>108</v>
      </c>
      <c r="C1430" s="31"/>
      <c r="D1430" s="31"/>
      <c r="E1430" s="31"/>
      <c r="F1430" s="31"/>
      <c r="G1430" s="31"/>
    </row>
    <row r="1431" spans="1:7" x14ac:dyDescent="0.3">
      <c r="A1431" s="131" t="s">
        <v>2590</v>
      </c>
      <c r="B1431" s="130">
        <v>83</v>
      </c>
      <c r="C1431" s="31"/>
      <c r="D1431" s="31"/>
      <c r="E1431" s="31"/>
      <c r="F1431" s="31"/>
      <c r="G1431" s="31"/>
    </row>
    <row r="1432" spans="1:7" x14ac:dyDescent="0.3">
      <c r="A1432" s="131" t="s">
        <v>2591</v>
      </c>
      <c r="B1432" s="130">
        <v>214</v>
      </c>
      <c r="C1432" s="31"/>
      <c r="D1432" s="31"/>
      <c r="E1432" s="31"/>
      <c r="F1432" s="31"/>
      <c r="G1432" s="31"/>
    </row>
    <row r="1433" spans="1:7" x14ac:dyDescent="0.3">
      <c r="A1433" s="131" t="s">
        <v>2592</v>
      </c>
      <c r="B1433" s="130">
        <v>94</v>
      </c>
      <c r="C1433" s="31"/>
      <c r="D1433" s="31"/>
      <c r="E1433" s="31"/>
      <c r="F1433" s="31"/>
      <c r="G1433" s="31"/>
    </row>
    <row r="1434" spans="1:7" x14ac:dyDescent="0.3">
      <c r="A1434" s="131" t="s">
        <v>2593</v>
      </c>
      <c r="B1434" s="130">
        <v>0</v>
      </c>
      <c r="C1434" s="31"/>
      <c r="D1434" s="31"/>
      <c r="E1434" s="31"/>
      <c r="F1434" s="31"/>
      <c r="G1434" s="31"/>
    </row>
    <row r="1435" spans="1:7" x14ac:dyDescent="0.3">
      <c r="A1435" s="131" t="s">
        <v>2594</v>
      </c>
      <c r="B1435" s="130">
        <v>51</v>
      </c>
      <c r="C1435" s="31"/>
      <c r="D1435" s="31"/>
      <c r="E1435" s="31"/>
      <c r="F1435" s="31"/>
      <c r="G1435" s="31"/>
    </row>
    <row r="1436" spans="1:7" x14ac:dyDescent="0.3">
      <c r="A1436" s="131" t="s">
        <v>2595</v>
      </c>
      <c r="B1436" s="130">
        <v>44</v>
      </c>
      <c r="C1436" s="31"/>
      <c r="D1436" s="31"/>
      <c r="E1436" s="31"/>
      <c r="F1436" s="31"/>
      <c r="G1436" s="31"/>
    </row>
    <row r="1437" spans="1:7" x14ac:dyDescent="0.3">
      <c r="A1437" s="131" t="s">
        <v>2596</v>
      </c>
      <c r="B1437" s="130">
        <v>29</v>
      </c>
      <c r="C1437" s="31"/>
      <c r="D1437" s="31"/>
      <c r="E1437" s="31"/>
      <c r="F1437" s="31"/>
      <c r="G1437" s="31"/>
    </row>
    <row r="1438" spans="1:7" x14ac:dyDescent="0.3">
      <c r="A1438" s="131" t="s">
        <v>2597</v>
      </c>
      <c r="B1438" s="130">
        <v>219</v>
      </c>
      <c r="C1438" s="31"/>
      <c r="D1438" s="31"/>
      <c r="E1438" s="31"/>
      <c r="F1438" s="31"/>
      <c r="G1438" s="31"/>
    </row>
    <row r="1439" spans="1:7" x14ac:dyDescent="0.3">
      <c r="A1439" s="131" t="s">
        <v>2598</v>
      </c>
      <c r="B1439" s="130">
        <v>44</v>
      </c>
      <c r="C1439" s="31"/>
      <c r="D1439" s="31"/>
      <c r="E1439" s="31"/>
      <c r="F1439" s="31"/>
      <c r="G1439" s="31"/>
    </row>
    <row r="1440" spans="1:7" x14ac:dyDescent="0.3">
      <c r="A1440" s="131" t="s">
        <v>2599</v>
      </c>
      <c r="B1440" s="130">
        <v>200</v>
      </c>
      <c r="C1440" s="31"/>
      <c r="D1440" s="31"/>
      <c r="E1440" s="31"/>
      <c r="F1440" s="31"/>
      <c r="G1440" s="31"/>
    </row>
    <row r="1441" spans="1:7" x14ac:dyDescent="0.3">
      <c r="A1441" s="131" t="s">
        <v>2600</v>
      </c>
      <c r="B1441" s="130">
        <v>74</v>
      </c>
      <c r="C1441" s="31"/>
      <c r="D1441" s="31"/>
      <c r="E1441" s="31"/>
      <c r="F1441" s="31"/>
      <c r="G1441" s="31"/>
    </row>
    <row r="1442" spans="1:7" x14ac:dyDescent="0.3">
      <c r="A1442" s="131" t="s">
        <v>2601</v>
      </c>
      <c r="B1442" s="130">
        <v>14</v>
      </c>
      <c r="C1442" s="31"/>
      <c r="D1442" s="31"/>
      <c r="E1442" s="31"/>
      <c r="F1442" s="31"/>
      <c r="G1442" s="31"/>
    </row>
    <row r="1443" spans="1:7" x14ac:dyDescent="0.3">
      <c r="A1443" s="131" t="s">
        <v>2602</v>
      </c>
      <c r="B1443" s="130" t="s">
        <v>1163</v>
      </c>
      <c r="C1443" s="31"/>
      <c r="D1443" s="31"/>
      <c r="E1443" s="31"/>
      <c r="F1443" s="31"/>
      <c r="G1443" s="31"/>
    </row>
    <row r="1444" spans="1:7" x14ac:dyDescent="0.3">
      <c r="A1444" s="131" t="s">
        <v>2603</v>
      </c>
      <c r="B1444" s="130">
        <v>10</v>
      </c>
      <c r="C1444" s="31"/>
      <c r="D1444" s="31"/>
      <c r="E1444" s="31"/>
      <c r="F1444" s="31"/>
      <c r="G1444" s="31"/>
    </row>
    <row r="1445" spans="1:7" x14ac:dyDescent="0.3">
      <c r="A1445" s="131" t="s">
        <v>2604</v>
      </c>
      <c r="B1445" s="130" t="s">
        <v>1163</v>
      </c>
      <c r="C1445" s="31"/>
      <c r="D1445" s="31"/>
      <c r="E1445" s="31"/>
      <c r="F1445" s="31"/>
      <c r="G1445" s="31"/>
    </row>
    <row r="1446" spans="1:7" x14ac:dyDescent="0.3">
      <c r="A1446" s="131" t="s">
        <v>2605</v>
      </c>
      <c r="B1446" s="130">
        <v>47</v>
      </c>
      <c r="C1446" s="31"/>
      <c r="D1446" s="31"/>
      <c r="E1446" s="31"/>
      <c r="F1446" s="31"/>
      <c r="G1446" s="31"/>
    </row>
    <row r="1447" spans="1:7" x14ac:dyDescent="0.3">
      <c r="A1447" s="131" t="s">
        <v>2606</v>
      </c>
      <c r="B1447" s="130">
        <v>211</v>
      </c>
      <c r="C1447" s="31"/>
      <c r="D1447" s="31"/>
      <c r="E1447" s="31"/>
      <c r="F1447" s="31"/>
      <c r="G1447" s="31"/>
    </row>
    <row r="1448" spans="1:7" x14ac:dyDescent="0.3">
      <c r="A1448" s="131" t="s">
        <v>2607</v>
      </c>
      <c r="B1448" s="130">
        <v>53</v>
      </c>
      <c r="C1448" s="31"/>
      <c r="D1448" s="31"/>
      <c r="E1448" s="31"/>
      <c r="F1448" s="31"/>
      <c r="G1448" s="31"/>
    </row>
    <row r="1449" spans="1:7" x14ac:dyDescent="0.3">
      <c r="A1449" s="131" t="s">
        <v>2608</v>
      </c>
      <c r="B1449" s="130">
        <v>46</v>
      </c>
      <c r="C1449" s="31"/>
      <c r="D1449" s="31"/>
      <c r="E1449" s="31"/>
      <c r="F1449" s="31"/>
      <c r="G1449" s="31"/>
    </row>
    <row r="1450" spans="1:7" x14ac:dyDescent="0.3">
      <c r="A1450" s="131" t="s">
        <v>2609</v>
      </c>
      <c r="B1450" s="130">
        <v>93</v>
      </c>
      <c r="C1450" s="31"/>
      <c r="D1450" s="31"/>
      <c r="E1450" s="31"/>
      <c r="F1450" s="31"/>
      <c r="G1450" s="31"/>
    </row>
    <row r="1451" spans="1:7" x14ac:dyDescent="0.3">
      <c r="A1451" s="131" t="s">
        <v>2610</v>
      </c>
      <c r="B1451" s="130">
        <v>164</v>
      </c>
      <c r="C1451" s="31"/>
      <c r="D1451" s="31"/>
      <c r="E1451" s="31"/>
      <c r="F1451" s="31"/>
      <c r="G1451" s="31"/>
    </row>
    <row r="1452" spans="1:7" x14ac:dyDescent="0.3">
      <c r="A1452" s="131" t="s">
        <v>2611</v>
      </c>
      <c r="B1452" s="130">
        <v>174</v>
      </c>
      <c r="C1452" s="31"/>
      <c r="D1452" s="31"/>
      <c r="E1452" s="31"/>
      <c r="F1452" s="31"/>
      <c r="G1452" s="31"/>
    </row>
    <row r="1453" spans="1:7" x14ac:dyDescent="0.3">
      <c r="A1453" s="131" t="s">
        <v>2612</v>
      </c>
      <c r="B1453" s="130">
        <v>218</v>
      </c>
      <c r="C1453" s="31"/>
      <c r="D1453" s="31"/>
      <c r="E1453" s="31"/>
      <c r="F1453" s="31"/>
      <c r="G1453" s="31"/>
    </row>
    <row r="1454" spans="1:7" x14ac:dyDescent="0.3">
      <c r="A1454" s="131" t="s">
        <v>2613</v>
      </c>
      <c r="B1454" s="130">
        <v>26</v>
      </c>
      <c r="C1454" s="31"/>
      <c r="D1454" s="31"/>
      <c r="E1454" s="31"/>
      <c r="F1454" s="31"/>
      <c r="G1454" s="31"/>
    </row>
    <row r="1455" spans="1:7" x14ac:dyDescent="0.3">
      <c r="A1455" s="131" t="s">
        <v>2614</v>
      </c>
      <c r="B1455" s="130">
        <v>233</v>
      </c>
      <c r="C1455" s="31"/>
      <c r="D1455" s="31"/>
      <c r="E1455" s="31"/>
      <c r="F1455" s="31"/>
      <c r="G1455" s="31"/>
    </row>
    <row r="1456" spans="1:7" x14ac:dyDescent="0.3">
      <c r="A1456" s="131" t="s">
        <v>2615</v>
      </c>
      <c r="B1456" s="130">
        <v>26</v>
      </c>
      <c r="C1456" s="31"/>
      <c r="D1456" s="31"/>
      <c r="E1456" s="31"/>
      <c r="F1456" s="31"/>
      <c r="G1456" s="31"/>
    </row>
    <row r="1457" spans="1:7" x14ac:dyDescent="0.3">
      <c r="A1457" s="131" t="s">
        <v>2616</v>
      </c>
      <c r="B1457" s="130">
        <v>167</v>
      </c>
      <c r="C1457" s="31"/>
      <c r="D1457" s="31"/>
      <c r="E1457" s="31"/>
      <c r="F1457" s="31"/>
      <c r="G1457" s="31"/>
    </row>
    <row r="1458" spans="1:7" x14ac:dyDescent="0.3">
      <c r="A1458" s="131" t="s">
        <v>2617</v>
      </c>
      <c r="B1458" s="130">
        <v>0</v>
      </c>
      <c r="C1458" s="31"/>
      <c r="D1458" s="31"/>
      <c r="E1458" s="31"/>
      <c r="F1458" s="31"/>
      <c r="G1458" s="31"/>
    </row>
    <row r="1459" spans="1:7" x14ac:dyDescent="0.3">
      <c r="A1459" s="131" t="s">
        <v>2618</v>
      </c>
      <c r="B1459" s="130">
        <v>0</v>
      </c>
      <c r="C1459" s="31"/>
      <c r="D1459" s="31"/>
      <c r="E1459" s="31"/>
      <c r="F1459" s="31"/>
      <c r="G1459" s="31"/>
    </row>
    <row r="1460" spans="1:7" x14ac:dyDescent="0.3">
      <c r="A1460" s="131" t="s">
        <v>2619</v>
      </c>
      <c r="B1460" s="130" t="s">
        <v>1163</v>
      </c>
      <c r="C1460" s="31"/>
      <c r="D1460" s="31"/>
      <c r="E1460" s="31"/>
      <c r="F1460" s="31"/>
      <c r="G1460" s="31"/>
    </row>
    <row r="1461" spans="1:7" x14ac:dyDescent="0.3">
      <c r="A1461" s="131" t="s">
        <v>2620</v>
      </c>
      <c r="B1461" s="130">
        <v>0</v>
      </c>
      <c r="C1461" s="31"/>
      <c r="D1461" s="31"/>
      <c r="E1461" s="31"/>
      <c r="F1461" s="31"/>
      <c r="G1461" s="31"/>
    </row>
    <row r="1462" spans="1:7" x14ac:dyDescent="0.3">
      <c r="A1462" s="131" t="s">
        <v>2621</v>
      </c>
      <c r="B1462" s="130">
        <v>0</v>
      </c>
      <c r="C1462" s="31"/>
      <c r="D1462" s="31"/>
      <c r="E1462" s="31"/>
      <c r="F1462" s="31"/>
      <c r="G1462" s="31"/>
    </row>
    <row r="1463" spans="1:7" x14ac:dyDescent="0.3">
      <c r="A1463" s="131" t="s">
        <v>2622</v>
      </c>
      <c r="B1463" s="130">
        <v>0</v>
      </c>
      <c r="C1463" s="31"/>
      <c r="D1463" s="31"/>
      <c r="E1463" s="31"/>
      <c r="F1463" s="31"/>
      <c r="G1463" s="31"/>
    </row>
    <row r="1464" spans="1:7" x14ac:dyDescent="0.3">
      <c r="A1464" s="131" t="s">
        <v>2623</v>
      </c>
      <c r="B1464" s="130">
        <v>0</v>
      </c>
      <c r="C1464" s="31"/>
      <c r="D1464" s="31"/>
      <c r="E1464" s="31"/>
      <c r="F1464" s="31"/>
      <c r="G1464" s="31"/>
    </row>
    <row r="1465" spans="1:7" x14ac:dyDescent="0.3">
      <c r="A1465" s="131" t="s">
        <v>2624</v>
      </c>
      <c r="B1465" s="130">
        <v>0</v>
      </c>
      <c r="C1465" s="31"/>
      <c r="D1465" s="31"/>
      <c r="E1465" s="31"/>
      <c r="F1465" s="31"/>
      <c r="G1465" s="31"/>
    </row>
    <row r="1466" spans="1:7" x14ac:dyDescent="0.3">
      <c r="A1466" s="131" t="s">
        <v>2625</v>
      </c>
      <c r="B1466" s="130">
        <v>0</v>
      </c>
      <c r="C1466" s="31"/>
      <c r="D1466" s="31"/>
      <c r="E1466" s="31"/>
      <c r="F1466" s="31"/>
      <c r="G1466" s="31"/>
    </row>
    <row r="1467" spans="1:7" x14ac:dyDescent="0.3">
      <c r="A1467" s="131" t="s">
        <v>2626</v>
      </c>
      <c r="B1467" s="130">
        <v>15</v>
      </c>
      <c r="C1467" s="31"/>
      <c r="D1467" s="31"/>
      <c r="E1467" s="31"/>
      <c r="F1467" s="31"/>
      <c r="G1467" s="31"/>
    </row>
    <row r="1468" spans="1:7" x14ac:dyDescent="0.3">
      <c r="A1468" s="131" t="s">
        <v>2627</v>
      </c>
      <c r="B1468" s="130">
        <v>19</v>
      </c>
      <c r="C1468" s="31"/>
      <c r="D1468" s="31"/>
      <c r="E1468" s="31"/>
      <c r="F1468" s="31"/>
      <c r="G1468" s="31"/>
    </row>
    <row r="1469" spans="1:7" x14ac:dyDescent="0.3">
      <c r="A1469" s="131" t="s">
        <v>2628</v>
      </c>
      <c r="B1469" s="130">
        <v>0</v>
      </c>
      <c r="C1469" s="31"/>
      <c r="D1469" s="31"/>
      <c r="E1469" s="31"/>
      <c r="F1469" s="31"/>
      <c r="G1469" s="31"/>
    </row>
    <row r="1470" spans="1:7" x14ac:dyDescent="0.3">
      <c r="A1470" s="131" t="s">
        <v>2629</v>
      </c>
      <c r="B1470" s="130">
        <v>0</v>
      </c>
      <c r="C1470" s="31"/>
      <c r="D1470" s="31"/>
      <c r="E1470" s="31"/>
      <c r="F1470" s="31"/>
      <c r="G1470" s="31"/>
    </row>
    <row r="1471" spans="1:7" x14ac:dyDescent="0.3">
      <c r="A1471" s="131" t="s">
        <v>2630</v>
      </c>
      <c r="B1471" s="130">
        <v>0</v>
      </c>
      <c r="C1471" s="31"/>
      <c r="D1471" s="31"/>
      <c r="E1471" s="31"/>
      <c r="F1471" s="31"/>
      <c r="G1471" s="31"/>
    </row>
    <row r="1472" spans="1:7" x14ac:dyDescent="0.3">
      <c r="A1472" s="131" t="s">
        <v>2631</v>
      </c>
      <c r="B1472" s="130">
        <v>0</v>
      </c>
      <c r="C1472" s="31"/>
      <c r="D1472" s="31"/>
      <c r="E1472" s="31"/>
      <c r="F1472" s="31"/>
      <c r="G1472" s="31"/>
    </row>
    <row r="1473" spans="1:7" x14ac:dyDescent="0.3">
      <c r="A1473" s="131" t="s">
        <v>2632</v>
      </c>
      <c r="B1473" s="130">
        <v>0</v>
      </c>
      <c r="C1473" s="31"/>
      <c r="D1473" s="31"/>
      <c r="E1473" s="31"/>
      <c r="F1473" s="31"/>
      <c r="G1473" s="31"/>
    </row>
    <row r="1474" spans="1:7" x14ac:dyDescent="0.3">
      <c r="A1474" s="131" t="s">
        <v>2633</v>
      </c>
      <c r="B1474" s="130">
        <v>0</v>
      </c>
      <c r="C1474" s="31"/>
      <c r="D1474" s="31"/>
      <c r="E1474" s="31"/>
      <c r="F1474" s="31"/>
      <c r="G1474" s="31"/>
    </row>
    <row r="1475" spans="1:7" x14ac:dyDescent="0.3">
      <c r="A1475" s="131" t="s">
        <v>2634</v>
      </c>
      <c r="B1475" s="130">
        <v>0</v>
      </c>
      <c r="C1475" s="31"/>
      <c r="D1475" s="31"/>
      <c r="E1475" s="31"/>
      <c r="F1475" s="31"/>
      <c r="G1475" s="31"/>
    </row>
    <row r="1476" spans="1:7" x14ac:dyDescent="0.3">
      <c r="A1476" s="131" t="s">
        <v>2635</v>
      </c>
      <c r="B1476" s="130">
        <v>0</v>
      </c>
      <c r="C1476" s="31"/>
      <c r="D1476" s="31"/>
      <c r="E1476" s="31"/>
      <c r="F1476" s="31"/>
      <c r="G1476" s="31"/>
    </row>
    <row r="1477" spans="1:7" x14ac:dyDescent="0.3">
      <c r="A1477" s="131" t="s">
        <v>2636</v>
      </c>
      <c r="B1477" s="130">
        <v>0</v>
      </c>
      <c r="C1477" s="31"/>
      <c r="D1477" s="31"/>
      <c r="E1477" s="31"/>
      <c r="F1477" s="31"/>
      <c r="G1477" s="31"/>
    </row>
    <row r="1478" spans="1:7" x14ac:dyDescent="0.3">
      <c r="A1478" s="131" t="s">
        <v>2637</v>
      </c>
      <c r="B1478" s="130">
        <v>0</v>
      </c>
      <c r="C1478" s="31"/>
      <c r="D1478" s="31"/>
      <c r="E1478" s="31"/>
      <c r="F1478" s="31"/>
      <c r="G1478" s="31"/>
    </row>
    <row r="1479" spans="1:7" x14ac:dyDescent="0.3">
      <c r="A1479" s="131" t="s">
        <v>2638</v>
      </c>
      <c r="B1479" s="130" t="s">
        <v>1163</v>
      </c>
      <c r="C1479" s="31"/>
      <c r="D1479" s="31"/>
      <c r="E1479" s="31"/>
      <c r="F1479" s="31"/>
      <c r="G1479" s="31"/>
    </row>
    <row r="1480" spans="1:7" x14ac:dyDescent="0.3">
      <c r="A1480" s="131" t="s">
        <v>2639</v>
      </c>
      <c r="B1480" s="130">
        <v>0</v>
      </c>
      <c r="C1480" s="31"/>
      <c r="D1480" s="31"/>
      <c r="E1480" s="31"/>
      <c r="F1480" s="31"/>
      <c r="G1480" s="31"/>
    </row>
    <row r="1481" spans="1:7" x14ac:dyDescent="0.3">
      <c r="A1481" s="131" t="s">
        <v>2640</v>
      </c>
      <c r="B1481" s="130">
        <v>0</v>
      </c>
      <c r="C1481" s="31"/>
      <c r="D1481" s="31"/>
      <c r="E1481" s="31"/>
      <c r="F1481" s="31"/>
      <c r="G1481" s="31"/>
    </row>
    <row r="1482" spans="1:7" x14ac:dyDescent="0.3">
      <c r="A1482" s="131" t="s">
        <v>2641</v>
      </c>
      <c r="B1482" s="130">
        <v>0</v>
      </c>
      <c r="C1482" s="31"/>
      <c r="D1482" s="31"/>
      <c r="E1482" s="31"/>
      <c r="F1482" s="31"/>
      <c r="G1482" s="31"/>
    </row>
    <row r="1483" spans="1:7" x14ac:dyDescent="0.3">
      <c r="A1483" s="131" t="s">
        <v>2642</v>
      </c>
      <c r="B1483" s="130">
        <v>0</v>
      </c>
      <c r="C1483" s="31"/>
      <c r="D1483" s="31"/>
      <c r="E1483" s="31"/>
      <c r="F1483" s="31"/>
      <c r="G1483" s="31"/>
    </row>
    <row r="1484" spans="1:7" x14ac:dyDescent="0.3">
      <c r="A1484" s="131" t="s">
        <v>2643</v>
      </c>
      <c r="B1484" s="130">
        <v>0</v>
      </c>
      <c r="C1484" s="31"/>
      <c r="D1484" s="31"/>
      <c r="E1484" s="31"/>
      <c r="F1484" s="31"/>
      <c r="G1484" s="31"/>
    </row>
    <row r="1485" spans="1:7" x14ac:dyDescent="0.3">
      <c r="A1485" s="131" t="s">
        <v>2644</v>
      </c>
      <c r="B1485" s="130">
        <v>0</v>
      </c>
      <c r="C1485" s="31"/>
      <c r="D1485" s="31"/>
      <c r="E1485" s="31"/>
      <c r="F1485" s="31"/>
      <c r="G1485" s="31"/>
    </row>
    <row r="1486" spans="1:7" x14ac:dyDescent="0.3">
      <c r="A1486" s="131" t="s">
        <v>2645</v>
      </c>
      <c r="B1486" s="130">
        <v>18</v>
      </c>
      <c r="C1486" s="31"/>
      <c r="D1486" s="31"/>
      <c r="E1486" s="31"/>
      <c r="F1486" s="31"/>
      <c r="G1486" s="31"/>
    </row>
    <row r="1487" spans="1:7" x14ac:dyDescent="0.3">
      <c r="A1487" s="131" t="s">
        <v>2646</v>
      </c>
      <c r="B1487" s="130">
        <v>0</v>
      </c>
      <c r="C1487" s="31"/>
      <c r="D1487" s="31"/>
      <c r="E1487" s="31"/>
      <c r="F1487" s="31"/>
      <c r="G1487" s="31"/>
    </row>
    <row r="1488" spans="1:7" x14ac:dyDescent="0.3">
      <c r="A1488" s="131" t="s">
        <v>2647</v>
      </c>
      <c r="B1488" s="130">
        <v>88</v>
      </c>
      <c r="C1488" s="31"/>
      <c r="D1488" s="31"/>
      <c r="E1488" s="31"/>
      <c r="F1488" s="31"/>
      <c r="G1488" s="31"/>
    </row>
    <row r="1489" spans="1:7" x14ac:dyDescent="0.3">
      <c r="A1489" s="131" t="s">
        <v>2648</v>
      </c>
      <c r="B1489" s="130">
        <v>174</v>
      </c>
      <c r="C1489" s="31"/>
      <c r="D1489" s="31"/>
      <c r="E1489" s="31"/>
      <c r="F1489" s="31"/>
      <c r="G1489" s="31"/>
    </row>
    <row r="1490" spans="1:7" x14ac:dyDescent="0.3">
      <c r="A1490" s="131" t="s">
        <v>2649</v>
      </c>
      <c r="B1490" s="130">
        <v>15</v>
      </c>
      <c r="C1490" s="31"/>
      <c r="D1490" s="31"/>
      <c r="E1490" s="31"/>
      <c r="F1490" s="31"/>
      <c r="G1490" s="31"/>
    </row>
    <row r="1491" spans="1:7" x14ac:dyDescent="0.3">
      <c r="A1491" s="131" t="s">
        <v>2650</v>
      </c>
      <c r="B1491" s="130">
        <v>79</v>
      </c>
      <c r="C1491" s="31"/>
      <c r="D1491" s="31"/>
      <c r="E1491" s="31"/>
      <c r="F1491" s="31"/>
      <c r="G1491" s="31"/>
    </row>
    <row r="1492" spans="1:7" x14ac:dyDescent="0.3">
      <c r="A1492" s="131" t="s">
        <v>2651</v>
      </c>
      <c r="B1492" s="130">
        <v>103</v>
      </c>
      <c r="C1492" s="31"/>
      <c r="D1492" s="31"/>
      <c r="E1492" s="31"/>
      <c r="F1492" s="31"/>
      <c r="G1492" s="31"/>
    </row>
    <row r="1493" spans="1:7" x14ac:dyDescent="0.3">
      <c r="A1493" s="131" t="s">
        <v>2652</v>
      </c>
      <c r="B1493" s="130">
        <v>64</v>
      </c>
      <c r="C1493" s="31"/>
      <c r="D1493" s="31"/>
      <c r="E1493" s="31"/>
      <c r="F1493" s="31"/>
      <c r="G1493" s="31"/>
    </row>
    <row r="1494" spans="1:7" x14ac:dyDescent="0.3">
      <c r="A1494" s="131" t="s">
        <v>2653</v>
      </c>
      <c r="B1494" s="130">
        <v>53</v>
      </c>
      <c r="C1494" s="31"/>
      <c r="D1494" s="31"/>
      <c r="E1494" s="31"/>
      <c r="F1494" s="31"/>
      <c r="G1494" s="31"/>
    </row>
    <row r="1495" spans="1:7" x14ac:dyDescent="0.3">
      <c r="A1495" s="131" t="s">
        <v>2654</v>
      </c>
      <c r="B1495" s="130">
        <v>15</v>
      </c>
      <c r="C1495" s="31"/>
      <c r="D1495" s="31"/>
      <c r="E1495" s="31"/>
      <c r="F1495" s="31"/>
      <c r="G1495" s="31"/>
    </row>
    <row r="1496" spans="1:7" x14ac:dyDescent="0.3">
      <c r="A1496" s="131" t="s">
        <v>2655</v>
      </c>
      <c r="B1496" s="130">
        <v>16</v>
      </c>
      <c r="C1496" s="31"/>
      <c r="D1496" s="31"/>
      <c r="E1496" s="31"/>
      <c r="F1496" s="31"/>
      <c r="G1496" s="31"/>
    </row>
    <row r="1497" spans="1:7" x14ac:dyDescent="0.3">
      <c r="A1497" s="131" t="s">
        <v>2656</v>
      </c>
      <c r="B1497" s="130" t="s">
        <v>1163</v>
      </c>
      <c r="C1497" s="31"/>
      <c r="D1497" s="31"/>
      <c r="E1497" s="31"/>
      <c r="F1497" s="31"/>
      <c r="G1497" s="31"/>
    </row>
    <row r="1498" spans="1:7" x14ac:dyDescent="0.3">
      <c r="A1498" s="131" t="s">
        <v>2657</v>
      </c>
      <c r="B1498" s="130">
        <v>19</v>
      </c>
      <c r="C1498" s="31"/>
      <c r="D1498" s="31"/>
      <c r="E1498" s="31"/>
      <c r="F1498" s="31"/>
      <c r="G1498" s="31"/>
    </row>
    <row r="1499" spans="1:7" x14ac:dyDescent="0.3">
      <c r="A1499" s="131" t="s">
        <v>2658</v>
      </c>
      <c r="B1499" s="130" t="s">
        <v>1163</v>
      </c>
      <c r="C1499" s="31"/>
      <c r="D1499" s="31"/>
      <c r="E1499" s="31"/>
      <c r="F1499" s="31"/>
      <c r="G1499" s="31"/>
    </row>
    <row r="1500" spans="1:7" x14ac:dyDescent="0.3">
      <c r="A1500" s="131" t="s">
        <v>2659</v>
      </c>
      <c r="B1500" s="130">
        <v>188</v>
      </c>
      <c r="C1500" s="31"/>
      <c r="D1500" s="31"/>
      <c r="E1500" s="31"/>
      <c r="F1500" s="31"/>
      <c r="G1500" s="31"/>
    </row>
    <row r="1501" spans="1:7" x14ac:dyDescent="0.3">
      <c r="A1501" s="131" t="s">
        <v>2660</v>
      </c>
      <c r="B1501" s="130" t="s">
        <v>1163</v>
      </c>
      <c r="C1501" s="31"/>
      <c r="D1501" s="31"/>
      <c r="E1501" s="31"/>
      <c r="F1501" s="31"/>
      <c r="G1501" s="31"/>
    </row>
    <row r="1502" spans="1:7" x14ac:dyDescent="0.3">
      <c r="A1502" s="131" t="s">
        <v>2661</v>
      </c>
      <c r="B1502" s="130" t="s">
        <v>1163</v>
      </c>
      <c r="C1502" s="31"/>
      <c r="D1502" s="31"/>
      <c r="E1502" s="31"/>
      <c r="F1502" s="31"/>
      <c r="G1502" s="31"/>
    </row>
    <row r="1503" spans="1:7" x14ac:dyDescent="0.3">
      <c r="A1503" s="131" t="s">
        <v>2662</v>
      </c>
      <c r="B1503" s="130">
        <v>24</v>
      </c>
      <c r="C1503" s="31"/>
      <c r="D1503" s="31"/>
      <c r="E1503" s="31"/>
      <c r="F1503" s="31"/>
      <c r="G1503" s="31"/>
    </row>
    <row r="1504" spans="1:7" x14ac:dyDescent="0.3">
      <c r="A1504" s="131" t="s">
        <v>2663</v>
      </c>
      <c r="B1504" s="130">
        <v>49</v>
      </c>
      <c r="C1504" s="31"/>
      <c r="D1504" s="31"/>
      <c r="E1504" s="31"/>
      <c r="F1504" s="31"/>
      <c r="G1504" s="31"/>
    </row>
    <row r="1505" spans="1:7" x14ac:dyDescent="0.3">
      <c r="A1505" s="131" t="s">
        <v>2664</v>
      </c>
      <c r="B1505" s="130">
        <v>95</v>
      </c>
      <c r="C1505" s="31"/>
      <c r="D1505" s="31"/>
      <c r="E1505" s="31"/>
      <c r="F1505" s="31"/>
      <c r="G1505" s="31"/>
    </row>
    <row r="1506" spans="1:7" x14ac:dyDescent="0.3">
      <c r="A1506" s="131" t="s">
        <v>2665</v>
      </c>
      <c r="B1506" s="130">
        <v>76</v>
      </c>
      <c r="C1506" s="31"/>
      <c r="D1506" s="31"/>
      <c r="E1506" s="31"/>
      <c r="F1506" s="31"/>
      <c r="G1506" s="31"/>
    </row>
    <row r="1507" spans="1:7" x14ac:dyDescent="0.3">
      <c r="A1507" s="131" t="s">
        <v>2666</v>
      </c>
      <c r="B1507" s="130">
        <v>137</v>
      </c>
      <c r="C1507" s="31"/>
      <c r="D1507" s="31"/>
      <c r="E1507" s="31"/>
      <c r="F1507" s="31"/>
      <c r="G1507" s="31"/>
    </row>
    <row r="1508" spans="1:7" x14ac:dyDescent="0.3">
      <c r="A1508" s="131" t="s">
        <v>2667</v>
      </c>
      <c r="B1508" s="130">
        <v>108</v>
      </c>
      <c r="C1508" s="31"/>
      <c r="D1508" s="31"/>
      <c r="E1508" s="31"/>
      <c r="F1508" s="31"/>
      <c r="G1508" s="31"/>
    </row>
    <row r="1509" spans="1:7" x14ac:dyDescent="0.3">
      <c r="A1509" s="131" t="s">
        <v>2668</v>
      </c>
      <c r="B1509" s="130">
        <v>38</v>
      </c>
      <c r="C1509" s="31"/>
      <c r="D1509" s="31"/>
      <c r="E1509" s="31"/>
      <c r="F1509" s="31"/>
      <c r="G1509" s="31"/>
    </row>
    <row r="1510" spans="1:7" x14ac:dyDescent="0.3">
      <c r="A1510" s="131" t="s">
        <v>2669</v>
      </c>
      <c r="B1510" s="130">
        <v>82</v>
      </c>
      <c r="C1510" s="31"/>
      <c r="D1510" s="31"/>
      <c r="E1510" s="31"/>
      <c r="F1510" s="31"/>
      <c r="G1510" s="31"/>
    </row>
    <row r="1511" spans="1:7" x14ac:dyDescent="0.3">
      <c r="A1511" s="131" t="s">
        <v>2670</v>
      </c>
      <c r="B1511" s="130">
        <v>120</v>
      </c>
      <c r="C1511" s="31"/>
      <c r="D1511" s="31"/>
      <c r="E1511" s="31"/>
      <c r="F1511" s="31"/>
      <c r="G1511" s="31"/>
    </row>
    <row r="1512" spans="1:7" x14ac:dyDescent="0.3">
      <c r="A1512" s="131" t="s">
        <v>2671</v>
      </c>
      <c r="B1512" s="130">
        <v>30</v>
      </c>
      <c r="C1512" s="31"/>
      <c r="D1512" s="31"/>
      <c r="E1512" s="31"/>
      <c r="F1512" s="31"/>
      <c r="G1512" s="31"/>
    </row>
    <row r="1513" spans="1:7" x14ac:dyDescent="0.3">
      <c r="A1513" s="131" t="s">
        <v>2672</v>
      </c>
      <c r="B1513" s="130" t="s">
        <v>1163</v>
      </c>
      <c r="C1513" s="31"/>
      <c r="D1513" s="31"/>
      <c r="E1513" s="31"/>
      <c r="F1513" s="31"/>
      <c r="G1513" s="31"/>
    </row>
    <row r="1514" spans="1:7" x14ac:dyDescent="0.3">
      <c r="A1514" s="131" t="s">
        <v>2673</v>
      </c>
      <c r="B1514" s="130">
        <v>84</v>
      </c>
      <c r="C1514" s="31"/>
      <c r="D1514" s="31"/>
      <c r="E1514" s="31"/>
      <c r="F1514" s="31"/>
      <c r="G1514" s="31"/>
    </row>
    <row r="1515" spans="1:7" x14ac:dyDescent="0.3">
      <c r="A1515" s="131" t="s">
        <v>2674</v>
      </c>
      <c r="B1515" s="130" t="s">
        <v>1163</v>
      </c>
      <c r="C1515" s="31"/>
      <c r="D1515" s="31"/>
      <c r="E1515" s="31"/>
      <c r="F1515" s="31"/>
      <c r="G1515" s="31"/>
    </row>
    <row r="1516" spans="1:7" x14ac:dyDescent="0.3">
      <c r="A1516" s="131" t="s">
        <v>2675</v>
      </c>
      <c r="B1516" s="130" t="s">
        <v>1163</v>
      </c>
      <c r="C1516" s="31"/>
      <c r="D1516" s="31"/>
      <c r="E1516" s="31"/>
      <c r="F1516" s="31"/>
      <c r="G1516" s="31"/>
    </row>
    <row r="1517" spans="1:7" x14ac:dyDescent="0.3">
      <c r="A1517" s="131" t="s">
        <v>2676</v>
      </c>
      <c r="B1517" s="130" t="s">
        <v>1163</v>
      </c>
      <c r="C1517" s="31"/>
      <c r="D1517" s="31"/>
      <c r="E1517" s="31"/>
      <c r="F1517" s="31"/>
      <c r="G1517" s="31"/>
    </row>
    <row r="1518" spans="1:7" x14ac:dyDescent="0.3">
      <c r="A1518" s="131" t="s">
        <v>2677</v>
      </c>
      <c r="B1518" s="130">
        <v>20</v>
      </c>
      <c r="C1518" s="31"/>
      <c r="D1518" s="31"/>
      <c r="E1518" s="31"/>
      <c r="F1518" s="31"/>
      <c r="G1518" s="31"/>
    </row>
    <row r="1519" spans="1:7" x14ac:dyDescent="0.3">
      <c r="A1519" s="131" t="s">
        <v>2678</v>
      </c>
      <c r="B1519" s="130">
        <v>16</v>
      </c>
      <c r="C1519" s="31"/>
      <c r="D1519" s="31"/>
      <c r="E1519" s="31"/>
      <c r="F1519" s="31"/>
      <c r="G1519" s="31"/>
    </row>
    <row r="1520" spans="1:7" x14ac:dyDescent="0.3">
      <c r="A1520" s="131" t="s">
        <v>2679</v>
      </c>
      <c r="B1520" s="130" t="s">
        <v>1163</v>
      </c>
      <c r="C1520" s="31"/>
      <c r="D1520" s="31"/>
      <c r="E1520" s="31"/>
      <c r="F1520" s="31"/>
      <c r="G1520" s="31"/>
    </row>
    <row r="1521" spans="1:7" x14ac:dyDescent="0.3">
      <c r="A1521" s="131" t="s">
        <v>2680</v>
      </c>
      <c r="B1521" s="130">
        <v>456</v>
      </c>
      <c r="C1521" s="31"/>
      <c r="D1521" s="31"/>
      <c r="E1521" s="31"/>
      <c r="F1521" s="31"/>
      <c r="G1521" s="31"/>
    </row>
    <row r="1522" spans="1:7" x14ac:dyDescent="0.3">
      <c r="A1522" s="131" t="s">
        <v>2681</v>
      </c>
      <c r="B1522" s="130">
        <v>250</v>
      </c>
      <c r="C1522" s="31"/>
      <c r="D1522" s="31"/>
      <c r="E1522" s="31"/>
      <c r="F1522" s="31"/>
      <c r="G1522" s="31"/>
    </row>
    <row r="1523" spans="1:7" x14ac:dyDescent="0.3">
      <c r="A1523" s="131" t="s">
        <v>2682</v>
      </c>
      <c r="B1523" s="130">
        <v>684</v>
      </c>
      <c r="C1523" s="31"/>
      <c r="D1523" s="31"/>
      <c r="E1523" s="31"/>
      <c r="F1523" s="31"/>
      <c r="G1523" s="31"/>
    </row>
    <row r="1524" spans="1:7" x14ac:dyDescent="0.3">
      <c r="A1524" s="131" t="s">
        <v>2683</v>
      </c>
      <c r="B1524" s="130">
        <v>133</v>
      </c>
      <c r="C1524" s="31"/>
      <c r="D1524" s="31"/>
      <c r="E1524" s="31"/>
      <c r="F1524" s="31"/>
      <c r="G1524" s="31"/>
    </row>
    <row r="1525" spans="1:7" x14ac:dyDescent="0.3">
      <c r="A1525" s="131" t="s">
        <v>2684</v>
      </c>
      <c r="B1525" s="130">
        <v>208</v>
      </c>
      <c r="C1525" s="31"/>
      <c r="D1525" s="31"/>
      <c r="E1525" s="31"/>
      <c r="F1525" s="31"/>
      <c r="G1525" s="31"/>
    </row>
    <row r="1526" spans="1:7" x14ac:dyDescent="0.3">
      <c r="A1526" s="131" t="s">
        <v>2685</v>
      </c>
      <c r="B1526" s="130">
        <v>339</v>
      </c>
      <c r="C1526" s="31"/>
      <c r="D1526" s="31"/>
      <c r="E1526" s="31"/>
      <c r="F1526" s="31"/>
      <c r="G1526" s="31"/>
    </row>
    <row r="1527" spans="1:7" x14ac:dyDescent="0.3">
      <c r="A1527" s="131" t="s">
        <v>2686</v>
      </c>
      <c r="B1527" s="130">
        <v>412</v>
      </c>
      <c r="C1527" s="31"/>
      <c r="D1527" s="31"/>
      <c r="E1527" s="31"/>
      <c r="F1527" s="31"/>
      <c r="G1527" s="31"/>
    </row>
    <row r="1528" spans="1:7" x14ac:dyDescent="0.3">
      <c r="A1528" s="131" t="s">
        <v>2687</v>
      </c>
      <c r="B1528" s="130">
        <v>276</v>
      </c>
      <c r="C1528" s="31"/>
      <c r="D1528" s="31"/>
      <c r="E1528" s="31"/>
      <c r="F1528" s="31"/>
      <c r="G1528" s="31"/>
    </row>
    <row r="1529" spans="1:7" x14ac:dyDescent="0.3">
      <c r="A1529" s="131" t="s">
        <v>2688</v>
      </c>
      <c r="B1529" s="130">
        <v>117</v>
      </c>
      <c r="C1529" s="31"/>
      <c r="D1529" s="31"/>
      <c r="E1529" s="31"/>
      <c r="F1529" s="31"/>
      <c r="G1529" s="31"/>
    </row>
    <row r="1530" spans="1:7" x14ac:dyDescent="0.3">
      <c r="A1530" s="131" t="s">
        <v>2689</v>
      </c>
      <c r="B1530" s="130">
        <v>121</v>
      </c>
      <c r="C1530" s="31"/>
      <c r="D1530" s="31"/>
      <c r="E1530" s="31"/>
      <c r="F1530" s="31"/>
      <c r="G1530" s="31"/>
    </row>
    <row r="1531" spans="1:7" x14ac:dyDescent="0.3">
      <c r="A1531" s="131" t="s">
        <v>2690</v>
      </c>
      <c r="B1531" s="130">
        <v>440</v>
      </c>
      <c r="C1531" s="31"/>
      <c r="D1531" s="31"/>
      <c r="E1531" s="31"/>
      <c r="F1531" s="31"/>
      <c r="G1531" s="31"/>
    </row>
    <row r="1532" spans="1:7" x14ac:dyDescent="0.3">
      <c r="A1532" s="131" t="s">
        <v>2691</v>
      </c>
      <c r="B1532" s="130">
        <v>0</v>
      </c>
      <c r="C1532" s="31"/>
      <c r="D1532" s="31"/>
      <c r="E1532" s="31"/>
      <c r="F1532" s="31"/>
      <c r="G1532" s="31"/>
    </row>
    <row r="1533" spans="1:7" x14ac:dyDescent="0.3">
      <c r="A1533" s="131" t="s">
        <v>2692</v>
      </c>
      <c r="B1533" s="130">
        <v>297</v>
      </c>
      <c r="C1533" s="31"/>
      <c r="D1533" s="31"/>
      <c r="E1533" s="31"/>
      <c r="F1533" s="31"/>
      <c r="G1533" s="31"/>
    </row>
    <row r="1534" spans="1:7" x14ac:dyDescent="0.3">
      <c r="A1534" s="131" t="s">
        <v>2693</v>
      </c>
      <c r="B1534" s="130">
        <v>208</v>
      </c>
      <c r="C1534" s="31"/>
      <c r="D1534" s="31"/>
      <c r="E1534" s="31"/>
      <c r="F1534" s="31"/>
      <c r="G1534" s="31"/>
    </row>
    <row r="1535" spans="1:7" x14ac:dyDescent="0.3">
      <c r="A1535" s="131" t="s">
        <v>2694</v>
      </c>
      <c r="B1535" s="130">
        <v>0</v>
      </c>
      <c r="C1535" s="31"/>
      <c r="D1535" s="31"/>
      <c r="E1535" s="31"/>
      <c r="F1535" s="31"/>
      <c r="G1535" s="31"/>
    </row>
    <row r="1536" spans="1:7" x14ac:dyDescent="0.3">
      <c r="A1536" s="131" t="s">
        <v>2695</v>
      </c>
      <c r="B1536" s="130">
        <v>206</v>
      </c>
      <c r="C1536" s="31"/>
      <c r="D1536" s="31"/>
      <c r="E1536" s="31"/>
      <c r="F1536" s="31"/>
      <c r="G1536" s="31"/>
    </row>
    <row r="1537" spans="1:7" x14ac:dyDescent="0.3">
      <c r="A1537" s="131" t="s">
        <v>2696</v>
      </c>
      <c r="B1537" s="130">
        <v>0</v>
      </c>
      <c r="C1537" s="31"/>
      <c r="D1537" s="31"/>
      <c r="E1537" s="31"/>
      <c r="F1537" s="31"/>
      <c r="G1537" s="31"/>
    </row>
    <row r="1538" spans="1:7" x14ac:dyDescent="0.3">
      <c r="A1538" s="131" t="s">
        <v>2697</v>
      </c>
      <c r="B1538" s="130">
        <v>92</v>
      </c>
      <c r="C1538" s="31"/>
      <c r="D1538" s="31"/>
      <c r="E1538" s="31"/>
      <c r="F1538" s="31"/>
      <c r="G1538" s="31"/>
    </row>
    <row r="1539" spans="1:7" x14ac:dyDescent="0.3">
      <c r="A1539" s="131" t="s">
        <v>2698</v>
      </c>
      <c r="B1539" s="130">
        <v>234</v>
      </c>
      <c r="C1539" s="31"/>
      <c r="D1539" s="31"/>
      <c r="E1539" s="31"/>
      <c r="F1539" s="31"/>
      <c r="G1539" s="31"/>
    </row>
    <row r="1540" spans="1:7" x14ac:dyDescent="0.3">
      <c r="A1540" s="131" t="s">
        <v>2699</v>
      </c>
      <c r="B1540" s="130">
        <v>438</v>
      </c>
      <c r="C1540" s="31"/>
      <c r="D1540" s="31"/>
      <c r="E1540" s="31"/>
      <c r="F1540" s="31"/>
      <c r="G1540" s="31"/>
    </row>
    <row r="1541" spans="1:7" x14ac:dyDescent="0.3">
      <c r="A1541" s="131" t="s">
        <v>2700</v>
      </c>
      <c r="B1541" s="130">
        <v>500</v>
      </c>
      <c r="C1541" s="31"/>
      <c r="D1541" s="31"/>
      <c r="E1541" s="31"/>
      <c r="F1541" s="31"/>
      <c r="G1541" s="31"/>
    </row>
    <row r="1542" spans="1:7" x14ac:dyDescent="0.3">
      <c r="A1542" s="131" t="s">
        <v>2701</v>
      </c>
      <c r="B1542" s="130">
        <v>364</v>
      </c>
      <c r="C1542" s="31"/>
      <c r="D1542" s="31"/>
      <c r="E1542" s="31"/>
      <c r="F1542" s="31"/>
      <c r="G1542" s="31"/>
    </row>
    <row r="1543" spans="1:7" x14ac:dyDescent="0.3">
      <c r="A1543" s="131" t="s">
        <v>2702</v>
      </c>
      <c r="B1543" s="130">
        <v>0</v>
      </c>
      <c r="C1543" s="31"/>
      <c r="D1543" s="31"/>
      <c r="E1543" s="31"/>
      <c r="F1543" s="31"/>
      <c r="G1543" s="31"/>
    </row>
    <row r="1544" spans="1:7" x14ac:dyDescent="0.3">
      <c r="A1544" s="131" t="s">
        <v>2703</v>
      </c>
      <c r="B1544" s="130">
        <v>443</v>
      </c>
      <c r="C1544" s="31"/>
      <c r="D1544" s="31"/>
      <c r="E1544" s="31"/>
      <c r="F1544" s="31"/>
      <c r="G1544" s="31"/>
    </row>
    <row r="1545" spans="1:7" x14ac:dyDescent="0.3">
      <c r="A1545" s="131" t="s">
        <v>2704</v>
      </c>
      <c r="B1545" s="130">
        <v>0</v>
      </c>
      <c r="C1545" s="31"/>
      <c r="D1545" s="31"/>
      <c r="E1545" s="31"/>
      <c r="F1545" s="31"/>
      <c r="G1545" s="31"/>
    </row>
    <row r="1546" spans="1:7" x14ac:dyDescent="0.3">
      <c r="A1546" s="131" t="s">
        <v>2705</v>
      </c>
      <c r="B1546" s="130">
        <v>0</v>
      </c>
      <c r="C1546" s="31"/>
      <c r="D1546" s="31"/>
      <c r="E1546" s="31"/>
      <c r="F1546" s="31"/>
      <c r="G1546" s="31"/>
    </row>
    <row r="1547" spans="1:7" x14ac:dyDescent="0.3">
      <c r="A1547" s="131" t="s">
        <v>2706</v>
      </c>
      <c r="B1547" s="130">
        <v>0</v>
      </c>
      <c r="C1547" s="31"/>
      <c r="D1547" s="31"/>
      <c r="E1547" s="31"/>
      <c r="F1547" s="31"/>
      <c r="G1547" s="31"/>
    </row>
    <row r="1548" spans="1:7" x14ac:dyDescent="0.3">
      <c r="A1548" s="131" t="s">
        <v>2707</v>
      </c>
      <c r="B1548" s="130">
        <v>144</v>
      </c>
      <c r="C1548" s="31"/>
      <c r="D1548" s="31"/>
      <c r="E1548" s="31"/>
      <c r="F1548" s="31"/>
      <c r="G1548" s="31"/>
    </row>
    <row r="1549" spans="1:7" x14ac:dyDescent="0.3">
      <c r="A1549" s="131" t="s">
        <v>2708</v>
      </c>
      <c r="B1549" s="130">
        <v>177</v>
      </c>
      <c r="C1549" s="31"/>
      <c r="D1549" s="31"/>
      <c r="E1549" s="31"/>
      <c r="F1549" s="31"/>
      <c r="G1549" s="31"/>
    </row>
    <row r="1550" spans="1:7" x14ac:dyDescent="0.3">
      <c r="A1550" s="131" t="s">
        <v>2709</v>
      </c>
      <c r="B1550" s="130">
        <v>111</v>
      </c>
      <c r="C1550" s="31"/>
      <c r="D1550" s="31"/>
      <c r="E1550" s="31"/>
      <c r="F1550" s="31"/>
      <c r="G1550" s="31"/>
    </row>
    <row r="1551" spans="1:7" x14ac:dyDescent="0.3">
      <c r="A1551" s="131" t="s">
        <v>2710</v>
      </c>
      <c r="B1551" s="130">
        <v>97</v>
      </c>
      <c r="C1551" s="31"/>
      <c r="D1551" s="31"/>
      <c r="E1551" s="31"/>
      <c r="F1551" s="31"/>
      <c r="G1551" s="31"/>
    </row>
    <row r="1552" spans="1:7" x14ac:dyDescent="0.3">
      <c r="A1552" s="131" t="s">
        <v>2711</v>
      </c>
      <c r="B1552" s="130">
        <v>54</v>
      </c>
      <c r="C1552" s="31"/>
      <c r="D1552" s="31"/>
      <c r="E1552" s="31"/>
      <c r="F1552" s="31"/>
      <c r="G1552" s="31"/>
    </row>
    <row r="1553" spans="1:7" x14ac:dyDescent="0.3">
      <c r="A1553" s="131" t="s">
        <v>2712</v>
      </c>
      <c r="B1553" s="130">
        <v>57</v>
      </c>
      <c r="C1553" s="31"/>
      <c r="D1553" s="31"/>
      <c r="E1553" s="31"/>
      <c r="F1553" s="31"/>
      <c r="G1553" s="31"/>
    </row>
    <row r="1554" spans="1:7" x14ac:dyDescent="0.3">
      <c r="A1554" s="131" t="s">
        <v>2713</v>
      </c>
      <c r="B1554" s="130">
        <v>45</v>
      </c>
      <c r="C1554" s="31"/>
      <c r="D1554" s="31"/>
      <c r="E1554" s="31"/>
      <c r="F1554" s="31"/>
      <c r="G1554" s="31"/>
    </row>
    <row r="1555" spans="1:7" x14ac:dyDescent="0.3">
      <c r="A1555" s="131" t="s">
        <v>2714</v>
      </c>
      <c r="B1555" s="130">
        <v>121</v>
      </c>
      <c r="C1555" s="31"/>
      <c r="D1555" s="31"/>
      <c r="E1555" s="31"/>
      <c r="F1555" s="31"/>
      <c r="G1555" s="31"/>
    </row>
    <row r="1556" spans="1:7" x14ac:dyDescent="0.3">
      <c r="A1556" s="131" t="s">
        <v>2715</v>
      </c>
      <c r="B1556" s="130">
        <v>81</v>
      </c>
      <c r="C1556" s="31"/>
      <c r="D1556" s="31"/>
      <c r="E1556" s="31"/>
      <c r="F1556" s="31"/>
      <c r="G1556" s="31"/>
    </row>
    <row r="1557" spans="1:7" x14ac:dyDescent="0.3">
      <c r="A1557" s="131" t="s">
        <v>2716</v>
      </c>
      <c r="B1557" s="130">
        <v>34</v>
      </c>
      <c r="C1557" s="31"/>
      <c r="D1557" s="31"/>
      <c r="E1557" s="31"/>
      <c r="F1557" s="31"/>
      <c r="G1557" s="31"/>
    </row>
    <row r="1558" spans="1:7" x14ac:dyDescent="0.3">
      <c r="A1558" s="131" t="s">
        <v>2717</v>
      </c>
      <c r="B1558" s="130">
        <v>23</v>
      </c>
      <c r="C1558" s="31"/>
      <c r="D1558" s="31"/>
      <c r="E1558" s="31"/>
      <c r="F1558" s="31"/>
      <c r="G1558" s="31"/>
    </row>
    <row r="1559" spans="1:7" x14ac:dyDescent="0.3">
      <c r="A1559" s="131" t="s">
        <v>2718</v>
      </c>
      <c r="B1559" s="130">
        <v>97</v>
      </c>
      <c r="C1559" s="31"/>
      <c r="D1559" s="31"/>
      <c r="E1559" s="31"/>
      <c r="F1559" s="31"/>
      <c r="G1559" s="31"/>
    </row>
    <row r="1560" spans="1:7" x14ac:dyDescent="0.3">
      <c r="A1560" s="131" t="s">
        <v>2719</v>
      </c>
      <c r="B1560" s="130" t="s">
        <v>1163</v>
      </c>
      <c r="C1560" s="31"/>
      <c r="D1560" s="31"/>
      <c r="E1560" s="31"/>
      <c r="F1560" s="31"/>
      <c r="G1560" s="31"/>
    </row>
    <row r="1561" spans="1:7" x14ac:dyDescent="0.3">
      <c r="A1561" s="131" t="s">
        <v>2720</v>
      </c>
      <c r="B1561" s="130" t="s">
        <v>1163</v>
      </c>
      <c r="C1561" s="31"/>
      <c r="D1561" s="31"/>
      <c r="E1561" s="31"/>
      <c r="F1561" s="31"/>
      <c r="G1561" s="31"/>
    </row>
    <row r="1562" spans="1:7" x14ac:dyDescent="0.3">
      <c r="A1562" s="131" t="s">
        <v>2721</v>
      </c>
      <c r="B1562" s="130" t="s">
        <v>1163</v>
      </c>
      <c r="C1562" s="31"/>
      <c r="D1562" s="31"/>
      <c r="E1562" s="31"/>
      <c r="F1562" s="31"/>
      <c r="G1562" s="31"/>
    </row>
    <row r="1563" spans="1:7" x14ac:dyDescent="0.3">
      <c r="A1563" s="131" t="s">
        <v>2722</v>
      </c>
      <c r="B1563" s="130">
        <v>19</v>
      </c>
      <c r="C1563" s="31"/>
      <c r="D1563" s="31"/>
      <c r="E1563" s="31"/>
      <c r="F1563" s="31"/>
      <c r="G1563" s="31"/>
    </row>
    <row r="1564" spans="1:7" x14ac:dyDescent="0.3">
      <c r="A1564" s="131" t="s">
        <v>2723</v>
      </c>
      <c r="B1564" s="130" t="s">
        <v>1163</v>
      </c>
      <c r="C1564" s="31"/>
      <c r="D1564" s="31"/>
      <c r="E1564" s="31"/>
      <c r="F1564" s="31"/>
      <c r="G1564" s="31"/>
    </row>
    <row r="1565" spans="1:7" x14ac:dyDescent="0.3">
      <c r="A1565" s="131" t="s">
        <v>2724</v>
      </c>
      <c r="B1565" s="130">
        <v>68</v>
      </c>
      <c r="C1565" s="31"/>
      <c r="D1565" s="31"/>
      <c r="E1565" s="31"/>
      <c r="F1565" s="31"/>
      <c r="G1565" s="31"/>
    </row>
    <row r="1566" spans="1:7" x14ac:dyDescent="0.3">
      <c r="A1566" s="131" t="s">
        <v>2725</v>
      </c>
      <c r="B1566" s="130">
        <v>102</v>
      </c>
      <c r="C1566" s="31"/>
      <c r="D1566" s="31"/>
      <c r="E1566" s="31"/>
      <c r="F1566" s="31"/>
      <c r="G1566" s="31"/>
    </row>
    <row r="1567" spans="1:7" x14ac:dyDescent="0.3">
      <c r="A1567" s="131" t="s">
        <v>2726</v>
      </c>
      <c r="B1567" s="130">
        <v>67</v>
      </c>
      <c r="C1567" s="31"/>
      <c r="D1567" s="31"/>
      <c r="E1567" s="31"/>
      <c r="F1567" s="31"/>
      <c r="G1567" s="31"/>
    </row>
    <row r="1568" spans="1:7" x14ac:dyDescent="0.3">
      <c r="A1568" s="131" t="s">
        <v>2727</v>
      </c>
      <c r="B1568" s="130">
        <v>54</v>
      </c>
      <c r="C1568" s="31"/>
      <c r="D1568" s="31"/>
      <c r="E1568" s="31"/>
      <c r="F1568" s="31"/>
      <c r="G1568" s="31"/>
    </row>
    <row r="1569" spans="1:7" x14ac:dyDescent="0.3">
      <c r="A1569" s="131" t="s">
        <v>2728</v>
      </c>
      <c r="B1569" s="130">
        <v>26</v>
      </c>
      <c r="C1569" s="31"/>
      <c r="D1569" s="31"/>
      <c r="E1569" s="31"/>
      <c r="F1569" s="31"/>
      <c r="G1569" s="31"/>
    </row>
    <row r="1570" spans="1:7" x14ac:dyDescent="0.3">
      <c r="A1570" s="131" t="s">
        <v>2729</v>
      </c>
      <c r="B1570" s="130">
        <v>10</v>
      </c>
      <c r="C1570" s="31"/>
      <c r="D1570" s="31"/>
      <c r="E1570" s="31"/>
      <c r="F1570" s="31"/>
      <c r="G1570" s="31"/>
    </row>
    <row r="1571" spans="1:7" x14ac:dyDescent="0.3">
      <c r="A1571" s="131" t="s">
        <v>2730</v>
      </c>
      <c r="B1571" s="130">
        <v>13</v>
      </c>
      <c r="C1571" s="31"/>
      <c r="D1571" s="31"/>
      <c r="E1571" s="31"/>
      <c r="F1571" s="31"/>
      <c r="G1571" s="31"/>
    </row>
    <row r="1572" spans="1:7" x14ac:dyDescent="0.3">
      <c r="A1572" s="131" t="s">
        <v>2731</v>
      </c>
      <c r="B1572" s="130" t="s">
        <v>1163</v>
      </c>
      <c r="C1572" s="31"/>
      <c r="D1572" s="31"/>
      <c r="E1572" s="31"/>
      <c r="F1572" s="31"/>
      <c r="G1572" s="31"/>
    </row>
    <row r="1573" spans="1:7" x14ac:dyDescent="0.3">
      <c r="A1573" s="131" t="s">
        <v>2732</v>
      </c>
      <c r="B1573" s="130" t="s">
        <v>1163</v>
      </c>
      <c r="C1573" s="31"/>
      <c r="D1573" s="31"/>
      <c r="E1573" s="31"/>
      <c r="F1573" s="31"/>
      <c r="G1573" s="31"/>
    </row>
    <row r="1574" spans="1:7" x14ac:dyDescent="0.3">
      <c r="A1574" s="131" t="s">
        <v>2733</v>
      </c>
      <c r="B1574" s="130" t="s">
        <v>1163</v>
      </c>
      <c r="C1574" s="31"/>
      <c r="D1574" s="31"/>
      <c r="E1574" s="31"/>
      <c r="F1574" s="31"/>
      <c r="G1574" s="31"/>
    </row>
    <row r="1575" spans="1:7" x14ac:dyDescent="0.3">
      <c r="A1575" s="131" t="s">
        <v>2734</v>
      </c>
      <c r="B1575" s="130" t="s">
        <v>1163</v>
      </c>
      <c r="C1575" s="31"/>
      <c r="D1575" s="31"/>
      <c r="E1575" s="31"/>
      <c r="F1575" s="31"/>
      <c r="G1575" s="31"/>
    </row>
    <row r="1576" spans="1:7" x14ac:dyDescent="0.3">
      <c r="A1576" s="131" t="s">
        <v>2735</v>
      </c>
      <c r="B1576" s="130">
        <v>0</v>
      </c>
      <c r="C1576" s="31"/>
      <c r="D1576" s="31"/>
      <c r="E1576" s="31"/>
      <c r="F1576" s="31"/>
      <c r="G1576" s="31"/>
    </row>
    <row r="1577" spans="1:7" x14ac:dyDescent="0.3">
      <c r="A1577" s="131" t="s">
        <v>2736</v>
      </c>
      <c r="B1577" s="130" t="s">
        <v>1163</v>
      </c>
      <c r="C1577" s="31"/>
      <c r="D1577" s="31"/>
      <c r="E1577" s="31"/>
      <c r="F1577" s="31"/>
      <c r="G1577" s="31"/>
    </row>
    <row r="1578" spans="1:7" x14ac:dyDescent="0.3">
      <c r="A1578" s="131" t="s">
        <v>2737</v>
      </c>
      <c r="B1578" s="130">
        <v>14</v>
      </c>
      <c r="C1578" s="31"/>
      <c r="D1578" s="31"/>
      <c r="E1578" s="31"/>
      <c r="F1578" s="31"/>
      <c r="G1578" s="31"/>
    </row>
    <row r="1579" spans="1:7" x14ac:dyDescent="0.3">
      <c r="A1579" s="131" t="s">
        <v>2738</v>
      </c>
      <c r="B1579" s="130" t="s">
        <v>1163</v>
      </c>
      <c r="C1579" s="31"/>
      <c r="D1579" s="31"/>
      <c r="E1579" s="31"/>
      <c r="F1579" s="31"/>
      <c r="G1579" s="31"/>
    </row>
    <row r="1580" spans="1:7" x14ac:dyDescent="0.3">
      <c r="A1580" s="131" t="s">
        <v>2739</v>
      </c>
      <c r="B1580" s="130">
        <v>0</v>
      </c>
      <c r="C1580" s="31"/>
      <c r="D1580" s="31"/>
      <c r="E1580" s="31"/>
      <c r="F1580" s="31"/>
      <c r="G1580" s="31"/>
    </row>
    <row r="1581" spans="1:7" x14ac:dyDescent="0.3">
      <c r="A1581" s="131" t="s">
        <v>2740</v>
      </c>
      <c r="B1581" s="130" t="s">
        <v>1163</v>
      </c>
      <c r="C1581" s="31"/>
      <c r="D1581" s="31"/>
      <c r="E1581" s="31"/>
      <c r="F1581" s="31"/>
      <c r="G1581" s="31"/>
    </row>
    <row r="1582" spans="1:7" x14ac:dyDescent="0.3">
      <c r="A1582" s="131" t="s">
        <v>2741</v>
      </c>
      <c r="B1582" s="130" t="s">
        <v>1163</v>
      </c>
      <c r="C1582" s="31"/>
      <c r="D1582" s="31"/>
      <c r="E1582" s="31"/>
      <c r="F1582" s="31"/>
      <c r="G1582" s="31"/>
    </row>
    <row r="1583" spans="1:7" x14ac:dyDescent="0.3">
      <c r="A1583" s="131" t="s">
        <v>2742</v>
      </c>
      <c r="B1583" s="130" t="s">
        <v>1163</v>
      </c>
      <c r="C1583" s="31"/>
      <c r="D1583" s="31"/>
      <c r="E1583" s="31"/>
      <c r="F1583" s="31"/>
      <c r="G1583" s="31"/>
    </row>
    <row r="1584" spans="1:7" x14ac:dyDescent="0.3">
      <c r="A1584" s="131" t="s">
        <v>2743</v>
      </c>
      <c r="B1584" s="130" t="s">
        <v>1163</v>
      </c>
      <c r="C1584" s="31"/>
      <c r="D1584" s="31"/>
      <c r="E1584" s="31"/>
      <c r="F1584" s="31"/>
      <c r="G1584" s="31"/>
    </row>
    <row r="1585" spans="1:7" x14ac:dyDescent="0.3">
      <c r="A1585" s="131" t="s">
        <v>2744</v>
      </c>
      <c r="B1585" s="130" t="s">
        <v>1163</v>
      </c>
      <c r="C1585" s="31"/>
      <c r="D1585" s="31"/>
      <c r="E1585" s="31"/>
      <c r="F1585" s="31"/>
      <c r="G1585" s="31"/>
    </row>
    <row r="1586" spans="1:7" x14ac:dyDescent="0.3">
      <c r="A1586" s="131" t="s">
        <v>2745</v>
      </c>
      <c r="B1586" s="130">
        <v>12</v>
      </c>
      <c r="C1586" s="31"/>
      <c r="D1586" s="31"/>
      <c r="E1586" s="31"/>
      <c r="F1586" s="31"/>
      <c r="G1586" s="31"/>
    </row>
    <row r="1587" spans="1:7" x14ac:dyDescent="0.3">
      <c r="A1587" s="131" t="s">
        <v>2746</v>
      </c>
      <c r="B1587" s="130" t="s">
        <v>1163</v>
      </c>
      <c r="C1587" s="31"/>
      <c r="D1587" s="31"/>
      <c r="E1587" s="31"/>
      <c r="F1587" s="31"/>
      <c r="G1587" s="31"/>
    </row>
    <row r="1588" spans="1:7" x14ac:dyDescent="0.3">
      <c r="A1588" s="131" t="s">
        <v>2747</v>
      </c>
      <c r="B1588" s="130" t="s">
        <v>1163</v>
      </c>
      <c r="C1588" s="31"/>
      <c r="D1588" s="31"/>
      <c r="E1588" s="31"/>
      <c r="F1588" s="31"/>
      <c r="G1588" s="31"/>
    </row>
    <row r="1589" spans="1:7" x14ac:dyDescent="0.3">
      <c r="A1589" s="131" t="s">
        <v>2748</v>
      </c>
      <c r="B1589" s="130">
        <v>39</v>
      </c>
      <c r="C1589" s="31"/>
      <c r="D1589" s="31"/>
      <c r="E1589" s="31"/>
      <c r="F1589" s="31"/>
      <c r="G1589" s="31"/>
    </row>
    <row r="1590" spans="1:7" x14ac:dyDescent="0.3">
      <c r="A1590" s="131" t="s">
        <v>2749</v>
      </c>
      <c r="B1590" s="130">
        <v>36</v>
      </c>
      <c r="C1590" s="31"/>
      <c r="D1590" s="31"/>
      <c r="E1590" s="31"/>
      <c r="F1590" s="31"/>
      <c r="G1590" s="31"/>
    </row>
    <row r="1591" spans="1:7" x14ac:dyDescent="0.3">
      <c r="A1591" s="131" t="s">
        <v>2750</v>
      </c>
      <c r="B1591" s="130">
        <v>69</v>
      </c>
      <c r="C1591" s="31"/>
      <c r="D1591" s="31"/>
      <c r="E1591" s="31"/>
      <c r="F1591" s="31"/>
      <c r="G1591" s="31"/>
    </row>
    <row r="1592" spans="1:7" x14ac:dyDescent="0.3">
      <c r="A1592" s="131" t="s">
        <v>2751</v>
      </c>
      <c r="B1592" s="130">
        <v>21</v>
      </c>
      <c r="C1592" s="31"/>
      <c r="D1592" s="31"/>
      <c r="E1592" s="31"/>
      <c r="F1592" s="31"/>
      <c r="G1592" s="31"/>
    </row>
    <row r="1593" spans="1:7" x14ac:dyDescent="0.3">
      <c r="A1593" s="131" t="s">
        <v>2752</v>
      </c>
      <c r="B1593" s="130">
        <v>61</v>
      </c>
      <c r="C1593" s="31"/>
      <c r="D1593" s="31"/>
      <c r="E1593" s="31"/>
      <c r="F1593" s="31"/>
      <c r="G1593" s="31"/>
    </row>
    <row r="1594" spans="1:7" x14ac:dyDescent="0.3">
      <c r="A1594" s="131" t="s">
        <v>2753</v>
      </c>
      <c r="B1594" s="130">
        <v>17</v>
      </c>
      <c r="C1594" s="31"/>
      <c r="D1594" s="31"/>
      <c r="E1594" s="31"/>
      <c r="F1594" s="31"/>
      <c r="G1594" s="31"/>
    </row>
    <row r="1595" spans="1:7" x14ac:dyDescent="0.3">
      <c r="A1595" s="131" t="s">
        <v>2754</v>
      </c>
      <c r="B1595" s="130">
        <v>43</v>
      </c>
      <c r="C1595" s="31"/>
      <c r="D1595" s="31"/>
      <c r="E1595" s="31"/>
      <c r="F1595" s="31"/>
      <c r="G1595" s="31"/>
    </row>
    <row r="1596" spans="1:7" x14ac:dyDescent="0.3">
      <c r="A1596" s="131" t="s">
        <v>2755</v>
      </c>
      <c r="B1596" s="130">
        <v>15</v>
      </c>
      <c r="C1596" s="31"/>
      <c r="D1596" s="31"/>
      <c r="E1596" s="31"/>
      <c r="F1596" s="31"/>
      <c r="G1596" s="31"/>
    </row>
    <row r="1597" spans="1:7" x14ac:dyDescent="0.3">
      <c r="A1597" s="131" t="s">
        <v>2756</v>
      </c>
      <c r="B1597" s="130">
        <v>37</v>
      </c>
      <c r="C1597" s="31"/>
      <c r="D1597" s="31"/>
      <c r="E1597" s="31"/>
      <c r="F1597" s="31"/>
      <c r="G1597" s="31"/>
    </row>
    <row r="1598" spans="1:7" x14ac:dyDescent="0.3">
      <c r="A1598" s="131" t="s">
        <v>2757</v>
      </c>
      <c r="B1598" s="130">
        <v>13</v>
      </c>
      <c r="C1598" s="31"/>
      <c r="D1598" s="31"/>
      <c r="E1598" s="31"/>
      <c r="F1598" s="31"/>
      <c r="G1598" s="31"/>
    </row>
    <row r="1599" spans="1:7" x14ac:dyDescent="0.3">
      <c r="A1599" s="131" t="s">
        <v>2758</v>
      </c>
      <c r="B1599" s="130" t="s">
        <v>1163</v>
      </c>
      <c r="C1599" s="31"/>
      <c r="D1599" s="31"/>
      <c r="E1599" s="31"/>
      <c r="F1599" s="31"/>
      <c r="G1599" s="31"/>
    </row>
    <row r="1600" spans="1:7" x14ac:dyDescent="0.3">
      <c r="A1600" s="131" t="s">
        <v>2759</v>
      </c>
      <c r="B1600" s="130">
        <v>13</v>
      </c>
      <c r="C1600" s="31"/>
      <c r="D1600" s="31"/>
      <c r="E1600" s="31"/>
      <c r="F1600" s="31"/>
      <c r="G1600" s="31"/>
    </row>
    <row r="1601" spans="1:7" x14ac:dyDescent="0.3">
      <c r="A1601" s="131" t="s">
        <v>2760</v>
      </c>
      <c r="B1601" s="130">
        <v>64</v>
      </c>
      <c r="C1601" s="31"/>
      <c r="D1601" s="31"/>
      <c r="E1601" s="31"/>
      <c r="F1601" s="31"/>
      <c r="G1601" s="31"/>
    </row>
    <row r="1602" spans="1:7" x14ac:dyDescent="0.3">
      <c r="A1602" s="131" t="s">
        <v>2761</v>
      </c>
      <c r="B1602" s="130" t="s">
        <v>1163</v>
      </c>
      <c r="C1602" s="31"/>
      <c r="D1602" s="31"/>
      <c r="E1602" s="31"/>
      <c r="F1602" s="31"/>
      <c r="G1602" s="31"/>
    </row>
    <row r="1603" spans="1:7" x14ac:dyDescent="0.3">
      <c r="A1603" s="131" t="s">
        <v>2762</v>
      </c>
      <c r="B1603" s="130" t="s">
        <v>1163</v>
      </c>
      <c r="C1603" s="31"/>
      <c r="D1603" s="31"/>
      <c r="E1603" s="31"/>
      <c r="F1603" s="31"/>
      <c r="G1603" s="31"/>
    </row>
    <row r="1604" spans="1:7" x14ac:dyDescent="0.3">
      <c r="A1604" s="131" t="s">
        <v>2763</v>
      </c>
      <c r="B1604" s="130">
        <v>13</v>
      </c>
      <c r="C1604" s="31"/>
      <c r="D1604" s="31"/>
      <c r="E1604" s="31"/>
      <c r="F1604" s="31"/>
      <c r="G1604" s="31"/>
    </row>
    <row r="1605" spans="1:7" x14ac:dyDescent="0.3">
      <c r="A1605" s="131" t="s">
        <v>2764</v>
      </c>
      <c r="B1605" s="130" t="s">
        <v>1163</v>
      </c>
      <c r="C1605" s="31"/>
      <c r="D1605" s="31"/>
      <c r="E1605" s="31"/>
      <c r="F1605" s="31"/>
      <c r="G1605" s="31"/>
    </row>
    <row r="1606" spans="1:7" x14ac:dyDescent="0.3">
      <c r="A1606" s="131" t="s">
        <v>2765</v>
      </c>
      <c r="B1606" s="130" t="s">
        <v>1163</v>
      </c>
      <c r="C1606" s="31"/>
      <c r="D1606" s="31"/>
      <c r="E1606" s="31"/>
      <c r="F1606" s="31"/>
      <c r="G1606" s="31"/>
    </row>
    <row r="1607" spans="1:7" x14ac:dyDescent="0.3">
      <c r="A1607" s="131" t="s">
        <v>2766</v>
      </c>
      <c r="B1607" s="130">
        <v>12</v>
      </c>
      <c r="C1607" s="31"/>
      <c r="D1607" s="31"/>
      <c r="E1607" s="31"/>
      <c r="F1607" s="31"/>
      <c r="G1607" s="31"/>
    </row>
    <row r="1608" spans="1:7" x14ac:dyDescent="0.3">
      <c r="A1608" s="131" t="s">
        <v>2767</v>
      </c>
      <c r="B1608" s="130" t="s">
        <v>1163</v>
      </c>
      <c r="C1608" s="31"/>
      <c r="D1608" s="31"/>
      <c r="E1608" s="31"/>
      <c r="F1608" s="31"/>
      <c r="G1608" s="31"/>
    </row>
    <row r="1609" spans="1:7" x14ac:dyDescent="0.3">
      <c r="A1609" s="131" t="s">
        <v>2768</v>
      </c>
      <c r="B1609" s="130" t="s">
        <v>1163</v>
      </c>
      <c r="C1609" s="31"/>
      <c r="D1609" s="31"/>
      <c r="E1609" s="31"/>
      <c r="F1609" s="31"/>
      <c r="G1609" s="31"/>
    </row>
    <row r="1610" spans="1:7" x14ac:dyDescent="0.3">
      <c r="A1610" s="131" t="s">
        <v>2769</v>
      </c>
      <c r="B1610" s="130">
        <v>10</v>
      </c>
      <c r="C1610" s="31"/>
      <c r="D1610" s="31"/>
      <c r="E1610" s="31"/>
      <c r="F1610" s="31"/>
      <c r="G1610" s="31"/>
    </row>
    <row r="1611" spans="1:7" x14ac:dyDescent="0.3">
      <c r="A1611" s="131" t="s">
        <v>2770</v>
      </c>
      <c r="B1611" s="130" t="s">
        <v>1163</v>
      </c>
      <c r="C1611" s="31"/>
      <c r="D1611" s="31"/>
      <c r="E1611" s="31"/>
      <c r="F1611" s="31"/>
      <c r="G1611" s="31"/>
    </row>
    <row r="1612" spans="1:7" x14ac:dyDescent="0.3">
      <c r="A1612" s="131" t="s">
        <v>2771</v>
      </c>
      <c r="B1612" s="130" t="s">
        <v>1163</v>
      </c>
      <c r="C1612" s="31"/>
      <c r="D1612" s="31"/>
      <c r="E1612" s="31"/>
      <c r="F1612" s="31"/>
      <c r="G1612" s="31"/>
    </row>
    <row r="1613" spans="1:7" x14ac:dyDescent="0.3">
      <c r="A1613" s="131" t="s">
        <v>2772</v>
      </c>
      <c r="B1613" s="130">
        <v>17</v>
      </c>
      <c r="C1613" s="31"/>
      <c r="D1613" s="31"/>
      <c r="E1613" s="31"/>
      <c r="F1613" s="31"/>
      <c r="G1613" s="31"/>
    </row>
    <row r="1614" spans="1:7" x14ac:dyDescent="0.3">
      <c r="A1614" s="131" t="s">
        <v>2773</v>
      </c>
      <c r="B1614" s="130" t="s">
        <v>1163</v>
      </c>
      <c r="C1614" s="31"/>
      <c r="D1614" s="31"/>
      <c r="E1614" s="31"/>
      <c r="F1614" s="31"/>
      <c r="G1614" s="31"/>
    </row>
    <row r="1615" spans="1:7" x14ac:dyDescent="0.3">
      <c r="A1615" s="131" t="s">
        <v>2774</v>
      </c>
      <c r="B1615" s="130">
        <v>179</v>
      </c>
      <c r="C1615" s="31"/>
      <c r="D1615" s="31"/>
      <c r="E1615" s="31"/>
      <c r="F1615" s="31"/>
      <c r="G1615" s="31"/>
    </row>
    <row r="1616" spans="1:7" x14ac:dyDescent="0.3">
      <c r="A1616" s="131" t="s">
        <v>2775</v>
      </c>
      <c r="B1616" s="130">
        <v>49</v>
      </c>
      <c r="C1616" s="31"/>
      <c r="D1616" s="31"/>
      <c r="E1616" s="31"/>
      <c r="F1616" s="31"/>
      <c r="G1616" s="31"/>
    </row>
    <row r="1617" spans="1:7" x14ac:dyDescent="0.3">
      <c r="A1617" s="131" t="s">
        <v>2776</v>
      </c>
      <c r="B1617" s="130">
        <v>139</v>
      </c>
      <c r="C1617" s="31"/>
      <c r="D1617" s="31"/>
      <c r="E1617" s="31"/>
      <c r="F1617" s="31"/>
      <c r="G1617" s="31"/>
    </row>
    <row r="1618" spans="1:7" x14ac:dyDescent="0.3">
      <c r="A1618" s="131" t="s">
        <v>2777</v>
      </c>
      <c r="B1618" s="130">
        <v>26</v>
      </c>
      <c r="C1618" s="31"/>
      <c r="D1618" s="31"/>
      <c r="E1618" s="31"/>
      <c r="F1618" s="31"/>
      <c r="G1618" s="31"/>
    </row>
    <row r="1619" spans="1:7" x14ac:dyDescent="0.3">
      <c r="A1619" s="131" t="s">
        <v>2778</v>
      </c>
      <c r="B1619" s="130">
        <v>29</v>
      </c>
      <c r="C1619" s="31"/>
      <c r="D1619" s="31"/>
      <c r="E1619" s="31"/>
      <c r="F1619" s="31"/>
      <c r="G1619" s="31"/>
    </row>
    <row r="1620" spans="1:7" x14ac:dyDescent="0.3">
      <c r="A1620" s="131" t="s">
        <v>2779</v>
      </c>
      <c r="B1620" s="130">
        <v>216</v>
      </c>
      <c r="C1620" s="31"/>
      <c r="D1620" s="31"/>
      <c r="E1620" s="31"/>
      <c r="F1620" s="31"/>
      <c r="G1620" s="31"/>
    </row>
    <row r="1621" spans="1:7" x14ac:dyDescent="0.3">
      <c r="A1621" s="131" t="s">
        <v>2780</v>
      </c>
      <c r="B1621" s="130">
        <v>73</v>
      </c>
      <c r="C1621" s="31"/>
      <c r="D1621" s="31"/>
      <c r="E1621" s="31"/>
      <c r="F1621" s="31"/>
      <c r="G1621" s="31"/>
    </row>
    <row r="1622" spans="1:7" x14ac:dyDescent="0.3">
      <c r="A1622" s="131" t="s">
        <v>2781</v>
      </c>
      <c r="B1622" s="130">
        <v>252</v>
      </c>
      <c r="C1622" s="31"/>
      <c r="D1622" s="31"/>
      <c r="E1622" s="31"/>
      <c r="F1622" s="31"/>
      <c r="G1622" s="31"/>
    </row>
    <row r="1623" spans="1:7" x14ac:dyDescent="0.3">
      <c r="A1623" s="131" t="s">
        <v>2782</v>
      </c>
      <c r="B1623" s="130">
        <v>157</v>
      </c>
      <c r="C1623" s="31"/>
      <c r="D1623" s="31"/>
      <c r="E1623" s="31"/>
      <c r="F1623" s="31"/>
      <c r="G1623" s="31"/>
    </row>
    <row r="1624" spans="1:7" x14ac:dyDescent="0.3">
      <c r="A1624" s="131" t="s">
        <v>2783</v>
      </c>
      <c r="B1624" s="130">
        <v>332</v>
      </c>
      <c r="C1624" s="31"/>
      <c r="D1624" s="31"/>
      <c r="E1624" s="31"/>
      <c r="F1624" s="31"/>
      <c r="G1624" s="31"/>
    </row>
    <row r="1625" spans="1:7" x14ac:dyDescent="0.3">
      <c r="A1625" s="131" t="s">
        <v>2784</v>
      </c>
      <c r="B1625" s="130">
        <v>40</v>
      </c>
      <c r="C1625" s="31"/>
      <c r="D1625" s="31"/>
      <c r="E1625" s="31"/>
      <c r="F1625" s="31"/>
      <c r="G1625" s="31"/>
    </row>
    <row r="1626" spans="1:7" x14ac:dyDescent="0.3">
      <c r="A1626" s="131" t="s">
        <v>2785</v>
      </c>
      <c r="B1626" s="130">
        <v>116</v>
      </c>
      <c r="C1626" s="31"/>
      <c r="D1626" s="31"/>
      <c r="E1626" s="31"/>
      <c r="F1626" s="31"/>
      <c r="G1626" s="31"/>
    </row>
    <row r="1627" spans="1:7" x14ac:dyDescent="0.3">
      <c r="A1627" s="131" t="s">
        <v>2786</v>
      </c>
      <c r="B1627" s="130">
        <v>49</v>
      </c>
      <c r="C1627" s="31"/>
      <c r="D1627" s="31"/>
      <c r="E1627" s="31"/>
      <c r="F1627" s="31"/>
      <c r="G1627" s="31"/>
    </row>
    <row r="1628" spans="1:7" x14ac:dyDescent="0.3">
      <c r="A1628" s="131" t="s">
        <v>2787</v>
      </c>
      <c r="B1628" s="130" t="s">
        <v>1163</v>
      </c>
      <c r="C1628" s="31"/>
      <c r="D1628" s="31"/>
      <c r="E1628" s="31"/>
      <c r="F1628" s="31"/>
      <c r="G1628" s="31"/>
    </row>
    <row r="1629" spans="1:7" x14ac:dyDescent="0.3">
      <c r="A1629" s="131" t="s">
        <v>2788</v>
      </c>
      <c r="B1629" s="130">
        <v>102</v>
      </c>
      <c r="C1629" s="31"/>
      <c r="D1629" s="31"/>
      <c r="E1629" s="31"/>
      <c r="F1629" s="31"/>
      <c r="G1629" s="31"/>
    </row>
    <row r="1630" spans="1:7" x14ac:dyDescent="0.3">
      <c r="A1630" s="131" t="s">
        <v>2789</v>
      </c>
      <c r="B1630" s="130">
        <v>26</v>
      </c>
      <c r="C1630" s="31"/>
      <c r="D1630" s="31"/>
      <c r="E1630" s="31"/>
      <c r="F1630" s="31"/>
      <c r="G1630" s="31"/>
    </row>
    <row r="1631" spans="1:7" x14ac:dyDescent="0.3">
      <c r="A1631" s="131" t="s">
        <v>2790</v>
      </c>
      <c r="B1631" s="130">
        <v>110</v>
      </c>
      <c r="C1631" s="31"/>
      <c r="D1631" s="31"/>
      <c r="E1631" s="31"/>
      <c r="F1631" s="31"/>
      <c r="G1631" s="31"/>
    </row>
    <row r="1632" spans="1:7" x14ac:dyDescent="0.3">
      <c r="A1632" s="131" t="s">
        <v>2791</v>
      </c>
      <c r="B1632" s="130">
        <v>95</v>
      </c>
      <c r="C1632" s="31"/>
      <c r="D1632" s="31"/>
      <c r="E1632" s="31"/>
      <c r="F1632" s="31"/>
      <c r="G1632" s="31"/>
    </row>
    <row r="1633" spans="1:7" x14ac:dyDescent="0.3">
      <c r="A1633" s="131" t="s">
        <v>2792</v>
      </c>
      <c r="B1633" s="130">
        <v>196</v>
      </c>
      <c r="C1633" s="31"/>
      <c r="D1633" s="31"/>
      <c r="E1633" s="31"/>
      <c r="F1633" s="31"/>
      <c r="G1633" s="31"/>
    </row>
    <row r="1634" spans="1:7" x14ac:dyDescent="0.3">
      <c r="A1634" s="131" t="s">
        <v>2793</v>
      </c>
      <c r="B1634" s="130">
        <v>265</v>
      </c>
      <c r="C1634" s="31"/>
      <c r="D1634" s="31"/>
      <c r="E1634" s="31"/>
      <c r="F1634" s="31"/>
      <c r="G1634" s="31"/>
    </row>
    <row r="1635" spans="1:7" x14ac:dyDescent="0.3">
      <c r="A1635" s="131" t="s">
        <v>2794</v>
      </c>
      <c r="B1635" s="130">
        <v>470</v>
      </c>
      <c r="C1635" s="31"/>
      <c r="D1635" s="31"/>
      <c r="E1635" s="31"/>
      <c r="F1635" s="31"/>
      <c r="G1635" s="31"/>
    </row>
    <row r="1636" spans="1:7" x14ac:dyDescent="0.3">
      <c r="A1636" s="131" t="s">
        <v>2795</v>
      </c>
      <c r="B1636" s="130">
        <v>623</v>
      </c>
      <c r="C1636" s="31"/>
      <c r="D1636" s="31"/>
      <c r="E1636" s="31"/>
      <c r="F1636" s="31"/>
      <c r="G1636" s="31"/>
    </row>
    <row r="1637" spans="1:7" x14ac:dyDescent="0.3">
      <c r="A1637" s="131" t="s">
        <v>2796</v>
      </c>
      <c r="B1637" s="130">
        <v>278</v>
      </c>
      <c r="C1637" s="31"/>
      <c r="D1637" s="31"/>
      <c r="E1637" s="31"/>
      <c r="F1637" s="31"/>
      <c r="G1637" s="31"/>
    </row>
    <row r="1638" spans="1:7" x14ac:dyDescent="0.3">
      <c r="A1638" s="131" t="s">
        <v>2797</v>
      </c>
      <c r="B1638" s="130">
        <v>139</v>
      </c>
      <c r="C1638" s="31"/>
      <c r="D1638" s="31"/>
      <c r="E1638" s="31"/>
      <c r="F1638" s="31"/>
      <c r="G1638" s="31"/>
    </row>
    <row r="1639" spans="1:7" x14ac:dyDescent="0.3">
      <c r="A1639" s="131" t="s">
        <v>2798</v>
      </c>
      <c r="B1639" s="130" t="s">
        <v>1163</v>
      </c>
      <c r="C1639" s="31"/>
      <c r="D1639" s="31"/>
      <c r="E1639" s="31"/>
      <c r="F1639" s="31"/>
      <c r="G1639" s="31"/>
    </row>
    <row r="1640" spans="1:7" x14ac:dyDescent="0.3">
      <c r="A1640" s="131" t="s">
        <v>2799</v>
      </c>
      <c r="B1640" s="130">
        <v>131</v>
      </c>
      <c r="C1640" s="31"/>
      <c r="D1640" s="31"/>
      <c r="E1640" s="31"/>
      <c r="F1640" s="31"/>
      <c r="G1640" s="31"/>
    </row>
    <row r="1641" spans="1:7" x14ac:dyDescent="0.3">
      <c r="A1641" s="131" t="s">
        <v>2800</v>
      </c>
      <c r="B1641" s="130">
        <v>157</v>
      </c>
      <c r="C1641" s="31"/>
      <c r="D1641" s="31"/>
      <c r="E1641" s="31"/>
      <c r="F1641" s="31"/>
      <c r="G1641" s="31"/>
    </row>
    <row r="1642" spans="1:7" x14ac:dyDescent="0.3">
      <c r="A1642" s="131" t="s">
        <v>2801</v>
      </c>
      <c r="B1642" s="130">
        <v>277</v>
      </c>
      <c r="C1642" s="31"/>
      <c r="D1642" s="31"/>
      <c r="E1642" s="31"/>
      <c r="F1642" s="31"/>
      <c r="G1642" s="31"/>
    </row>
    <row r="1643" spans="1:7" x14ac:dyDescent="0.3">
      <c r="A1643" s="131" t="s">
        <v>2802</v>
      </c>
      <c r="B1643" s="130">
        <v>174</v>
      </c>
      <c r="C1643" s="31"/>
      <c r="D1643" s="31"/>
      <c r="E1643" s="31"/>
      <c r="F1643" s="31"/>
      <c r="G1643" s="31"/>
    </row>
    <row r="1644" spans="1:7" x14ac:dyDescent="0.3">
      <c r="A1644" s="131" t="s">
        <v>2803</v>
      </c>
      <c r="B1644" s="130">
        <v>149</v>
      </c>
      <c r="C1644" s="31"/>
      <c r="D1644" s="31"/>
      <c r="E1644" s="31"/>
      <c r="F1644" s="31"/>
      <c r="G1644" s="31"/>
    </row>
    <row r="1645" spans="1:7" x14ac:dyDescent="0.3">
      <c r="A1645" s="131" t="s">
        <v>2804</v>
      </c>
      <c r="B1645" s="130">
        <v>447</v>
      </c>
      <c r="C1645" s="31"/>
      <c r="D1645" s="31"/>
      <c r="E1645" s="31"/>
      <c r="F1645" s="31"/>
      <c r="G1645" s="31"/>
    </row>
    <row r="1646" spans="1:7" x14ac:dyDescent="0.3">
      <c r="A1646" s="131" t="s">
        <v>2805</v>
      </c>
      <c r="B1646" s="130">
        <v>272</v>
      </c>
      <c r="C1646" s="31"/>
      <c r="D1646" s="31"/>
      <c r="E1646" s="31"/>
      <c r="F1646" s="31"/>
      <c r="G1646" s="31"/>
    </row>
    <row r="1647" spans="1:7" x14ac:dyDescent="0.3">
      <c r="A1647" s="131" t="s">
        <v>2806</v>
      </c>
      <c r="B1647" s="130">
        <v>274</v>
      </c>
      <c r="C1647" s="31"/>
      <c r="D1647" s="31"/>
      <c r="E1647" s="31"/>
      <c r="F1647" s="31"/>
      <c r="G1647" s="31"/>
    </row>
    <row r="1648" spans="1:7" x14ac:dyDescent="0.3">
      <c r="A1648" s="131" t="s">
        <v>2807</v>
      </c>
      <c r="B1648" s="130">
        <v>253</v>
      </c>
      <c r="C1648" s="31"/>
      <c r="D1648" s="31"/>
      <c r="E1648" s="31"/>
      <c r="F1648" s="31"/>
      <c r="G1648" s="31"/>
    </row>
    <row r="1649" spans="1:7" x14ac:dyDescent="0.3">
      <c r="A1649" s="131" t="s">
        <v>2808</v>
      </c>
      <c r="B1649" s="130">
        <v>451</v>
      </c>
      <c r="C1649" s="31"/>
      <c r="D1649" s="31"/>
      <c r="E1649" s="31"/>
      <c r="F1649" s="31"/>
      <c r="G1649" s="31"/>
    </row>
    <row r="1650" spans="1:7" x14ac:dyDescent="0.3">
      <c r="A1650" s="131" t="s">
        <v>2809</v>
      </c>
      <c r="B1650" s="130">
        <v>0</v>
      </c>
      <c r="C1650" s="31"/>
      <c r="D1650" s="31"/>
      <c r="E1650" s="31"/>
      <c r="F1650" s="31"/>
      <c r="G1650" s="31"/>
    </row>
    <row r="1651" spans="1:7" x14ac:dyDescent="0.3">
      <c r="A1651" s="131" t="s">
        <v>2810</v>
      </c>
      <c r="B1651" s="130">
        <v>20</v>
      </c>
      <c r="C1651" s="31"/>
      <c r="D1651" s="31"/>
      <c r="E1651" s="31"/>
      <c r="F1651" s="31"/>
      <c r="G1651" s="31"/>
    </row>
    <row r="1652" spans="1:7" x14ac:dyDescent="0.3">
      <c r="A1652" s="131" t="s">
        <v>2811</v>
      </c>
      <c r="B1652" s="130">
        <v>26</v>
      </c>
      <c r="C1652" s="31"/>
      <c r="D1652" s="31"/>
      <c r="E1652" s="31"/>
      <c r="F1652" s="31"/>
      <c r="G1652" s="31"/>
    </row>
    <row r="1653" spans="1:7" x14ac:dyDescent="0.3">
      <c r="A1653" s="131" t="s">
        <v>2812</v>
      </c>
      <c r="B1653" s="130">
        <v>130</v>
      </c>
      <c r="C1653" s="31"/>
      <c r="D1653" s="31"/>
      <c r="E1653" s="31"/>
      <c r="F1653" s="31"/>
      <c r="G1653" s="31"/>
    </row>
    <row r="1654" spans="1:7" x14ac:dyDescent="0.3">
      <c r="A1654" s="131" t="s">
        <v>2813</v>
      </c>
      <c r="B1654" s="130">
        <v>92</v>
      </c>
      <c r="C1654" s="31"/>
      <c r="D1654" s="31"/>
      <c r="E1654" s="31"/>
      <c r="F1654" s="31"/>
      <c r="G1654" s="31"/>
    </row>
    <row r="1655" spans="1:7" x14ac:dyDescent="0.3">
      <c r="A1655" s="131" t="s">
        <v>2814</v>
      </c>
      <c r="B1655" s="130">
        <v>359</v>
      </c>
      <c r="C1655" s="31"/>
      <c r="D1655" s="31"/>
      <c r="E1655" s="31"/>
      <c r="F1655" s="31"/>
      <c r="G1655" s="31"/>
    </row>
    <row r="1656" spans="1:7" x14ac:dyDescent="0.3">
      <c r="A1656" s="131" t="s">
        <v>2815</v>
      </c>
      <c r="B1656" s="130" t="s">
        <v>1163</v>
      </c>
      <c r="C1656" s="31"/>
      <c r="D1656" s="31"/>
      <c r="E1656" s="31"/>
      <c r="F1656" s="31"/>
      <c r="G1656" s="31"/>
    </row>
    <row r="1657" spans="1:7" x14ac:dyDescent="0.3">
      <c r="A1657" s="131" t="s">
        <v>2816</v>
      </c>
      <c r="B1657" s="130">
        <v>38</v>
      </c>
      <c r="C1657" s="31"/>
      <c r="D1657" s="31"/>
      <c r="E1657" s="31"/>
      <c r="F1657" s="31"/>
      <c r="G1657" s="31"/>
    </row>
    <row r="1658" spans="1:7" x14ac:dyDescent="0.3">
      <c r="A1658" s="131" t="s">
        <v>2817</v>
      </c>
      <c r="B1658" s="130">
        <v>0</v>
      </c>
      <c r="C1658" s="31"/>
      <c r="D1658" s="31"/>
      <c r="E1658" s="31"/>
      <c r="F1658" s="31"/>
      <c r="G1658" s="31"/>
    </row>
    <row r="1659" spans="1:7" x14ac:dyDescent="0.3">
      <c r="A1659" s="131" t="s">
        <v>2818</v>
      </c>
      <c r="B1659" s="130">
        <v>0</v>
      </c>
      <c r="C1659" s="31"/>
      <c r="D1659" s="31"/>
      <c r="E1659" s="31"/>
      <c r="F1659" s="31"/>
      <c r="G1659" s="31"/>
    </row>
    <row r="1660" spans="1:7" x14ac:dyDescent="0.3">
      <c r="A1660" s="131" t="s">
        <v>2819</v>
      </c>
      <c r="B1660" s="130">
        <v>80</v>
      </c>
      <c r="C1660" s="31"/>
      <c r="D1660" s="31"/>
      <c r="E1660" s="31"/>
      <c r="F1660" s="31"/>
      <c r="G1660" s="31"/>
    </row>
    <row r="1661" spans="1:7" x14ac:dyDescent="0.3">
      <c r="A1661" s="131" t="s">
        <v>2820</v>
      </c>
      <c r="B1661" s="130">
        <v>233</v>
      </c>
      <c r="C1661" s="31"/>
      <c r="D1661" s="31"/>
      <c r="E1661" s="31"/>
      <c r="F1661" s="31"/>
      <c r="G1661" s="31"/>
    </row>
    <row r="1662" spans="1:7" x14ac:dyDescent="0.3">
      <c r="A1662" s="131" t="s">
        <v>2821</v>
      </c>
      <c r="B1662" s="130">
        <v>138</v>
      </c>
      <c r="C1662" s="31"/>
      <c r="D1662" s="31"/>
      <c r="E1662" s="31"/>
      <c r="F1662" s="31"/>
      <c r="G1662" s="31"/>
    </row>
    <row r="1663" spans="1:7" x14ac:dyDescent="0.3">
      <c r="A1663" s="131" t="s">
        <v>2822</v>
      </c>
      <c r="B1663" s="130">
        <v>102</v>
      </c>
      <c r="C1663" s="31"/>
      <c r="D1663" s="31"/>
      <c r="E1663" s="31"/>
      <c r="F1663" s="31"/>
      <c r="G1663" s="31"/>
    </row>
    <row r="1664" spans="1:7" x14ac:dyDescent="0.3">
      <c r="A1664" s="131" t="s">
        <v>2823</v>
      </c>
      <c r="B1664" s="130">
        <v>205</v>
      </c>
      <c r="C1664" s="31"/>
      <c r="D1664" s="31"/>
      <c r="E1664" s="31"/>
      <c r="F1664" s="31"/>
      <c r="G1664" s="31"/>
    </row>
    <row r="1665" spans="1:7" x14ac:dyDescent="0.3">
      <c r="A1665" s="131" t="s">
        <v>2824</v>
      </c>
      <c r="B1665" s="130">
        <v>255</v>
      </c>
      <c r="C1665" s="31"/>
      <c r="D1665" s="31"/>
      <c r="E1665" s="31"/>
      <c r="F1665" s="31"/>
      <c r="G1665" s="31"/>
    </row>
    <row r="1666" spans="1:7" x14ac:dyDescent="0.3">
      <c r="A1666" s="131" t="s">
        <v>2825</v>
      </c>
      <c r="B1666" s="130">
        <v>602</v>
      </c>
      <c r="C1666" s="31"/>
      <c r="D1666" s="31"/>
      <c r="E1666" s="31"/>
      <c r="F1666" s="31"/>
      <c r="G1666" s="31"/>
    </row>
    <row r="1667" spans="1:7" x14ac:dyDescent="0.3">
      <c r="A1667" s="131" t="s">
        <v>2826</v>
      </c>
      <c r="B1667" s="130">
        <v>0</v>
      </c>
      <c r="C1667" s="31"/>
      <c r="D1667" s="31"/>
      <c r="E1667" s="31"/>
      <c r="F1667" s="31"/>
      <c r="G1667" s="31"/>
    </row>
    <row r="1668" spans="1:7" x14ac:dyDescent="0.3">
      <c r="A1668" s="131" t="s">
        <v>2827</v>
      </c>
      <c r="B1668" s="130" t="s">
        <v>1163</v>
      </c>
      <c r="C1668" s="31"/>
      <c r="D1668" s="31"/>
      <c r="E1668" s="31"/>
      <c r="F1668" s="31"/>
      <c r="G1668" s="31"/>
    </row>
    <row r="1669" spans="1:7" x14ac:dyDescent="0.3">
      <c r="A1669" s="131" t="s">
        <v>2828</v>
      </c>
      <c r="B1669" s="130">
        <v>0</v>
      </c>
      <c r="C1669" s="31"/>
      <c r="D1669" s="31"/>
      <c r="E1669" s="31"/>
      <c r="F1669" s="31"/>
      <c r="G1669" s="31"/>
    </row>
    <row r="1670" spans="1:7" x14ac:dyDescent="0.3">
      <c r="A1670" s="131" t="s">
        <v>2829</v>
      </c>
      <c r="B1670" s="130">
        <v>24</v>
      </c>
      <c r="C1670" s="31"/>
      <c r="D1670" s="31"/>
      <c r="E1670" s="31"/>
      <c r="F1670" s="31"/>
      <c r="G1670" s="31"/>
    </row>
    <row r="1671" spans="1:7" x14ac:dyDescent="0.3">
      <c r="A1671" s="131" t="s">
        <v>2830</v>
      </c>
      <c r="B1671" s="130">
        <v>18</v>
      </c>
      <c r="C1671" s="31"/>
      <c r="D1671" s="31"/>
      <c r="E1671" s="31"/>
      <c r="F1671" s="31"/>
      <c r="G1671" s="31"/>
    </row>
    <row r="1672" spans="1:7" x14ac:dyDescent="0.3">
      <c r="A1672" s="131" t="s">
        <v>2831</v>
      </c>
      <c r="B1672" s="130">
        <v>19</v>
      </c>
      <c r="C1672" s="31"/>
      <c r="D1672" s="31"/>
      <c r="E1672" s="31"/>
      <c r="F1672" s="31"/>
      <c r="G1672" s="31"/>
    </row>
    <row r="1673" spans="1:7" x14ac:dyDescent="0.3">
      <c r="A1673" s="131" t="s">
        <v>2832</v>
      </c>
      <c r="B1673" s="130">
        <v>44</v>
      </c>
      <c r="C1673" s="31"/>
      <c r="D1673" s="31"/>
      <c r="E1673" s="31"/>
      <c r="F1673" s="31"/>
      <c r="G1673" s="31"/>
    </row>
    <row r="1674" spans="1:7" x14ac:dyDescent="0.3">
      <c r="A1674" s="131" t="s">
        <v>2833</v>
      </c>
      <c r="B1674" s="130" t="s">
        <v>1163</v>
      </c>
      <c r="C1674" s="31"/>
      <c r="D1674" s="31"/>
      <c r="E1674" s="31"/>
      <c r="F1674" s="31"/>
      <c r="G1674" s="31"/>
    </row>
    <row r="1675" spans="1:7" x14ac:dyDescent="0.3">
      <c r="A1675" s="131" t="s">
        <v>2834</v>
      </c>
      <c r="B1675" s="130">
        <v>71</v>
      </c>
      <c r="C1675" s="31"/>
      <c r="D1675" s="31"/>
      <c r="E1675" s="31"/>
      <c r="F1675" s="31"/>
      <c r="G1675" s="31"/>
    </row>
    <row r="1676" spans="1:7" x14ac:dyDescent="0.3">
      <c r="A1676" s="131" t="s">
        <v>2835</v>
      </c>
      <c r="B1676" s="130">
        <v>0</v>
      </c>
      <c r="C1676" s="31"/>
      <c r="D1676" s="31"/>
      <c r="E1676" s="31"/>
      <c r="F1676" s="31"/>
      <c r="G1676" s="31"/>
    </row>
    <row r="1677" spans="1:7" x14ac:dyDescent="0.3">
      <c r="A1677" s="131" t="s">
        <v>2836</v>
      </c>
      <c r="B1677" s="130">
        <v>15</v>
      </c>
      <c r="C1677" s="31"/>
      <c r="D1677" s="31"/>
      <c r="E1677" s="31"/>
      <c r="F1677" s="31"/>
      <c r="G1677" s="31"/>
    </row>
    <row r="1678" spans="1:7" x14ac:dyDescent="0.3">
      <c r="A1678" s="131" t="s">
        <v>2837</v>
      </c>
      <c r="B1678" s="130">
        <v>72</v>
      </c>
      <c r="C1678" s="31"/>
      <c r="D1678" s="31"/>
      <c r="E1678" s="31"/>
      <c r="F1678" s="31"/>
      <c r="G1678" s="31"/>
    </row>
    <row r="1679" spans="1:7" x14ac:dyDescent="0.3">
      <c r="A1679" s="131" t="s">
        <v>2838</v>
      </c>
      <c r="B1679" s="130" t="s">
        <v>1163</v>
      </c>
      <c r="C1679" s="31"/>
      <c r="D1679" s="31"/>
      <c r="E1679" s="31"/>
      <c r="F1679" s="31"/>
      <c r="G1679" s="31"/>
    </row>
    <row r="1680" spans="1:7" x14ac:dyDescent="0.3">
      <c r="A1680" s="131" t="s">
        <v>2839</v>
      </c>
      <c r="B1680" s="130">
        <v>345</v>
      </c>
      <c r="C1680" s="31"/>
      <c r="D1680" s="31"/>
      <c r="E1680" s="31"/>
      <c r="F1680" s="31"/>
      <c r="G1680" s="31"/>
    </row>
    <row r="1681" spans="1:7" x14ac:dyDescent="0.3">
      <c r="A1681" s="131" t="s">
        <v>2840</v>
      </c>
      <c r="B1681" s="130">
        <v>179</v>
      </c>
      <c r="C1681" s="31"/>
      <c r="D1681" s="31"/>
      <c r="E1681" s="31"/>
      <c r="F1681" s="31"/>
      <c r="G1681" s="31"/>
    </row>
    <row r="1682" spans="1:7" x14ac:dyDescent="0.3">
      <c r="A1682" s="131" t="s">
        <v>2841</v>
      </c>
      <c r="B1682" s="130">
        <v>91</v>
      </c>
      <c r="C1682" s="31"/>
      <c r="D1682" s="31"/>
      <c r="E1682" s="31"/>
      <c r="F1682" s="31"/>
      <c r="G1682" s="31"/>
    </row>
    <row r="1683" spans="1:7" x14ac:dyDescent="0.3">
      <c r="A1683" s="131" t="s">
        <v>2842</v>
      </c>
      <c r="B1683" s="130">
        <v>89</v>
      </c>
      <c r="C1683" s="31"/>
      <c r="D1683" s="31"/>
      <c r="E1683" s="31"/>
      <c r="F1683" s="31"/>
      <c r="G1683" s="31"/>
    </row>
    <row r="1684" spans="1:7" x14ac:dyDescent="0.3">
      <c r="A1684" s="131" t="s">
        <v>2843</v>
      </c>
      <c r="B1684" s="130">
        <v>178</v>
      </c>
      <c r="C1684" s="31"/>
      <c r="D1684" s="31"/>
      <c r="E1684" s="31"/>
      <c r="F1684" s="31"/>
      <c r="G1684" s="31"/>
    </row>
    <row r="1685" spans="1:7" x14ac:dyDescent="0.3">
      <c r="A1685" s="131" t="s">
        <v>2844</v>
      </c>
      <c r="B1685" s="130">
        <v>171</v>
      </c>
      <c r="C1685" s="31"/>
      <c r="D1685" s="31"/>
      <c r="E1685" s="31"/>
      <c r="F1685" s="31"/>
      <c r="G1685" s="31"/>
    </row>
    <row r="1686" spans="1:7" x14ac:dyDescent="0.3">
      <c r="A1686" s="131" t="s">
        <v>2845</v>
      </c>
      <c r="B1686" s="130">
        <v>156</v>
      </c>
      <c r="C1686" s="31"/>
      <c r="D1686" s="31"/>
      <c r="E1686" s="31"/>
      <c r="F1686" s="31"/>
      <c r="G1686" s="31"/>
    </row>
    <row r="1687" spans="1:7" x14ac:dyDescent="0.3">
      <c r="A1687" s="131" t="s">
        <v>2846</v>
      </c>
      <c r="B1687" s="130">
        <v>149</v>
      </c>
      <c r="C1687" s="31"/>
      <c r="D1687" s="31"/>
      <c r="E1687" s="31"/>
      <c r="F1687" s="31"/>
      <c r="G1687" s="31"/>
    </row>
    <row r="1688" spans="1:7" x14ac:dyDescent="0.3">
      <c r="A1688" s="131" t="s">
        <v>2847</v>
      </c>
      <c r="B1688" s="130">
        <v>398</v>
      </c>
      <c r="C1688" s="31"/>
      <c r="D1688" s="31"/>
      <c r="E1688" s="31"/>
      <c r="F1688" s="31"/>
      <c r="G1688" s="31"/>
    </row>
    <row r="1689" spans="1:7" x14ac:dyDescent="0.3">
      <c r="A1689" s="131" t="s">
        <v>2848</v>
      </c>
      <c r="B1689" s="130">
        <v>185</v>
      </c>
      <c r="C1689" s="31"/>
      <c r="D1689" s="31"/>
      <c r="E1689" s="31"/>
      <c r="F1689" s="31"/>
      <c r="G1689" s="31"/>
    </row>
    <row r="1690" spans="1:7" x14ac:dyDescent="0.3">
      <c r="A1690" s="131" t="s">
        <v>2849</v>
      </c>
      <c r="B1690" s="130">
        <v>12</v>
      </c>
      <c r="C1690" s="31"/>
      <c r="D1690" s="31"/>
      <c r="E1690" s="31"/>
      <c r="F1690" s="31"/>
      <c r="G1690" s="31"/>
    </row>
    <row r="1691" spans="1:7" x14ac:dyDescent="0.3">
      <c r="A1691" s="131" t="s">
        <v>2850</v>
      </c>
      <c r="B1691" s="130">
        <v>147</v>
      </c>
      <c r="C1691" s="31"/>
      <c r="D1691" s="31"/>
      <c r="E1691" s="31"/>
      <c r="F1691" s="31"/>
      <c r="G1691" s="31"/>
    </row>
    <row r="1692" spans="1:7" x14ac:dyDescent="0.3">
      <c r="A1692" s="131" t="s">
        <v>2851</v>
      </c>
      <c r="B1692" s="130">
        <v>11</v>
      </c>
      <c r="C1692" s="31"/>
      <c r="D1692" s="31"/>
      <c r="E1692" s="31"/>
      <c r="F1692" s="31"/>
      <c r="G1692" s="31"/>
    </row>
    <row r="1693" spans="1:7" x14ac:dyDescent="0.3">
      <c r="A1693" s="131" t="s">
        <v>2852</v>
      </c>
      <c r="B1693" s="130">
        <v>114</v>
      </c>
      <c r="C1693" s="31"/>
      <c r="D1693" s="31"/>
      <c r="E1693" s="31"/>
      <c r="F1693" s="31"/>
      <c r="G1693" s="31"/>
    </row>
    <row r="1694" spans="1:7" x14ac:dyDescent="0.3">
      <c r="A1694" s="131" t="s">
        <v>2853</v>
      </c>
      <c r="B1694" s="130">
        <v>581</v>
      </c>
      <c r="C1694" s="31"/>
      <c r="D1694" s="31"/>
      <c r="E1694" s="31"/>
      <c r="F1694" s="31"/>
      <c r="G1694" s="31"/>
    </row>
    <row r="1695" spans="1:7" x14ac:dyDescent="0.3">
      <c r="A1695" s="131" t="s">
        <v>2854</v>
      </c>
      <c r="B1695" s="130">
        <v>163</v>
      </c>
      <c r="C1695" s="31"/>
      <c r="D1695" s="31"/>
      <c r="E1695" s="31"/>
      <c r="F1695" s="31"/>
      <c r="G1695" s="31"/>
    </row>
    <row r="1696" spans="1:7" x14ac:dyDescent="0.3">
      <c r="A1696" s="131" t="s">
        <v>2855</v>
      </c>
      <c r="B1696" s="130">
        <v>71</v>
      </c>
      <c r="C1696" s="31"/>
      <c r="D1696" s="31"/>
      <c r="E1696" s="31"/>
      <c r="F1696" s="31"/>
      <c r="G1696" s="31"/>
    </row>
    <row r="1697" spans="1:7" x14ac:dyDescent="0.3">
      <c r="A1697" s="131" t="s">
        <v>2856</v>
      </c>
      <c r="B1697" s="130">
        <v>27</v>
      </c>
      <c r="C1697" s="31"/>
      <c r="D1697" s="31"/>
      <c r="E1697" s="31"/>
      <c r="F1697" s="31"/>
      <c r="G1697" s="31"/>
    </row>
    <row r="1698" spans="1:7" x14ac:dyDescent="0.3">
      <c r="A1698" s="131" t="s">
        <v>2857</v>
      </c>
      <c r="B1698" s="130">
        <v>12</v>
      </c>
      <c r="C1698" s="31"/>
      <c r="D1698" s="31"/>
      <c r="E1698" s="31"/>
      <c r="F1698" s="31"/>
      <c r="G1698" s="31"/>
    </row>
    <row r="1699" spans="1:7" x14ac:dyDescent="0.3">
      <c r="A1699" s="131" t="s">
        <v>2858</v>
      </c>
      <c r="B1699" s="130">
        <v>83</v>
      </c>
      <c r="C1699" s="31"/>
      <c r="D1699" s="31"/>
      <c r="E1699" s="31"/>
      <c r="F1699" s="31"/>
      <c r="G1699" s="31"/>
    </row>
    <row r="1700" spans="1:7" x14ac:dyDescent="0.3">
      <c r="A1700" s="131" t="s">
        <v>2859</v>
      </c>
      <c r="B1700" s="130">
        <v>312</v>
      </c>
      <c r="C1700" s="31"/>
      <c r="D1700" s="31"/>
      <c r="E1700" s="31"/>
      <c r="F1700" s="31"/>
      <c r="G1700" s="31"/>
    </row>
    <row r="1701" spans="1:7" x14ac:dyDescent="0.3">
      <c r="A1701" s="131" t="s">
        <v>2860</v>
      </c>
      <c r="B1701" s="130">
        <v>61</v>
      </c>
      <c r="C1701" s="31"/>
      <c r="D1701" s="31"/>
      <c r="E1701" s="31"/>
      <c r="F1701" s="31"/>
      <c r="G1701" s="31"/>
    </row>
    <row r="1702" spans="1:7" x14ac:dyDescent="0.3">
      <c r="A1702" s="131" t="s">
        <v>2861</v>
      </c>
      <c r="B1702" s="130">
        <v>82</v>
      </c>
      <c r="C1702" s="31"/>
      <c r="D1702" s="31"/>
      <c r="E1702" s="31"/>
      <c r="F1702" s="31"/>
      <c r="G1702" s="31"/>
    </row>
    <row r="1703" spans="1:7" x14ac:dyDescent="0.3">
      <c r="A1703" s="131" t="s">
        <v>2862</v>
      </c>
      <c r="B1703" s="130">
        <v>155</v>
      </c>
      <c r="C1703" s="31"/>
      <c r="D1703" s="31"/>
      <c r="E1703" s="31"/>
      <c r="F1703" s="31"/>
      <c r="G1703" s="31"/>
    </row>
    <row r="1704" spans="1:7" x14ac:dyDescent="0.3">
      <c r="A1704" s="131" t="s">
        <v>2863</v>
      </c>
      <c r="B1704" s="130">
        <v>89</v>
      </c>
      <c r="C1704" s="31"/>
      <c r="D1704" s="31"/>
      <c r="E1704" s="31"/>
      <c r="F1704" s="31"/>
      <c r="G1704" s="31"/>
    </row>
    <row r="1705" spans="1:7" x14ac:dyDescent="0.3">
      <c r="A1705" s="131" t="s">
        <v>2864</v>
      </c>
      <c r="B1705" s="130">
        <v>16</v>
      </c>
      <c r="C1705" s="31"/>
      <c r="D1705" s="31"/>
      <c r="E1705" s="31"/>
      <c r="F1705" s="31"/>
      <c r="G1705" s="31"/>
    </row>
    <row r="1706" spans="1:7" x14ac:dyDescent="0.3">
      <c r="A1706" s="131" t="s">
        <v>2865</v>
      </c>
      <c r="B1706" s="130" t="s">
        <v>1163</v>
      </c>
      <c r="C1706" s="31"/>
      <c r="D1706" s="31"/>
      <c r="E1706" s="31"/>
      <c r="F1706" s="31"/>
      <c r="G1706" s="31"/>
    </row>
    <row r="1707" spans="1:7" x14ac:dyDescent="0.3">
      <c r="A1707" s="131" t="s">
        <v>2866</v>
      </c>
      <c r="B1707" s="130">
        <v>0</v>
      </c>
      <c r="C1707" s="31"/>
      <c r="D1707" s="31"/>
      <c r="E1707" s="31"/>
      <c r="F1707" s="31"/>
      <c r="G1707" s="31"/>
    </row>
    <row r="1708" spans="1:7" x14ac:dyDescent="0.3">
      <c r="A1708" s="131" t="s">
        <v>2867</v>
      </c>
      <c r="B1708" s="130">
        <v>56</v>
      </c>
      <c r="C1708" s="31"/>
      <c r="D1708" s="31"/>
      <c r="E1708" s="31"/>
      <c r="F1708" s="31"/>
      <c r="G1708" s="31"/>
    </row>
    <row r="1709" spans="1:7" x14ac:dyDescent="0.3">
      <c r="A1709" s="131" t="s">
        <v>2868</v>
      </c>
      <c r="B1709" s="130">
        <v>0</v>
      </c>
      <c r="C1709" s="31"/>
      <c r="D1709" s="31"/>
      <c r="E1709" s="31"/>
      <c r="F1709" s="31"/>
      <c r="G1709" s="31"/>
    </row>
    <row r="1710" spans="1:7" x14ac:dyDescent="0.3">
      <c r="A1710" s="131" t="s">
        <v>2869</v>
      </c>
      <c r="B1710" s="130">
        <v>0</v>
      </c>
      <c r="C1710" s="31"/>
      <c r="D1710" s="31"/>
      <c r="E1710" s="31"/>
      <c r="F1710" s="31"/>
      <c r="G1710" s="31"/>
    </row>
    <row r="1711" spans="1:7" x14ac:dyDescent="0.3">
      <c r="A1711" s="131" t="s">
        <v>2870</v>
      </c>
      <c r="B1711" s="130">
        <v>70</v>
      </c>
      <c r="C1711" s="31"/>
      <c r="D1711" s="31"/>
      <c r="E1711" s="31"/>
      <c r="F1711" s="31"/>
      <c r="G1711" s="31"/>
    </row>
    <row r="1712" spans="1:7" x14ac:dyDescent="0.3">
      <c r="A1712" s="131" t="s">
        <v>2871</v>
      </c>
      <c r="B1712" s="130">
        <v>37</v>
      </c>
      <c r="C1712" s="31"/>
      <c r="D1712" s="31"/>
      <c r="E1712" s="31"/>
      <c r="F1712" s="31"/>
      <c r="G1712" s="31"/>
    </row>
    <row r="1713" spans="1:7" x14ac:dyDescent="0.3">
      <c r="A1713" s="131" t="s">
        <v>2872</v>
      </c>
      <c r="B1713" s="130">
        <v>57</v>
      </c>
      <c r="C1713" s="31"/>
      <c r="D1713" s="31"/>
      <c r="E1713" s="31"/>
      <c r="F1713" s="31"/>
      <c r="G1713" s="31"/>
    </row>
    <row r="1714" spans="1:7" x14ac:dyDescent="0.3">
      <c r="A1714" s="131" t="s">
        <v>2873</v>
      </c>
      <c r="B1714" s="130">
        <v>0</v>
      </c>
      <c r="C1714" s="31"/>
      <c r="D1714" s="31"/>
      <c r="E1714" s="31"/>
      <c r="F1714" s="31"/>
      <c r="G1714" s="31"/>
    </row>
    <row r="1715" spans="1:7" x14ac:dyDescent="0.3">
      <c r="A1715" s="131" t="s">
        <v>2874</v>
      </c>
      <c r="B1715" s="130">
        <v>0</v>
      </c>
      <c r="C1715" s="31"/>
      <c r="D1715" s="31"/>
      <c r="E1715" s="31"/>
      <c r="F1715" s="31"/>
      <c r="G1715" s="31"/>
    </row>
    <row r="1716" spans="1:7" x14ac:dyDescent="0.3">
      <c r="A1716" s="131" t="s">
        <v>2875</v>
      </c>
      <c r="B1716" s="130">
        <v>143</v>
      </c>
      <c r="C1716" s="31"/>
      <c r="D1716" s="31"/>
      <c r="E1716" s="31"/>
      <c r="F1716" s="31"/>
      <c r="G1716" s="31"/>
    </row>
    <row r="1717" spans="1:7" x14ac:dyDescent="0.3">
      <c r="A1717" s="131" t="s">
        <v>2876</v>
      </c>
      <c r="B1717" s="130">
        <v>182</v>
      </c>
      <c r="C1717" s="31"/>
      <c r="D1717" s="31"/>
      <c r="E1717" s="31"/>
      <c r="F1717" s="31"/>
      <c r="G1717" s="31"/>
    </row>
    <row r="1718" spans="1:7" x14ac:dyDescent="0.3">
      <c r="A1718" s="131" t="s">
        <v>2877</v>
      </c>
      <c r="B1718" s="130" t="s">
        <v>1163</v>
      </c>
      <c r="C1718" s="31"/>
      <c r="D1718" s="31"/>
      <c r="E1718" s="31"/>
      <c r="F1718" s="31"/>
      <c r="G1718" s="31"/>
    </row>
    <row r="1719" spans="1:7" x14ac:dyDescent="0.3">
      <c r="A1719" s="131" t="s">
        <v>2878</v>
      </c>
      <c r="B1719" s="130">
        <v>135</v>
      </c>
      <c r="C1719" s="31"/>
      <c r="D1719" s="31"/>
      <c r="E1719" s="31"/>
      <c r="F1719" s="31"/>
      <c r="G1719" s="31"/>
    </row>
    <row r="1720" spans="1:7" x14ac:dyDescent="0.3">
      <c r="A1720" s="131" t="s">
        <v>2879</v>
      </c>
      <c r="B1720" s="130">
        <v>172</v>
      </c>
      <c r="C1720" s="31"/>
      <c r="D1720" s="31"/>
      <c r="E1720" s="31"/>
      <c r="F1720" s="31"/>
      <c r="G1720" s="31"/>
    </row>
    <row r="1721" spans="1:7" x14ac:dyDescent="0.3">
      <c r="A1721" s="131" t="s">
        <v>2880</v>
      </c>
      <c r="B1721" s="130">
        <v>238</v>
      </c>
      <c r="C1721" s="31"/>
      <c r="D1721" s="31"/>
      <c r="E1721" s="31"/>
      <c r="F1721" s="31"/>
      <c r="G1721" s="31"/>
    </row>
    <row r="1722" spans="1:7" x14ac:dyDescent="0.3">
      <c r="A1722" s="131" t="s">
        <v>2881</v>
      </c>
      <c r="B1722" s="130">
        <v>270</v>
      </c>
      <c r="C1722" s="31"/>
      <c r="D1722" s="31"/>
      <c r="E1722" s="31"/>
      <c r="F1722" s="31"/>
      <c r="G1722" s="31"/>
    </row>
    <row r="1723" spans="1:7" x14ac:dyDescent="0.3">
      <c r="A1723" s="131" t="s">
        <v>2882</v>
      </c>
      <c r="B1723" s="130">
        <v>216</v>
      </c>
      <c r="C1723" s="31"/>
      <c r="D1723" s="31"/>
      <c r="E1723" s="31"/>
      <c r="F1723" s="31"/>
      <c r="G1723" s="31"/>
    </row>
    <row r="1724" spans="1:7" x14ac:dyDescent="0.3">
      <c r="A1724" s="131" t="s">
        <v>2883</v>
      </c>
      <c r="B1724" s="130">
        <v>239</v>
      </c>
      <c r="C1724" s="31"/>
      <c r="D1724" s="31"/>
      <c r="E1724" s="31"/>
      <c r="F1724" s="31"/>
      <c r="G1724" s="31"/>
    </row>
    <row r="1725" spans="1:7" x14ac:dyDescent="0.3">
      <c r="A1725" s="131" t="s">
        <v>2884</v>
      </c>
      <c r="B1725" s="130">
        <v>76</v>
      </c>
      <c r="C1725" s="31"/>
      <c r="D1725" s="31"/>
      <c r="E1725" s="31"/>
      <c r="F1725" s="31"/>
      <c r="G1725" s="31"/>
    </row>
    <row r="1726" spans="1:7" x14ac:dyDescent="0.3">
      <c r="A1726" s="131" t="s">
        <v>2885</v>
      </c>
      <c r="B1726" s="130">
        <v>289</v>
      </c>
      <c r="C1726" s="31"/>
      <c r="D1726" s="31"/>
      <c r="E1726" s="31"/>
      <c r="F1726" s="31"/>
      <c r="G1726" s="31"/>
    </row>
    <row r="1727" spans="1:7" x14ac:dyDescent="0.3">
      <c r="A1727" s="131" t="s">
        <v>2886</v>
      </c>
      <c r="B1727" s="130">
        <v>180</v>
      </c>
      <c r="C1727" s="31"/>
      <c r="D1727" s="31"/>
      <c r="E1727" s="31"/>
      <c r="F1727" s="31"/>
      <c r="G1727" s="31"/>
    </row>
    <row r="1728" spans="1:7" x14ac:dyDescent="0.3">
      <c r="A1728" s="131" t="s">
        <v>2887</v>
      </c>
      <c r="B1728" s="130">
        <v>126</v>
      </c>
      <c r="C1728" s="31"/>
      <c r="D1728" s="31"/>
      <c r="E1728" s="31"/>
      <c r="F1728" s="31"/>
      <c r="G1728" s="31"/>
    </row>
    <row r="1729" spans="1:7" x14ac:dyDescent="0.3">
      <c r="A1729" s="131" t="s">
        <v>2888</v>
      </c>
      <c r="B1729" s="130">
        <v>182</v>
      </c>
      <c r="C1729" s="31"/>
      <c r="D1729" s="31"/>
      <c r="E1729" s="31"/>
      <c r="F1729" s="31"/>
      <c r="G1729" s="31"/>
    </row>
    <row r="1730" spans="1:7" x14ac:dyDescent="0.3">
      <c r="A1730" s="131" t="s">
        <v>2889</v>
      </c>
      <c r="B1730" s="130">
        <v>94</v>
      </c>
      <c r="C1730" s="31"/>
      <c r="D1730" s="31"/>
      <c r="E1730" s="31"/>
      <c r="F1730" s="31"/>
      <c r="G1730" s="31"/>
    </row>
    <row r="1731" spans="1:7" x14ac:dyDescent="0.3">
      <c r="A1731" s="131" t="s">
        <v>2890</v>
      </c>
      <c r="B1731" s="130">
        <v>210</v>
      </c>
      <c r="C1731" s="31"/>
      <c r="D1731" s="31"/>
      <c r="E1731" s="31"/>
      <c r="F1731" s="31"/>
      <c r="G1731" s="31"/>
    </row>
    <row r="1732" spans="1:7" x14ac:dyDescent="0.3">
      <c r="A1732" s="131" t="s">
        <v>2891</v>
      </c>
      <c r="B1732" s="130">
        <v>50</v>
      </c>
      <c r="C1732" s="31"/>
      <c r="D1732" s="31"/>
      <c r="E1732" s="31"/>
      <c r="F1732" s="31"/>
      <c r="G1732" s="31"/>
    </row>
    <row r="1733" spans="1:7" x14ac:dyDescent="0.3">
      <c r="A1733" s="131" t="s">
        <v>2892</v>
      </c>
      <c r="B1733" s="130">
        <v>129</v>
      </c>
      <c r="C1733" s="31"/>
      <c r="D1733" s="31"/>
      <c r="E1733" s="31"/>
      <c r="F1733" s="31"/>
      <c r="G1733" s="31"/>
    </row>
    <row r="1734" spans="1:7" x14ac:dyDescent="0.3">
      <c r="A1734" s="131" t="s">
        <v>2893</v>
      </c>
      <c r="B1734" s="130">
        <v>216</v>
      </c>
      <c r="C1734" s="31"/>
      <c r="D1734" s="31"/>
      <c r="E1734" s="31"/>
      <c r="F1734" s="31"/>
      <c r="G1734" s="31"/>
    </row>
    <row r="1735" spans="1:7" x14ac:dyDescent="0.3">
      <c r="A1735" s="131" t="s">
        <v>2894</v>
      </c>
      <c r="B1735" s="130">
        <v>189</v>
      </c>
      <c r="C1735" s="31"/>
      <c r="D1735" s="31"/>
      <c r="E1735" s="31"/>
      <c r="F1735" s="31"/>
      <c r="G1735" s="31"/>
    </row>
    <row r="1736" spans="1:7" x14ac:dyDescent="0.3">
      <c r="A1736" s="131" t="s">
        <v>2895</v>
      </c>
      <c r="B1736" s="130">
        <v>0</v>
      </c>
      <c r="C1736" s="31"/>
      <c r="D1736" s="31"/>
      <c r="E1736" s="31"/>
      <c r="F1736" s="31"/>
      <c r="G1736" s="31"/>
    </row>
    <row r="1737" spans="1:7" x14ac:dyDescent="0.3">
      <c r="A1737" s="131" t="s">
        <v>2896</v>
      </c>
      <c r="B1737" s="130" t="s">
        <v>1163</v>
      </c>
      <c r="C1737" s="31"/>
      <c r="D1737" s="31"/>
      <c r="E1737" s="31"/>
      <c r="F1737" s="31"/>
      <c r="G1737" s="31"/>
    </row>
    <row r="1738" spans="1:7" x14ac:dyDescent="0.3">
      <c r="A1738" s="131" t="s">
        <v>2897</v>
      </c>
      <c r="B1738" s="130">
        <v>295</v>
      </c>
      <c r="C1738" s="31"/>
      <c r="D1738" s="31"/>
      <c r="E1738" s="31"/>
      <c r="F1738" s="31"/>
      <c r="G1738" s="31"/>
    </row>
    <row r="1739" spans="1:7" x14ac:dyDescent="0.3">
      <c r="A1739" s="131" t="s">
        <v>2898</v>
      </c>
      <c r="B1739" s="130">
        <v>94</v>
      </c>
      <c r="C1739" s="31"/>
      <c r="D1739" s="31"/>
      <c r="E1739" s="31"/>
      <c r="F1739" s="31"/>
      <c r="G1739" s="31"/>
    </row>
    <row r="1740" spans="1:7" x14ac:dyDescent="0.3">
      <c r="A1740" s="131" t="s">
        <v>2899</v>
      </c>
      <c r="B1740" s="130">
        <v>52</v>
      </c>
      <c r="C1740" s="31"/>
      <c r="D1740" s="31"/>
      <c r="E1740" s="31"/>
      <c r="F1740" s="31"/>
      <c r="G1740" s="31"/>
    </row>
    <row r="1741" spans="1:7" x14ac:dyDescent="0.3">
      <c r="A1741" s="131" t="s">
        <v>2900</v>
      </c>
      <c r="B1741" s="130">
        <v>92</v>
      </c>
      <c r="C1741" s="31"/>
      <c r="D1741" s="31"/>
      <c r="E1741" s="31"/>
      <c r="F1741" s="31"/>
      <c r="G1741" s="31"/>
    </row>
    <row r="1742" spans="1:7" x14ac:dyDescent="0.3">
      <c r="A1742" s="131" t="s">
        <v>2901</v>
      </c>
      <c r="B1742" s="130">
        <v>141</v>
      </c>
      <c r="C1742" s="31"/>
      <c r="D1742" s="31"/>
      <c r="E1742" s="31"/>
      <c r="F1742" s="31"/>
      <c r="G1742" s="31"/>
    </row>
    <row r="1743" spans="1:7" x14ac:dyDescent="0.3">
      <c r="A1743" s="131" t="s">
        <v>2902</v>
      </c>
      <c r="B1743" s="130">
        <v>85</v>
      </c>
      <c r="C1743" s="31"/>
      <c r="D1743" s="31"/>
      <c r="E1743" s="31"/>
      <c r="F1743" s="31"/>
      <c r="G1743" s="31"/>
    </row>
    <row r="1744" spans="1:7" x14ac:dyDescent="0.3">
      <c r="A1744" s="131" t="s">
        <v>2903</v>
      </c>
      <c r="B1744" s="130">
        <v>181</v>
      </c>
      <c r="C1744" s="31"/>
      <c r="D1744" s="31"/>
      <c r="E1744" s="31"/>
      <c r="F1744" s="31"/>
      <c r="G1744" s="31"/>
    </row>
    <row r="1745" spans="1:7" x14ac:dyDescent="0.3">
      <c r="A1745" s="131" t="s">
        <v>2904</v>
      </c>
      <c r="B1745" s="130">
        <v>333</v>
      </c>
      <c r="C1745" s="31"/>
      <c r="D1745" s="31"/>
      <c r="E1745" s="31"/>
      <c r="F1745" s="31"/>
      <c r="G1745" s="31"/>
    </row>
    <row r="1746" spans="1:7" x14ac:dyDescent="0.3">
      <c r="A1746" s="131" t="s">
        <v>2905</v>
      </c>
      <c r="B1746" s="130">
        <v>388</v>
      </c>
      <c r="C1746" s="31"/>
      <c r="D1746" s="31"/>
      <c r="E1746" s="31"/>
      <c r="F1746" s="31"/>
      <c r="G1746" s="31"/>
    </row>
    <row r="1747" spans="1:7" x14ac:dyDescent="0.3">
      <c r="A1747" s="131" t="s">
        <v>2906</v>
      </c>
      <c r="B1747" s="130">
        <v>186</v>
      </c>
      <c r="C1747" s="31"/>
      <c r="D1747" s="31"/>
      <c r="E1747" s="31"/>
      <c r="F1747" s="31"/>
      <c r="G1747" s="31"/>
    </row>
    <row r="1748" spans="1:7" x14ac:dyDescent="0.3">
      <c r="A1748" s="131" t="s">
        <v>2907</v>
      </c>
      <c r="B1748" s="130">
        <v>32</v>
      </c>
      <c r="C1748" s="31"/>
      <c r="D1748" s="31"/>
      <c r="E1748" s="31"/>
      <c r="F1748" s="31"/>
      <c r="G1748" s="31"/>
    </row>
    <row r="1749" spans="1:7" x14ac:dyDescent="0.3">
      <c r="A1749" s="131" t="s">
        <v>2908</v>
      </c>
      <c r="B1749" s="130">
        <v>168</v>
      </c>
      <c r="C1749" s="31"/>
      <c r="D1749" s="31"/>
      <c r="E1749" s="31"/>
      <c r="F1749" s="31"/>
      <c r="G1749" s="31"/>
    </row>
    <row r="1750" spans="1:7" x14ac:dyDescent="0.3">
      <c r="A1750" s="131" t="s">
        <v>2909</v>
      </c>
      <c r="B1750" s="130">
        <v>308</v>
      </c>
      <c r="C1750" s="31"/>
      <c r="D1750" s="31"/>
      <c r="E1750" s="31"/>
      <c r="F1750" s="31"/>
      <c r="G1750" s="31"/>
    </row>
    <row r="1751" spans="1:7" x14ac:dyDescent="0.3">
      <c r="A1751" s="131" t="s">
        <v>2910</v>
      </c>
      <c r="B1751" s="130">
        <v>185</v>
      </c>
      <c r="C1751" s="31"/>
      <c r="D1751" s="31"/>
      <c r="E1751" s="31"/>
      <c r="F1751" s="31"/>
      <c r="G1751" s="31"/>
    </row>
    <row r="1752" spans="1:7" x14ac:dyDescent="0.3">
      <c r="A1752" s="131" t="s">
        <v>2911</v>
      </c>
      <c r="B1752" s="130">
        <v>241</v>
      </c>
      <c r="C1752" s="31"/>
      <c r="D1752" s="31"/>
      <c r="E1752" s="31"/>
      <c r="F1752" s="31"/>
      <c r="G1752" s="31"/>
    </row>
    <row r="1753" spans="1:7" x14ac:dyDescent="0.3">
      <c r="A1753" s="131" t="s">
        <v>2912</v>
      </c>
      <c r="B1753" s="130">
        <v>216</v>
      </c>
      <c r="C1753" s="31"/>
      <c r="D1753" s="31"/>
      <c r="E1753" s="31"/>
      <c r="F1753" s="31"/>
      <c r="G1753" s="31"/>
    </row>
    <row r="1754" spans="1:7" x14ac:dyDescent="0.3">
      <c r="A1754" s="131" t="s">
        <v>2913</v>
      </c>
      <c r="B1754" s="130">
        <v>472</v>
      </c>
      <c r="C1754" s="31"/>
      <c r="D1754" s="31"/>
      <c r="E1754" s="31"/>
      <c r="F1754" s="31"/>
      <c r="G1754" s="31"/>
    </row>
    <row r="1755" spans="1:7" x14ac:dyDescent="0.3">
      <c r="A1755" s="131" t="s">
        <v>2914</v>
      </c>
      <c r="B1755" s="130">
        <v>190</v>
      </c>
      <c r="C1755" s="31"/>
      <c r="D1755" s="31"/>
      <c r="E1755" s="31"/>
      <c r="F1755" s="31"/>
      <c r="G1755" s="31"/>
    </row>
    <row r="1756" spans="1:7" x14ac:dyDescent="0.3">
      <c r="A1756" s="131" t="s">
        <v>2915</v>
      </c>
      <c r="B1756" s="130">
        <v>518</v>
      </c>
      <c r="C1756" s="31"/>
      <c r="D1756" s="31"/>
      <c r="E1756" s="31"/>
      <c r="F1756" s="31"/>
      <c r="G1756" s="31"/>
    </row>
    <row r="1757" spans="1:7" x14ac:dyDescent="0.3">
      <c r="A1757" s="131" t="s">
        <v>2916</v>
      </c>
      <c r="B1757" s="130">
        <v>129</v>
      </c>
      <c r="C1757" s="31"/>
      <c r="D1757" s="31"/>
      <c r="E1757" s="31"/>
      <c r="F1757" s="31"/>
      <c r="G1757" s="31"/>
    </row>
    <row r="1758" spans="1:7" x14ac:dyDescent="0.3">
      <c r="A1758" s="131" t="s">
        <v>2917</v>
      </c>
      <c r="B1758" s="130">
        <v>182</v>
      </c>
      <c r="C1758" s="31"/>
      <c r="D1758" s="31"/>
      <c r="E1758" s="31"/>
      <c r="F1758" s="31"/>
      <c r="G1758" s="31"/>
    </row>
    <row r="1759" spans="1:7" x14ac:dyDescent="0.3">
      <c r="A1759" s="131" t="s">
        <v>2918</v>
      </c>
      <c r="B1759" s="130">
        <v>79</v>
      </c>
      <c r="C1759" s="31"/>
      <c r="D1759" s="31"/>
      <c r="E1759" s="31"/>
      <c r="F1759" s="31"/>
      <c r="G1759" s="31"/>
    </row>
    <row r="1760" spans="1:7" x14ac:dyDescent="0.3">
      <c r="A1760" s="131" t="s">
        <v>2919</v>
      </c>
      <c r="B1760" s="130">
        <v>157</v>
      </c>
      <c r="C1760" s="31"/>
      <c r="D1760" s="31"/>
      <c r="E1760" s="31"/>
      <c r="F1760" s="31"/>
      <c r="G1760" s="31"/>
    </row>
    <row r="1761" spans="1:7" x14ac:dyDescent="0.3">
      <c r="A1761" s="131" t="s">
        <v>2920</v>
      </c>
      <c r="B1761" s="130">
        <v>0</v>
      </c>
      <c r="C1761" s="31"/>
      <c r="D1761" s="31"/>
      <c r="E1761" s="31"/>
      <c r="F1761" s="31"/>
      <c r="G1761" s="31"/>
    </row>
    <row r="1762" spans="1:7" x14ac:dyDescent="0.3">
      <c r="A1762" s="131" t="s">
        <v>2921</v>
      </c>
      <c r="B1762" s="130">
        <v>140</v>
      </c>
      <c r="C1762" s="31"/>
      <c r="D1762" s="31"/>
      <c r="E1762" s="31"/>
      <c r="F1762" s="31"/>
      <c r="G1762" s="31"/>
    </row>
    <row r="1763" spans="1:7" x14ac:dyDescent="0.3">
      <c r="A1763" s="131" t="s">
        <v>2922</v>
      </c>
      <c r="B1763" s="130" t="s">
        <v>1163</v>
      </c>
      <c r="C1763" s="31"/>
      <c r="D1763" s="31"/>
      <c r="E1763" s="31"/>
      <c r="F1763" s="31"/>
      <c r="G1763" s="31"/>
    </row>
    <row r="1764" spans="1:7" x14ac:dyDescent="0.3">
      <c r="A1764" s="131" t="s">
        <v>2923</v>
      </c>
      <c r="B1764" s="130">
        <v>0</v>
      </c>
      <c r="C1764" s="31"/>
      <c r="D1764" s="31"/>
      <c r="E1764" s="31"/>
      <c r="F1764" s="31"/>
      <c r="G1764" s="31"/>
    </row>
    <row r="1765" spans="1:7" x14ac:dyDescent="0.3">
      <c r="A1765" s="131" t="s">
        <v>2924</v>
      </c>
      <c r="B1765" s="130">
        <v>271</v>
      </c>
      <c r="C1765" s="31"/>
      <c r="D1765" s="31"/>
      <c r="E1765" s="31"/>
      <c r="F1765" s="31"/>
      <c r="G1765" s="31"/>
    </row>
    <row r="1766" spans="1:7" x14ac:dyDescent="0.3">
      <c r="A1766" s="131" t="s">
        <v>2925</v>
      </c>
      <c r="B1766" s="130">
        <v>148</v>
      </c>
      <c r="C1766" s="31"/>
      <c r="D1766" s="31"/>
      <c r="E1766" s="31"/>
      <c r="F1766" s="31"/>
      <c r="G1766" s="31"/>
    </row>
    <row r="1767" spans="1:7" x14ac:dyDescent="0.3">
      <c r="A1767" s="131" t="s">
        <v>2926</v>
      </c>
      <c r="B1767" s="130">
        <v>187</v>
      </c>
      <c r="C1767" s="31"/>
      <c r="D1767" s="31"/>
      <c r="E1767" s="31"/>
      <c r="F1767" s="31"/>
      <c r="G1767" s="31"/>
    </row>
    <row r="1768" spans="1:7" x14ac:dyDescent="0.3">
      <c r="A1768" s="131" t="s">
        <v>2927</v>
      </c>
      <c r="B1768" s="130">
        <v>73</v>
      </c>
      <c r="C1768" s="31"/>
      <c r="D1768" s="31"/>
      <c r="E1768" s="31"/>
      <c r="F1768" s="31"/>
      <c r="G1768" s="31"/>
    </row>
    <row r="1769" spans="1:7" x14ac:dyDescent="0.3">
      <c r="A1769" s="131" t="s">
        <v>2928</v>
      </c>
      <c r="B1769" s="130">
        <v>91</v>
      </c>
      <c r="C1769" s="31"/>
      <c r="D1769" s="31"/>
      <c r="E1769" s="31"/>
      <c r="F1769" s="31"/>
      <c r="G1769" s="31"/>
    </row>
    <row r="1770" spans="1:7" x14ac:dyDescent="0.3">
      <c r="A1770" s="131" t="s">
        <v>2929</v>
      </c>
      <c r="B1770" s="130">
        <v>229</v>
      </c>
      <c r="C1770" s="31"/>
      <c r="D1770" s="31"/>
      <c r="E1770" s="31"/>
      <c r="F1770" s="31"/>
      <c r="G1770" s="31"/>
    </row>
    <row r="1771" spans="1:7" x14ac:dyDescent="0.3">
      <c r="A1771" s="131" t="s">
        <v>2930</v>
      </c>
      <c r="B1771" s="130">
        <v>46</v>
      </c>
      <c r="C1771" s="31"/>
      <c r="D1771" s="31"/>
      <c r="E1771" s="31"/>
      <c r="F1771" s="31"/>
      <c r="G1771" s="31"/>
    </row>
    <row r="1772" spans="1:7" x14ac:dyDescent="0.3">
      <c r="A1772" s="131" t="s">
        <v>2931</v>
      </c>
      <c r="B1772" s="130">
        <v>135</v>
      </c>
      <c r="C1772" s="31"/>
      <c r="D1772" s="31"/>
      <c r="E1772" s="31"/>
      <c r="F1772" s="31"/>
      <c r="G1772" s="31"/>
    </row>
    <row r="1773" spans="1:7" x14ac:dyDescent="0.3">
      <c r="A1773" s="131" t="s">
        <v>2932</v>
      </c>
      <c r="B1773" s="130">
        <v>200</v>
      </c>
      <c r="C1773" s="31"/>
      <c r="D1773" s="31"/>
      <c r="E1773" s="31"/>
      <c r="F1773" s="31"/>
      <c r="G1773" s="31"/>
    </row>
    <row r="1774" spans="1:7" x14ac:dyDescent="0.3">
      <c r="A1774" s="131" t="s">
        <v>2933</v>
      </c>
      <c r="B1774" s="130">
        <v>27</v>
      </c>
      <c r="C1774" s="31"/>
      <c r="D1774" s="31"/>
      <c r="E1774" s="31"/>
      <c r="F1774" s="31"/>
      <c r="G1774" s="31"/>
    </row>
    <row r="1775" spans="1:7" x14ac:dyDescent="0.3">
      <c r="A1775" s="131" t="s">
        <v>2934</v>
      </c>
      <c r="B1775" s="130">
        <v>112</v>
      </c>
      <c r="C1775" s="31"/>
      <c r="D1775" s="31"/>
      <c r="E1775" s="31"/>
      <c r="F1775" s="31"/>
      <c r="G1775" s="31"/>
    </row>
    <row r="1776" spans="1:7" x14ac:dyDescent="0.3">
      <c r="A1776" s="131" t="s">
        <v>2935</v>
      </c>
      <c r="B1776" s="130">
        <v>95</v>
      </c>
      <c r="C1776" s="31"/>
      <c r="D1776" s="31"/>
      <c r="E1776" s="31"/>
      <c r="F1776" s="31"/>
      <c r="G1776" s="31"/>
    </row>
    <row r="1777" spans="1:7" x14ac:dyDescent="0.3">
      <c r="A1777" s="131" t="s">
        <v>2936</v>
      </c>
      <c r="B1777" s="130">
        <v>53</v>
      </c>
      <c r="C1777" s="31"/>
      <c r="D1777" s="31"/>
      <c r="E1777" s="31"/>
      <c r="F1777" s="31"/>
      <c r="G1777" s="31"/>
    </row>
    <row r="1778" spans="1:7" x14ac:dyDescent="0.3">
      <c r="A1778" s="131" t="s">
        <v>2937</v>
      </c>
      <c r="B1778" s="130">
        <v>153</v>
      </c>
      <c r="C1778" s="31"/>
      <c r="D1778" s="31"/>
      <c r="E1778" s="31"/>
      <c r="F1778" s="31"/>
      <c r="G1778" s="31"/>
    </row>
    <row r="1779" spans="1:7" x14ac:dyDescent="0.3">
      <c r="A1779" s="131" t="s">
        <v>2938</v>
      </c>
      <c r="B1779" s="130">
        <v>88</v>
      </c>
      <c r="C1779" s="31"/>
      <c r="D1779" s="31"/>
      <c r="E1779" s="31"/>
      <c r="F1779" s="31"/>
      <c r="G1779" s="31"/>
    </row>
    <row r="1780" spans="1:7" x14ac:dyDescent="0.3">
      <c r="A1780" s="131" t="s">
        <v>2939</v>
      </c>
      <c r="B1780" s="130">
        <v>180</v>
      </c>
      <c r="C1780" s="31"/>
      <c r="D1780" s="31"/>
      <c r="E1780" s="31"/>
      <c r="F1780" s="31"/>
      <c r="G1780" s="31"/>
    </row>
    <row r="1781" spans="1:7" x14ac:dyDescent="0.3">
      <c r="A1781" s="131" t="s">
        <v>2940</v>
      </c>
      <c r="B1781" s="130">
        <v>122</v>
      </c>
      <c r="C1781" s="31"/>
      <c r="D1781" s="31"/>
      <c r="E1781" s="31"/>
      <c r="F1781" s="31"/>
      <c r="G1781" s="31"/>
    </row>
    <row r="1782" spans="1:7" x14ac:dyDescent="0.3">
      <c r="A1782" s="131" t="s">
        <v>2941</v>
      </c>
      <c r="B1782" s="130">
        <v>253</v>
      </c>
      <c r="C1782" s="31"/>
      <c r="D1782" s="31"/>
      <c r="E1782" s="31"/>
      <c r="F1782" s="31"/>
      <c r="G1782" s="31"/>
    </row>
    <row r="1783" spans="1:7" x14ac:dyDescent="0.3">
      <c r="A1783" s="131" t="s">
        <v>2942</v>
      </c>
      <c r="B1783" s="130" t="s">
        <v>1163</v>
      </c>
      <c r="C1783" s="31"/>
      <c r="D1783" s="31"/>
      <c r="E1783" s="31"/>
      <c r="F1783" s="31"/>
      <c r="G1783" s="31"/>
    </row>
    <row r="1784" spans="1:7" x14ac:dyDescent="0.3">
      <c r="A1784" s="131" t="s">
        <v>2943</v>
      </c>
      <c r="B1784" s="130">
        <v>16</v>
      </c>
      <c r="C1784" s="31"/>
      <c r="D1784" s="31"/>
      <c r="E1784" s="31"/>
      <c r="F1784" s="31"/>
      <c r="G1784" s="31"/>
    </row>
    <row r="1785" spans="1:7" x14ac:dyDescent="0.3">
      <c r="A1785" s="131" t="s">
        <v>2944</v>
      </c>
      <c r="B1785" s="130" t="s">
        <v>1163</v>
      </c>
      <c r="C1785" s="31"/>
      <c r="D1785" s="31"/>
      <c r="E1785" s="31"/>
      <c r="F1785" s="31"/>
      <c r="G1785" s="31"/>
    </row>
    <row r="1786" spans="1:7" x14ac:dyDescent="0.3">
      <c r="A1786" s="131" t="s">
        <v>2945</v>
      </c>
      <c r="B1786" s="130">
        <v>27</v>
      </c>
      <c r="C1786" s="31"/>
      <c r="D1786" s="31"/>
      <c r="E1786" s="31"/>
      <c r="F1786" s="31"/>
      <c r="G1786" s="31"/>
    </row>
    <row r="1787" spans="1:7" x14ac:dyDescent="0.3">
      <c r="A1787" s="131" t="s">
        <v>2946</v>
      </c>
      <c r="B1787" s="130">
        <v>20</v>
      </c>
      <c r="C1787" s="31"/>
      <c r="D1787" s="31"/>
      <c r="E1787" s="31"/>
      <c r="F1787" s="31"/>
      <c r="G1787" s="31"/>
    </row>
    <row r="1788" spans="1:7" x14ac:dyDescent="0.3">
      <c r="A1788" s="131" t="s">
        <v>2947</v>
      </c>
      <c r="B1788" s="130">
        <v>0</v>
      </c>
      <c r="C1788" s="31"/>
      <c r="D1788" s="31"/>
      <c r="E1788" s="31"/>
      <c r="F1788" s="31"/>
      <c r="G1788" s="31"/>
    </row>
    <row r="1789" spans="1:7" x14ac:dyDescent="0.3">
      <c r="A1789" s="131" t="s">
        <v>2948</v>
      </c>
      <c r="B1789" s="130">
        <v>0</v>
      </c>
      <c r="C1789" s="31"/>
      <c r="D1789" s="31"/>
      <c r="E1789" s="31"/>
      <c r="F1789" s="31"/>
      <c r="G1789" s="31"/>
    </row>
    <row r="1790" spans="1:7" x14ac:dyDescent="0.3">
      <c r="A1790" s="131" t="s">
        <v>2949</v>
      </c>
      <c r="B1790" s="130">
        <v>328</v>
      </c>
      <c r="C1790" s="31"/>
      <c r="D1790" s="31"/>
      <c r="E1790" s="31"/>
      <c r="F1790" s="31"/>
      <c r="G1790" s="31"/>
    </row>
    <row r="1791" spans="1:7" x14ac:dyDescent="0.3">
      <c r="A1791" s="131" t="s">
        <v>2950</v>
      </c>
      <c r="B1791" s="130">
        <v>285</v>
      </c>
      <c r="C1791" s="31"/>
      <c r="D1791" s="31"/>
      <c r="E1791" s="31"/>
      <c r="F1791" s="31"/>
      <c r="G1791" s="31"/>
    </row>
    <row r="1792" spans="1:7" x14ac:dyDescent="0.3">
      <c r="A1792" s="131" t="s">
        <v>2951</v>
      </c>
      <c r="B1792" s="130">
        <v>201</v>
      </c>
      <c r="C1792" s="31"/>
      <c r="D1792" s="31"/>
      <c r="E1792" s="31"/>
      <c r="F1792" s="31"/>
      <c r="G1792" s="31"/>
    </row>
    <row r="1793" spans="1:7" x14ac:dyDescent="0.3">
      <c r="A1793" s="131" t="s">
        <v>2952</v>
      </c>
      <c r="B1793" s="130">
        <v>34</v>
      </c>
      <c r="C1793" s="31"/>
      <c r="D1793" s="31"/>
      <c r="E1793" s="31"/>
      <c r="F1793" s="31"/>
      <c r="G1793" s="31"/>
    </row>
    <row r="1794" spans="1:7" x14ac:dyDescent="0.3">
      <c r="A1794" s="131" t="s">
        <v>2953</v>
      </c>
      <c r="B1794" s="130">
        <v>338</v>
      </c>
      <c r="C1794" s="31"/>
      <c r="D1794" s="31"/>
      <c r="E1794" s="31"/>
      <c r="F1794" s="31"/>
      <c r="G1794" s="31"/>
    </row>
    <row r="1795" spans="1:7" x14ac:dyDescent="0.3">
      <c r="A1795" s="131" t="s">
        <v>2954</v>
      </c>
      <c r="B1795" s="130">
        <v>15</v>
      </c>
      <c r="C1795" s="31"/>
      <c r="D1795" s="31"/>
      <c r="E1795" s="31"/>
      <c r="F1795" s="31"/>
      <c r="G1795" s="31"/>
    </row>
    <row r="1796" spans="1:7" x14ac:dyDescent="0.3">
      <c r="A1796" s="131" t="s">
        <v>2955</v>
      </c>
      <c r="B1796" s="130">
        <v>22</v>
      </c>
      <c r="C1796" s="31"/>
      <c r="D1796" s="31"/>
      <c r="E1796" s="31"/>
      <c r="F1796" s="31"/>
      <c r="G1796" s="31"/>
    </row>
    <row r="1797" spans="1:7" x14ac:dyDescent="0.3">
      <c r="A1797" s="131" t="s">
        <v>2956</v>
      </c>
      <c r="B1797" s="130">
        <v>200</v>
      </c>
      <c r="C1797" s="31"/>
      <c r="D1797" s="31"/>
      <c r="E1797" s="31"/>
      <c r="F1797" s="31"/>
      <c r="G1797" s="31"/>
    </row>
    <row r="1798" spans="1:7" x14ac:dyDescent="0.3">
      <c r="A1798" s="131" t="s">
        <v>2957</v>
      </c>
      <c r="B1798" s="130">
        <v>20</v>
      </c>
      <c r="C1798" s="31"/>
      <c r="D1798" s="31"/>
      <c r="E1798" s="31"/>
      <c r="F1798" s="31"/>
      <c r="G1798" s="31"/>
    </row>
    <row r="1799" spans="1:7" x14ac:dyDescent="0.3">
      <c r="A1799" s="131" t="s">
        <v>2958</v>
      </c>
      <c r="B1799" s="130">
        <v>72</v>
      </c>
      <c r="C1799" s="31"/>
      <c r="D1799" s="31"/>
      <c r="E1799" s="31"/>
      <c r="F1799" s="31"/>
      <c r="G1799" s="31"/>
    </row>
    <row r="1800" spans="1:7" x14ac:dyDescent="0.3">
      <c r="A1800" s="131" t="s">
        <v>2959</v>
      </c>
      <c r="B1800" s="130">
        <v>0</v>
      </c>
      <c r="C1800" s="31"/>
      <c r="D1800" s="31"/>
      <c r="E1800" s="31"/>
      <c r="F1800" s="31"/>
      <c r="G1800" s="31"/>
    </row>
    <row r="1801" spans="1:7" x14ac:dyDescent="0.3">
      <c r="A1801" s="131" t="s">
        <v>2960</v>
      </c>
      <c r="B1801" s="130">
        <v>49</v>
      </c>
      <c r="C1801" s="31"/>
      <c r="D1801" s="31"/>
      <c r="E1801" s="31"/>
      <c r="F1801" s="31"/>
      <c r="G1801" s="31"/>
    </row>
    <row r="1802" spans="1:7" x14ac:dyDescent="0.3">
      <c r="A1802" s="131" t="s">
        <v>2961</v>
      </c>
      <c r="B1802" s="130" t="s">
        <v>1163</v>
      </c>
      <c r="C1802" s="31"/>
      <c r="D1802" s="31"/>
      <c r="E1802" s="31"/>
      <c r="F1802" s="31"/>
      <c r="G1802" s="31"/>
    </row>
    <row r="1803" spans="1:7" x14ac:dyDescent="0.3">
      <c r="A1803" s="131" t="s">
        <v>2962</v>
      </c>
      <c r="B1803" s="130">
        <v>97</v>
      </c>
      <c r="C1803" s="31"/>
      <c r="D1803" s="31"/>
      <c r="E1803" s="31"/>
      <c r="F1803" s="31"/>
      <c r="G1803" s="31"/>
    </row>
    <row r="1804" spans="1:7" x14ac:dyDescent="0.3">
      <c r="A1804" s="131" t="s">
        <v>2963</v>
      </c>
      <c r="B1804" s="130">
        <v>60</v>
      </c>
      <c r="C1804" s="31"/>
      <c r="D1804" s="31"/>
      <c r="E1804" s="31"/>
      <c r="F1804" s="31"/>
      <c r="G1804" s="31"/>
    </row>
    <row r="1805" spans="1:7" x14ac:dyDescent="0.3">
      <c r="A1805" s="131" t="s">
        <v>2964</v>
      </c>
      <c r="B1805" s="130">
        <v>244</v>
      </c>
      <c r="C1805" s="31"/>
      <c r="D1805" s="31"/>
      <c r="E1805" s="31"/>
      <c r="F1805" s="31"/>
      <c r="G1805" s="31"/>
    </row>
    <row r="1806" spans="1:7" x14ac:dyDescent="0.3">
      <c r="A1806" s="131" t="s">
        <v>2965</v>
      </c>
      <c r="B1806" s="130">
        <v>297</v>
      </c>
      <c r="C1806" s="31"/>
      <c r="D1806" s="31"/>
      <c r="E1806" s="31"/>
      <c r="F1806" s="31"/>
      <c r="G1806" s="31"/>
    </row>
    <row r="1807" spans="1:7" x14ac:dyDescent="0.3">
      <c r="A1807" s="131" t="s">
        <v>2966</v>
      </c>
      <c r="B1807" s="130">
        <v>161</v>
      </c>
      <c r="C1807" s="31"/>
      <c r="D1807" s="31"/>
      <c r="E1807" s="31"/>
      <c r="F1807" s="31"/>
      <c r="G1807" s="31"/>
    </row>
    <row r="1808" spans="1:7" x14ac:dyDescent="0.3">
      <c r="A1808" s="131" t="s">
        <v>2967</v>
      </c>
      <c r="B1808" s="130">
        <v>183</v>
      </c>
      <c r="C1808" s="31"/>
      <c r="D1808" s="31"/>
      <c r="E1808" s="31"/>
      <c r="F1808" s="31"/>
      <c r="G1808" s="31"/>
    </row>
    <row r="1809" spans="1:7" x14ac:dyDescent="0.3">
      <c r="A1809" s="131" t="s">
        <v>2968</v>
      </c>
      <c r="B1809" s="130">
        <v>18</v>
      </c>
      <c r="C1809" s="31"/>
      <c r="D1809" s="31"/>
      <c r="E1809" s="31"/>
      <c r="F1809" s="31"/>
      <c r="G1809" s="31"/>
    </row>
    <row r="1810" spans="1:7" x14ac:dyDescent="0.3">
      <c r="A1810" s="131" t="s">
        <v>2969</v>
      </c>
      <c r="B1810" s="130">
        <v>16</v>
      </c>
      <c r="C1810" s="31"/>
      <c r="D1810" s="31"/>
      <c r="E1810" s="31"/>
      <c r="F1810" s="31"/>
      <c r="G1810" s="31"/>
    </row>
    <row r="1811" spans="1:7" x14ac:dyDescent="0.3">
      <c r="A1811" s="131" t="s">
        <v>2970</v>
      </c>
      <c r="B1811" s="130">
        <v>27</v>
      </c>
      <c r="C1811" s="31"/>
      <c r="D1811" s="31"/>
      <c r="E1811" s="31"/>
      <c r="F1811" s="31"/>
      <c r="G1811" s="31"/>
    </row>
    <row r="1812" spans="1:7" x14ac:dyDescent="0.3">
      <c r="A1812" s="131" t="s">
        <v>2971</v>
      </c>
      <c r="B1812" s="130">
        <v>89</v>
      </c>
      <c r="C1812" s="31"/>
      <c r="D1812" s="31"/>
      <c r="E1812" s="31"/>
      <c r="F1812" s="31"/>
      <c r="G1812" s="31"/>
    </row>
    <row r="1813" spans="1:7" x14ac:dyDescent="0.3">
      <c r="A1813" s="131" t="s">
        <v>2972</v>
      </c>
      <c r="B1813" s="130">
        <v>261</v>
      </c>
      <c r="C1813" s="31"/>
      <c r="D1813" s="31"/>
      <c r="E1813" s="31"/>
      <c r="F1813" s="31"/>
      <c r="G1813" s="31"/>
    </row>
    <row r="1814" spans="1:7" x14ac:dyDescent="0.3">
      <c r="A1814" s="131" t="s">
        <v>2973</v>
      </c>
      <c r="B1814" s="130">
        <v>95</v>
      </c>
      <c r="C1814" s="31"/>
      <c r="D1814" s="31"/>
      <c r="E1814" s="31"/>
      <c r="F1814" s="31"/>
      <c r="G1814" s="31"/>
    </row>
    <row r="1815" spans="1:7" x14ac:dyDescent="0.3">
      <c r="A1815" s="131" t="s">
        <v>2974</v>
      </c>
      <c r="B1815" s="130">
        <v>114</v>
      </c>
      <c r="C1815" s="31"/>
      <c r="D1815" s="31"/>
      <c r="E1815" s="31"/>
      <c r="F1815" s="31"/>
      <c r="G1815" s="31"/>
    </row>
    <row r="1816" spans="1:7" x14ac:dyDescent="0.3">
      <c r="A1816" s="131" t="s">
        <v>2975</v>
      </c>
      <c r="B1816" s="130">
        <v>231</v>
      </c>
      <c r="C1816" s="31"/>
      <c r="D1816" s="31"/>
      <c r="E1816" s="31"/>
      <c r="F1816" s="31"/>
      <c r="G1816" s="31"/>
    </row>
    <row r="1817" spans="1:7" x14ac:dyDescent="0.3">
      <c r="A1817" s="131" t="s">
        <v>2976</v>
      </c>
      <c r="B1817" s="130">
        <v>235</v>
      </c>
      <c r="C1817" s="31"/>
      <c r="D1817" s="31"/>
      <c r="E1817" s="31"/>
      <c r="F1817" s="31"/>
      <c r="G1817" s="31"/>
    </row>
    <row r="1818" spans="1:7" x14ac:dyDescent="0.3">
      <c r="A1818" s="131" t="s">
        <v>2977</v>
      </c>
      <c r="B1818" s="130">
        <v>268</v>
      </c>
      <c r="C1818" s="31"/>
      <c r="D1818" s="31"/>
      <c r="E1818" s="31"/>
      <c r="F1818" s="31"/>
      <c r="G1818" s="31"/>
    </row>
    <row r="1819" spans="1:7" x14ac:dyDescent="0.3">
      <c r="A1819" s="131" t="s">
        <v>2978</v>
      </c>
      <c r="B1819" s="130">
        <v>161</v>
      </c>
      <c r="C1819" s="31"/>
      <c r="D1819" s="31"/>
      <c r="E1819" s="31"/>
      <c r="F1819" s="31"/>
      <c r="G1819" s="31"/>
    </row>
    <row r="1820" spans="1:7" x14ac:dyDescent="0.3">
      <c r="A1820" s="131" t="s">
        <v>2979</v>
      </c>
      <c r="B1820" s="130">
        <v>171</v>
      </c>
      <c r="C1820" s="31"/>
      <c r="D1820" s="31"/>
      <c r="E1820" s="31"/>
      <c r="F1820" s="31"/>
      <c r="G1820" s="31"/>
    </row>
    <row r="1821" spans="1:7" x14ac:dyDescent="0.3">
      <c r="A1821" s="131" t="s">
        <v>2980</v>
      </c>
      <c r="B1821" s="130">
        <v>175</v>
      </c>
      <c r="C1821" s="31"/>
      <c r="D1821" s="31"/>
      <c r="E1821" s="31"/>
      <c r="F1821" s="31"/>
      <c r="G1821" s="31"/>
    </row>
    <row r="1822" spans="1:7" x14ac:dyDescent="0.3">
      <c r="A1822" s="131" t="s">
        <v>2981</v>
      </c>
      <c r="B1822" s="130">
        <v>130</v>
      </c>
      <c r="C1822" s="31"/>
      <c r="D1822" s="31"/>
      <c r="E1822" s="31"/>
      <c r="F1822" s="31"/>
      <c r="G1822" s="31"/>
    </row>
    <row r="1823" spans="1:7" x14ac:dyDescent="0.3">
      <c r="A1823" s="131" t="s">
        <v>2982</v>
      </c>
      <c r="B1823" s="130">
        <v>450</v>
      </c>
      <c r="C1823" s="31"/>
      <c r="D1823" s="31"/>
      <c r="E1823" s="31"/>
      <c r="F1823" s="31"/>
      <c r="G1823" s="31"/>
    </row>
    <row r="1824" spans="1:7" x14ac:dyDescent="0.3">
      <c r="A1824" s="131" t="s">
        <v>2983</v>
      </c>
      <c r="B1824" s="130">
        <v>169</v>
      </c>
      <c r="C1824" s="31"/>
      <c r="D1824" s="31"/>
      <c r="E1824" s="31"/>
      <c r="F1824" s="31"/>
      <c r="G1824" s="31"/>
    </row>
    <row r="1825" spans="1:7" x14ac:dyDescent="0.3">
      <c r="A1825" s="131" t="s">
        <v>2984</v>
      </c>
      <c r="B1825" s="130">
        <v>122</v>
      </c>
      <c r="C1825" s="31"/>
      <c r="D1825" s="31"/>
      <c r="E1825" s="31"/>
      <c r="F1825" s="31"/>
      <c r="G1825" s="31"/>
    </row>
    <row r="1826" spans="1:7" x14ac:dyDescent="0.3">
      <c r="A1826" s="131" t="s">
        <v>2985</v>
      </c>
      <c r="B1826" s="130">
        <v>65</v>
      </c>
      <c r="C1826" s="31"/>
      <c r="D1826" s="31"/>
      <c r="E1826" s="31"/>
      <c r="F1826" s="31"/>
      <c r="G1826" s="31"/>
    </row>
    <row r="1827" spans="1:7" x14ac:dyDescent="0.3">
      <c r="A1827" s="131" t="s">
        <v>2986</v>
      </c>
      <c r="B1827" s="130">
        <v>41</v>
      </c>
      <c r="C1827" s="31"/>
      <c r="D1827" s="31"/>
      <c r="E1827" s="31"/>
      <c r="F1827" s="31"/>
      <c r="G1827" s="31"/>
    </row>
    <row r="1828" spans="1:7" x14ac:dyDescent="0.3">
      <c r="A1828" s="131" t="s">
        <v>2987</v>
      </c>
      <c r="B1828" s="130">
        <v>177</v>
      </c>
      <c r="C1828" s="31"/>
      <c r="D1828" s="31"/>
      <c r="E1828" s="31"/>
      <c r="F1828" s="31"/>
      <c r="G1828" s="31"/>
    </row>
    <row r="1829" spans="1:7" x14ac:dyDescent="0.3">
      <c r="A1829" s="131" t="s">
        <v>2988</v>
      </c>
      <c r="B1829" s="130">
        <v>25</v>
      </c>
      <c r="C1829" s="31"/>
      <c r="D1829" s="31"/>
      <c r="E1829" s="31"/>
      <c r="F1829" s="31"/>
      <c r="G1829" s="31"/>
    </row>
    <row r="1830" spans="1:7" x14ac:dyDescent="0.3">
      <c r="A1830" s="131" t="s">
        <v>2989</v>
      </c>
      <c r="B1830" s="130">
        <v>52</v>
      </c>
      <c r="C1830" s="31"/>
      <c r="D1830" s="31"/>
      <c r="E1830" s="31"/>
      <c r="F1830" s="31"/>
      <c r="G1830" s="31"/>
    </row>
    <row r="1831" spans="1:7" x14ac:dyDescent="0.3">
      <c r="A1831" s="131" t="s">
        <v>2990</v>
      </c>
      <c r="B1831" s="130">
        <v>49</v>
      </c>
      <c r="C1831" s="31"/>
      <c r="D1831" s="31"/>
      <c r="E1831" s="31"/>
      <c r="F1831" s="31"/>
      <c r="G1831" s="31"/>
    </row>
    <row r="1832" spans="1:7" x14ac:dyDescent="0.3">
      <c r="A1832" s="131" t="s">
        <v>2991</v>
      </c>
      <c r="B1832" s="130">
        <v>210</v>
      </c>
      <c r="C1832" s="31"/>
      <c r="D1832" s="31"/>
      <c r="E1832" s="31"/>
      <c r="F1832" s="31"/>
      <c r="G1832" s="31"/>
    </row>
    <row r="1833" spans="1:7" x14ac:dyDescent="0.3">
      <c r="A1833" s="131" t="s">
        <v>2992</v>
      </c>
      <c r="B1833" s="130">
        <v>57</v>
      </c>
      <c r="C1833" s="31"/>
      <c r="D1833" s="31"/>
      <c r="E1833" s="31"/>
      <c r="F1833" s="31"/>
      <c r="G1833" s="31"/>
    </row>
    <row r="1834" spans="1:7" x14ac:dyDescent="0.3">
      <c r="A1834" s="131" t="s">
        <v>2993</v>
      </c>
      <c r="B1834" s="130">
        <v>58</v>
      </c>
      <c r="C1834" s="31"/>
      <c r="D1834" s="31"/>
      <c r="E1834" s="31"/>
      <c r="F1834" s="31"/>
      <c r="G1834" s="31"/>
    </row>
    <row r="1835" spans="1:7" x14ac:dyDescent="0.3">
      <c r="A1835" s="131" t="s">
        <v>2994</v>
      </c>
      <c r="B1835" s="130">
        <v>103</v>
      </c>
      <c r="C1835" s="31"/>
      <c r="D1835" s="31"/>
      <c r="E1835" s="31"/>
      <c r="F1835" s="31"/>
      <c r="G1835" s="31"/>
    </row>
    <row r="1836" spans="1:7" x14ac:dyDescent="0.3">
      <c r="A1836" s="131" t="s">
        <v>2995</v>
      </c>
      <c r="B1836" s="130">
        <v>31</v>
      </c>
      <c r="C1836" s="31"/>
      <c r="D1836" s="31"/>
      <c r="E1836" s="31"/>
      <c r="F1836" s="31"/>
      <c r="G1836" s="31"/>
    </row>
    <row r="1837" spans="1:7" x14ac:dyDescent="0.3">
      <c r="A1837" s="131" t="s">
        <v>2996</v>
      </c>
      <c r="B1837" s="130">
        <v>95</v>
      </c>
      <c r="C1837" s="31"/>
      <c r="D1837" s="31"/>
      <c r="E1837" s="31"/>
      <c r="F1837" s="31"/>
      <c r="G1837" s="31"/>
    </row>
    <row r="1838" spans="1:7" x14ac:dyDescent="0.3">
      <c r="A1838" s="131" t="s">
        <v>2997</v>
      </c>
      <c r="B1838" s="130">
        <v>73</v>
      </c>
      <c r="C1838" s="31"/>
      <c r="D1838" s="31"/>
      <c r="E1838" s="31"/>
      <c r="F1838" s="31"/>
      <c r="G1838" s="31"/>
    </row>
    <row r="1839" spans="1:7" x14ac:dyDescent="0.3">
      <c r="A1839" s="131" t="s">
        <v>2998</v>
      </c>
      <c r="B1839" s="130">
        <v>25</v>
      </c>
      <c r="C1839" s="31"/>
      <c r="D1839" s="31"/>
      <c r="E1839" s="31"/>
      <c r="F1839" s="31"/>
      <c r="G1839" s="31"/>
    </row>
    <row r="1840" spans="1:7" x14ac:dyDescent="0.3">
      <c r="A1840" s="131" t="s">
        <v>2999</v>
      </c>
      <c r="B1840" s="130">
        <v>45</v>
      </c>
      <c r="C1840" s="31"/>
      <c r="D1840" s="31"/>
      <c r="E1840" s="31"/>
      <c r="F1840" s="31"/>
      <c r="G1840" s="31"/>
    </row>
    <row r="1841" spans="1:7" x14ac:dyDescent="0.3">
      <c r="A1841" s="131" t="s">
        <v>3000</v>
      </c>
      <c r="B1841" s="130">
        <v>160</v>
      </c>
      <c r="C1841" s="31"/>
      <c r="D1841" s="31"/>
      <c r="E1841" s="31"/>
      <c r="F1841" s="31"/>
      <c r="G1841" s="31"/>
    </row>
    <row r="1842" spans="1:7" x14ac:dyDescent="0.3">
      <c r="A1842" s="131" t="s">
        <v>3001</v>
      </c>
      <c r="B1842" s="130">
        <v>66</v>
      </c>
      <c r="C1842" s="31"/>
      <c r="D1842" s="31"/>
      <c r="E1842" s="31"/>
      <c r="F1842" s="31"/>
      <c r="G1842" s="31"/>
    </row>
    <row r="1843" spans="1:7" x14ac:dyDescent="0.3">
      <c r="A1843" s="131" t="s">
        <v>3002</v>
      </c>
      <c r="B1843" s="130">
        <v>20</v>
      </c>
      <c r="C1843" s="31"/>
      <c r="D1843" s="31"/>
      <c r="E1843" s="31"/>
      <c r="F1843" s="31"/>
      <c r="G1843" s="31"/>
    </row>
    <row r="1844" spans="1:7" x14ac:dyDescent="0.3">
      <c r="A1844" s="131" t="s">
        <v>3003</v>
      </c>
      <c r="B1844" s="130">
        <v>13</v>
      </c>
      <c r="C1844" s="31"/>
      <c r="D1844" s="31"/>
      <c r="E1844" s="31"/>
      <c r="F1844" s="31"/>
      <c r="G1844" s="31"/>
    </row>
    <row r="1845" spans="1:7" x14ac:dyDescent="0.3">
      <c r="A1845" s="131" t="s">
        <v>3004</v>
      </c>
      <c r="B1845" s="130">
        <v>191</v>
      </c>
      <c r="C1845" s="31"/>
      <c r="D1845" s="31"/>
      <c r="E1845" s="31"/>
      <c r="F1845" s="31"/>
      <c r="G1845" s="31"/>
    </row>
    <row r="1846" spans="1:7" x14ac:dyDescent="0.3">
      <c r="A1846" s="131" t="s">
        <v>3005</v>
      </c>
      <c r="B1846" s="130">
        <v>91</v>
      </c>
      <c r="C1846" s="31"/>
      <c r="D1846" s="31"/>
      <c r="E1846" s="31"/>
      <c r="F1846" s="31"/>
      <c r="G1846" s="31"/>
    </row>
    <row r="1847" spans="1:7" x14ac:dyDescent="0.3">
      <c r="A1847" s="131" t="s">
        <v>3006</v>
      </c>
      <c r="B1847" s="130">
        <v>400</v>
      </c>
      <c r="C1847" s="31"/>
      <c r="D1847" s="31"/>
      <c r="E1847" s="31"/>
      <c r="F1847" s="31"/>
      <c r="G1847" s="31"/>
    </row>
    <row r="1848" spans="1:7" x14ac:dyDescent="0.3">
      <c r="A1848" s="131" t="s">
        <v>3007</v>
      </c>
      <c r="B1848" s="130">
        <v>45</v>
      </c>
      <c r="C1848" s="31"/>
      <c r="D1848" s="31"/>
      <c r="E1848" s="31"/>
      <c r="F1848" s="31"/>
      <c r="G1848" s="31"/>
    </row>
    <row r="1849" spans="1:7" x14ac:dyDescent="0.3">
      <c r="A1849" s="131" t="s">
        <v>3008</v>
      </c>
      <c r="B1849" s="130">
        <v>133</v>
      </c>
      <c r="C1849" s="31"/>
      <c r="D1849" s="31"/>
      <c r="E1849" s="31"/>
      <c r="F1849" s="31"/>
      <c r="G1849" s="31"/>
    </row>
    <row r="1850" spans="1:7" x14ac:dyDescent="0.3">
      <c r="A1850" s="131" t="s">
        <v>3009</v>
      </c>
      <c r="B1850" s="130">
        <v>10</v>
      </c>
      <c r="C1850" s="31"/>
      <c r="D1850" s="31"/>
      <c r="E1850" s="31"/>
      <c r="F1850" s="31"/>
      <c r="G1850" s="31"/>
    </row>
    <row r="1851" spans="1:7" x14ac:dyDescent="0.3">
      <c r="A1851" s="131" t="s">
        <v>3010</v>
      </c>
      <c r="B1851" s="130">
        <v>202</v>
      </c>
      <c r="C1851" s="31"/>
      <c r="D1851" s="31"/>
      <c r="E1851" s="31"/>
      <c r="F1851" s="31"/>
      <c r="G1851" s="31"/>
    </row>
    <row r="1852" spans="1:7" x14ac:dyDescent="0.3">
      <c r="A1852" s="131" t="s">
        <v>3011</v>
      </c>
      <c r="B1852" s="130">
        <v>118</v>
      </c>
      <c r="C1852" s="31"/>
      <c r="D1852" s="31"/>
      <c r="E1852" s="31"/>
      <c r="F1852" s="31"/>
      <c r="G1852" s="31"/>
    </row>
    <row r="1853" spans="1:7" x14ac:dyDescent="0.3">
      <c r="A1853" s="131" t="s">
        <v>3012</v>
      </c>
      <c r="B1853" s="130" t="s">
        <v>1163</v>
      </c>
      <c r="C1853" s="31"/>
      <c r="D1853" s="31"/>
      <c r="E1853" s="31"/>
      <c r="F1853" s="31"/>
      <c r="G1853" s="31"/>
    </row>
    <row r="1854" spans="1:7" x14ac:dyDescent="0.3">
      <c r="A1854" s="131" t="s">
        <v>3013</v>
      </c>
      <c r="B1854" s="130" t="s">
        <v>1163</v>
      </c>
      <c r="C1854" s="31"/>
      <c r="D1854" s="31"/>
      <c r="E1854" s="31"/>
      <c r="F1854" s="31"/>
      <c r="G1854" s="31"/>
    </row>
    <row r="1855" spans="1:7" x14ac:dyDescent="0.3">
      <c r="A1855" s="131" t="s">
        <v>3014</v>
      </c>
      <c r="B1855" s="130" t="s">
        <v>1163</v>
      </c>
      <c r="C1855" s="31"/>
      <c r="D1855" s="31"/>
      <c r="E1855" s="31"/>
      <c r="F1855" s="31"/>
      <c r="G1855" s="31"/>
    </row>
    <row r="1856" spans="1:7" x14ac:dyDescent="0.3">
      <c r="A1856" s="131" t="s">
        <v>3015</v>
      </c>
      <c r="B1856" s="130">
        <v>139</v>
      </c>
      <c r="C1856" s="31"/>
      <c r="D1856" s="31"/>
      <c r="E1856" s="31"/>
      <c r="F1856" s="31"/>
      <c r="G1856" s="31"/>
    </row>
    <row r="1857" spans="1:7" x14ac:dyDescent="0.3">
      <c r="A1857" s="131" t="s">
        <v>3016</v>
      </c>
      <c r="B1857" s="130" t="s">
        <v>1163</v>
      </c>
      <c r="C1857" s="31"/>
      <c r="D1857" s="31"/>
      <c r="E1857" s="31"/>
      <c r="F1857" s="31"/>
      <c r="G1857" s="31"/>
    </row>
    <row r="1858" spans="1:7" x14ac:dyDescent="0.3">
      <c r="A1858" s="131" t="s">
        <v>3017</v>
      </c>
      <c r="B1858" s="130">
        <v>11</v>
      </c>
      <c r="C1858" s="31"/>
      <c r="D1858" s="31"/>
      <c r="E1858" s="31"/>
      <c r="F1858" s="31"/>
      <c r="G1858" s="31"/>
    </row>
    <row r="1859" spans="1:7" x14ac:dyDescent="0.3">
      <c r="A1859" s="131" t="s">
        <v>3018</v>
      </c>
      <c r="B1859" s="130">
        <v>44</v>
      </c>
      <c r="C1859" s="31"/>
      <c r="D1859" s="31"/>
      <c r="E1859" s="31"/>
      <c r="F1859" s="31"/>
      <c r="G1859" s="31"/>
    </row>
    <row r="1860" spans="1:7" x14ac:dyDescent="0.3">
      <c r="A1860" s="131" t="s">
        <v>3019</v>
      </c>
      <c r="B1860" s="130">
        <v>0</v>
      </c>
      <c r="C1860" s="31"/>
      <c r="D1860" s="31"/>
      <c r="E1860" s="31"/>
      <c r="F1860" s="31"/>
      <c r="G1860" s="31"/>
    </row>
    <row r="1861" spans="1:7" x14ac:dyDescent="0.3">
      <c r="A1861" s="131" t="s">
        <v>3020</v>
      </c>
      <c r="B1861" s="130">
        <v>0</v>
      </c>
      <c r="C1861" s="31"/>
      <c r="D1861" s="31"/>
      <c r="E1861" s="31"/>
      <c r="F1861" s="31"/>
      <c r="G1861" s="31"/>
    </row>
    <row r="1862" spans="1:7" x14ac:dyDescent="0.3">
      <c r="A1862" s="131" t="s">
        <v>3021</v>
      </c>
      <c r="B1862" s="130">
        <v>0</v>
      </c>
      <c r="C1862" s="31"/>
      <c r="D1862" s="31"/>
      <c r="E1862" s="31"/>
      <c r="F1862" s="31"/>
      <c r="G1862" s="31"/>
    </row>
    <row r="1863" spans="1:7" x14ac:dyDescent="0.3">
      <c r="A1863" s="131" t="s">
        <v>3022</v>
      </c>
      <c r="B1863" s="130">
        <v>0</v>
      </c>
      <c r="C1863" s="31"/>
      <c r="D1863" s="31"/>
      <c r="E1863" s="31"/>
      <c r="F1863" s="31"/>
      <c r="G1863" s="31"/>
    </row>
    <row r="1864" spans="1:7" x14ac:dyDescent="0.3">
      <c r="A1864" s="131" t="s">
        <v>3023</v>
      </c>
      <c r="B1864" s="130">
        <v>0</v>
      </c>
      <c r="C1864" s="31"/>
      <c r="D1864" s="31"/>
      <c r="E1864" s="31"/>
      <c r="F1864" s="31"/>
      <c r="G1864" s="31"/>
    </row>
    <row r="1865" spans="1:7" x14ac:dyDescent="0.3">
      <c r="A1865" s="131" t="s">
        <v>3024</v>
      </c>
      <c r="B1865" s="130">
        <v>174</v>
      </c>
      <c r="C1865" s="31"/>
      <c r="D1865" s="31"/>
      <c r="E1865" s="31"/>
      <c r="F1865" s="31"/>
      <c r="G1865" s="31"/>
    </row>
    <row r="1866" spans="1:7" x14ac:dyDescent="0.3">
      <c r="A1866" s="131" t="s">
        <v>3025</v>
      </c>
      <c r="B1866" s="130">
        <v>0</v>
      </c>
      <c r="C1866" s="31"/>
      <c r="D1866" s="31"/>
      <c r="E1866" s="31"/>
      <c r="F1866" s="31"/>
      <c r="G1866" s="31"/>
    </row>
    <row r="1867" spans="1:7" x14ac:dyDescent="0.3">
      <c r="A1867" s="131" t="s">
        <v>3026</v>
      </c>
      <c r="B1867" s="130">
        <v>0</v>
      </c>
      <c r="C1867" s="31"/>
      <c r="D1867" s="31"/>
      <c r="E1867" s="31"/>
      <c r="F1867" s="31"/>
      <c r="G1867" s="31"/>
    </row>
    <row r="1868" spans="1:7" x14ac:dyDescent="0.3">
      <c r="A1868" s="131" t="s">
        <v>3027</v>
      </c>
      <c r="B1868" s="130">
        <v>0</v>
      </c>
      <c r="C1868" s="31"/>
      <c r="D1868" s="31"/>
      <c r="E1868" s="31"/>
      <c r="F1868" s="31"/>
      <c r="G1868" s="31"/>
    </row>
    <row r="1869" spans="1:7" x14ac:dyDescent="0.3">
      <c r="A1869" s="131" t="s">
        <v>3028</v>
      </c>
      <c r="B1869" s="130" t="s">
        <v>1163</v>
      </c>
      <c r="C1869" s="31"/>
      <c r="D1869" s="31"/>
      <c r="E1869" s="31"/>
      <c r="F1869" s="31"/>
      <c r="G1869" s="31"/>
    </row>
    <row r="1870" spans="1:7" x14ac:dyDescent="0.3">
      <c r="A1870" s="131" t="s">
        <v>3029</v>
      </c>
      <c r="B1870" s="130">
        <v>216</v>
      </c>
      <c r="C1870" s="31"/>
      <c r="D1870" s="31"/>
      <c r="E1870" s="31"/>
      <c r="F1870" s="31"/>
      <c r="G1870" s="31"/>
    </row>
    <row r="1871" spans="1:7" x14ac:dyDescent="0.3">
      <c r="A1871" s="131" t="s">
        <v>3030</v>
      </c>
      <c r="B1871" s="130">
        <v>209</v>
      </c>
      <c r="C1871" s="31"/>
      <c r="D1871" s="31"/>
      <c r="E1871" s="31"/>
      <c r="F1871" s="31"/>
      <c r="G1871" s="31"/>
    </row>
    <row r="1872" spans="1:7" x14ac:dyDescent="0.3">
      <c r="A1872" s="131" t="s">
        <v>3031</v>
      </c>
      <c r="B1872" s="130">
        <v>479</v>
      </c>
      <c r="C1872" s="31"/>
      <c r="D1872" s="31"/>
      <c r="E1872" s="31"/>
      <c r="F1872" s="31"/>
      <c r="G1872" s="31"/>
    </row>
    <row r="1873" spans="1:7" x14ac:dyDescent="0.3">
      <c r="A1873" s="131" t="s">
        <v>3032</v>
      </c>
      <c r="B1873" s="130">
        <v>312</v>
      </c>
      <c r="C1873" s="31"/>
      <c r="D1873" s="31"/>
      <c r="E1873" s="31"/>
      <c r="F1873" s="31"/>
      <c r="G1873" s="31"/>
    </row>
    <row r="1874" spans="1:7" x14ac:dyDescent="0.3">
      <c r="A1874" s="131" t="s">
        <v>3033</v>
      </c>
      <c r="B1874" s="130">
        <v>191</v>
      </c>
      <c r="C1874" s="31"/>
      <c r="D1874" s="31"/>
      <c r="E1874" s="31"/>
      <c r="F1874" s="31"/>
      <c r="G1874" s="31"/>
    </row>
    <row r="1875" spans="1:7" x14ac:dyDescent="0.3">
      <c r="A1875" s="131" t="s">
        <v>3034</v>
      </c>
      <c r="B1875" s="130">
        <v>311</v>
      </c>
      <c r="C1875" s="31"/>
      <c r="D1875" s="31"/>
      <c r="E1875" s="31"/>
      <c r="F1875" s="31"/>
      <c r="G1875" s="31"/>
    </row>
    <row r="1876" spans="1:7" x14ac:dyDescent="0.3">
      <c r="A1876" s="131" t="s">
        <v>3035</v>
      </c>
      <c r="B1876" s="130">
        <v>357</v>
      </c>
      <c r="C1876" s="31"/>
      <c r="D1876" s="31"/>
      <c r="E1876" s="31"/>
      <c r="F1876" s="31"/>
      <c r="G1876" s="31"/>
    </row>
    <row r="1877" spans="1:7" x14ac:dyDescent="0.3">
      <c r="A1877" s="131" t="s">
        <v>3036</v>
      </c>
      <c r="B1877" s="130">
        <v>291</v>
      </c>
      <c r="C1877" s="31"/>
      <c r="D1877" s="31"/>
      <c r="E1877" s="31"/>
      <c r="F1877" s="31"/>
      <c r="G1877" s="31"/>
    </row>
    <row r="1878" spans="1:7" x14ac:dyDescent="0.3">
      <c r="A1878" s="131" t="s">
        <v>3037</v>
      </c>
      <c r="B1878" s="130">
        <v>210</v>
      </c>
      <c r="C1878" s="31"/>
      <c r="D1878" s="31"/>
      <c r="E1878" s="31"/>
      <c r="F1878" s="31"/>
      <c r="G1878" s="31"/>
    </row>
    <row r="1879" spans="1:7" x14ac:dyDescent="0.3">
      <c r="A1879" s="131" t="s">
        <v>3038</v>
      </c>
      <c r="B1879" s="130">
        <v>210</v>
      </c>
      <c r="C1879" s="31"/>
      <c r="D1879" s="31"/>
      <c r="E1879" s="31"/>
      <c r="F1879" s="31"/>
      <c r="G1879" s="31"/>
    </row>
    <row r="1880" spans="1:7" x14ac:dyDescent="0.3">
      <c r="A1880" s="131" t="s">
        <v>3039</v>
      </c>
      <c r="B1880" s="130">
        <v>431</v>
      </c>
      <c r="C1880" s="31"/>
      <c r="D1880" s="31"/>
      <c r="E1880" s="31"/>
      <c r="F1880" s="31"/>
      <c r="G1880" s="31"/>
    </row>
    <row r="1881" spans="1:7" x14ac:dyDescent="0.3">
      <c r="A1881" s="131" t="s">
        <v>3040</v>
      </c>
      <c r="B1881" s="130">
        <v>68</v>
      </c>
      <c r="C1881" s="31"/>
      <c r="D1881" s="31"/>
      <c r="E1881" s="31"/>
      <c r="F1881" s="31"/>
      <c r="G1881" s="31"/>
    </row>
    <row r="1882" spans="1:7" x14ac:dyDescent="0.3">
      <c r="A1882" s="131" t="s">
        <v>3041</v>
      </c>
      <c r="B1882" s="130">
        <v>143</v>
      </c>
      <c r="C1882" s="31"/>
      <c r="D1882" s="31"/>
      <c r="E1882" s="31"/>
      <c r="F1882" s="31"/>
      <c r="G1882" s="31"/>
    </row>
    <row r="1883" spans="1:7" x14ac:dyDescent="0.3">
      <c r="A1883" s="131" t="s">
        <v>3042</v>
      </c>
      <c r="B1883" s="130">
        <v>193</v>
      </c>
      <c r="C1883" s="31"/>
      <c r="D1883" s="31"/>
      <c r="E1883" s="31"/>
      <c r="F1883" s="31"/>
      <c r="G1883" s="31"/>
    </row>
    <row r="1884" spans="1:7" x14ac:dyDescent="0.3">
      <c r="A1884" s="131" t="s">
        <v>3043</v>
      </c>
      <c r="B1884" s="130">
        <v>245</v>
      </c>
      <c r="C1884" s="31"/>
      <c r="D1884" s="31"/>
      <c r="E1884" s="31"/>
      <c r="F1884" s="31"/>
      <c r="G1884" s="31"/>
    </row>
    <row r="1885" spans="1:7" x14ac:dyDescent="0.3">
      <c r="A1885" s="131" t="s">
        <v>3044</v>
      </c>
      <c r="B1885" s="130">
        <v>201</v>
      </c>
      <c r="C1885" s="31"/>
      <c r="D1885" s="31"/>
      <c r="E1885" s="31"/>
      <c r="F1885" s="31"/>
      <c r="G1885" s="31"/>
    </row>
    <row r="1886" spans="1:7" x14ac:dyDescent="0.3">
      <c r="A1886" s="131" t="s">
        <v>3045</v>
      </c>
      <c r="B1886" s="130">
        <v>109</v>
      </c>
      <c r="C1886" s="31"/>
      <c r="D1886" s="31"/>
      <c r="E1886" s="31"/>
      <c r="F1886" s="31"/>
      <c r="G1886" s="31"/>
    </row>
    <row r="1887" spans="1:7" x14ac:dyDescent="0.3">
      <c r="A1887" s="131" t="s">
        <v>3046</v>
      </c>
      <c r="B1887" s="130">
        <v>215</v>
      </c>
      <c r="C1887" s="31"/>
      <c r="D1887" s="31"/>
      <c r="E1887" s="31"/>
      <c r="F1887" s="31"/>
      <c r="G1887" s="31"/>
    </row>
    <row r="1888" spans="1:7" x14ac:dyDescent="0.3">
      <c r="A1888" s="131" t="s">
        <v>3047</v>
      </c>
      <c r="B1888" s="130">
        <v>189</v>
      </c>
      <c r="C1888" s="31"/>
      <c r="D1888" s="31"/>
      <c r="E1888" s="31"/>
      <c r="F1888" s="31"/>
      <c r="G1888" s="31"/>
    </row>
    <row r="1889" spans="1:7" x14ac:dyDescent="0.3">
      <c r="A1889" s="131" t="s">
        <v>3048</v>
      </c>
      <c r="B1889" s="130">
        <v>123</v>
      </c>
      <c r="C1889" s="31"/>
      <c r="D1889" s="31"/>
      <c r="E1889" s="31"/>
      <c r="F1889" s="31"/>
      <c r="G1889" s="31"/>
    </row>
    <row r="1890" spans="1:7" x14ac:dyDescent="0.3">
      <c r="A1890" s="131" t="s">
        <v>3049</v>
      </c>
      <c r="B1890" s="130">
        <v>87</v>
      </c>
      <c r="C1890" s="31"/>
      <c r="D1890" s="31"/>
      <c r="E1890" s="31"/>
      <c r="F1890" s="31"/>
      <c r="G1890" s="31"/>
    </row>
    <row r="1891" spans="1:7" x14ac:dyDescent="0.3">
      <c r="A1891" s="131" t="s">
        <v>3050</v>
      </c>
      <c r="B1891" s="130">
        <v>262</v>
      </c>
      <c r="C1891" s="31"/>
      <c r="D1891" s="31"/>
      <c r="E1891" s="31"/>
      <c r="F1891" s="31"/>
      <c r="G1891" s="31"/>
    </row>
    <row r="1892" spans="1:7" x14ac:dyDescent="0.3">
      <c r="A1892" s="131" t="s">
        <v>3051</v>
      </c>
      <c r="B1892" s="130">
        <v>165</v>
      </c>
      <c r="C1892" s="31"/>
      <c r="D1892" s="31"/>
      <c r="E1892" s="31"/>
      <c r="F1892" s="31"/>
      <c r="G1892" s="31"/>
    </row>
    <row r="1893" spans="1:7" x14ac:dyDescent="0.3">
      <c r="A1893" s="131" t="s">
        <v>3052</v>
      </c>
      <c r="B1893" s="130">
        <v>307</v>
      </c>
      <c r="C1893" s="31"/>
      <c r="D1893" s="31"/>
      <c r="E1893" s="31"/>
      <c r="F1893" s="31"/>
      <c r="G1893" s="31"/>
    </row>
    <row r="1894" spans="1:7" x14ac:dyDescent="0.3">
      <c r="A1894" s="131" t="s">
        <v>3053</v>
      </c>
      <c r="B1894" s="130">
        <v>88</v>
      </c>
      <c r="C1894" s="31"/>
      <c r="D1894" s="31"/>
      <c r="E1894" s="31"/>
      <c r="F1894" s="31"/>
      <c r="G1894" s="31"/>
    </row>
    <row r="1895" spans="1:7" x14ac:dyDescent="0.3">
      <c r="A1895" s="131" t="s">
        <v>3054</v>
      </c>
      <c r="B1895" s="130">
        <v>50</v>
      </c>
      <c r="C1895" s="31"/>
      <c r="D1895" s="31"/>
      <c r="E1895" s="31"/>
      <c r="F1895" s="31"/>
      <c r="G1895" s="31"/>
    </row>
    <row r="1896" spans="1:7" x14ac:dyDescent="0.3">
      <c r="A1896" s="131" t="s">
        <v>3055</v>
      </c>
      <c r="B1896" s="130">
        <v>0</v>
      </c>
      <c r="C1896" s="31"/>
      <c r="D1896" s="31"/>
      <c r="E1896" s="31"/>
      <c r="F1896" s="31"/>
      <c r="G1896" s="31"/>
    </row>
    <row r="1897" spans="1:7" x14ac:dyDescent="0.3">
      <c r="A1897" s="131" t="s">
        <v>3056</v>
      </c>
      <c r="B1897" s="130">
        <v>279</v>
      </c>
      <c r="C1897" s="31"/>
      <c r="D1897" s="31"/>
      <c r="E1897" s="31"/>
      <c r="F1897" s="31"/>
      <c r="G1897" s="31"/>
    </row>
    <row r="1898" spans="1:7" x14ac:dyDescent="0.3">
      <c r="A1898" s="131" t="s">
        <v>3057</v>
      </c>
      <c r="B1898" s="130">
        <v>0</v>
      </c>
      <c r="C1898" s="31"/>
      <c r="D1898" s="31"/>
      <c r="E1898" s="31"/>
      <c r="F1898" s="31"/>
      <c r="G1898" s="31"/>
    </row>
    <row r="1899" spans="1:7" x14ac:dyDescent="0.3">
      <c r="A1899" s="131" t="s">
        <v>3058</v>
      </c>
      <c r="B1899" s="130">
        <v>409</v>
      </c>
      <c r="C1899" s="31"/>
      <c r="D1899" s="31"/>
      <c r="E1899" s="31"/>
      <c r="F1899" s="31"/>
      <c r="G1899" s="31"/>
    </row>
    <row r="1900" spans="1:7" x14ac:dyDescent="0.3">
      <c r="A1900" s="131" t="s">
        <v>3059</v>
      </c>
      <c r="B1900" s="130">
        <v>0</v>
      </c>
      <c r="C1900" s="31"/>
      <c r="D1900" s="31"/>
      <c r="E1900" s="31"/>
      <c r="F1900" s="31"/>
      <c r="G1900" s="31"/>
    </row>
    <row r="1901" spans="1:7" x14ac:dyDescent="0.3">
      <c r="A1901" s="131" t="s">
        <v>3060</v>
      </c>
      <c r="B1901" s="130">
        <v>39</v>
      </c>
      <c r="C1901" s="31"/>
      <c r="D1901" s="31"/>
      <c r="E1901" s="31"/>
      <c r="F1901" s="31"/>
      <c r="G1901" s="31"/>
    </row>
    <row r="1902" spans="1:7" x14ac:dyDescent="0.3">
      <c r="A1902" s="131" t="s">
        <v>3061</v>
      </c>
      <c r="B1902" s="130">
        <v>201</v>
      </c>
      <c r="C1902" s="31"/>
      <c r="D1902" s="31"/>
      <c r="E1902" s="31"/>
      <c r="F1902" s="31"/>
      <c r="G1902" s="31"/>
    </row>
    <row r="1903" spans="1:7" x14ac:dyDescent="0.3">
      <c r="A1903" s="131" t="s">
        <v>3062</v>
      </c>
      <c r="B1903" s="130">
        <v>303</v>
      </c>
      <c r="C1903" s="31"/>
      <c r="D1903" s="31"/>
      <c r="E1903" s="31"/>
      <c r="F1903" s="31"/>
      <c r="G1903" s="31"/>
    </row>
    <row r="1904" spans="1:7" x14ac:dyDescent="0.3">
      <c r="A1904" s="131" t="s">
        <v>3063</v>
      </c>
      <c r="B1904" s="130">
        <v>363</v>
      </c>
      <c r="C1904" s="31"/>
      <c r="D1904" s="31"/>
      <c r="E1904" s="31"/>
      <c r="F1904" s="31"/>
      <c r="G1904" s="31"/>
    </row>
    <row r="1905" spans="1:7" x14ac:dyDescent="0.3">
      <c r="A1905" s="131" t="s">
        <v>3064</v>
      </c>
      <c r="B1905" s="130">
        <v>267</v>
      </c>
      <c r="C1905" s="31"/>
      <c r="D1905" s="31"/>
      <c r="E1905" s="31"/>
      <c r="F1905" s="31"/>
      <c r="G1905" s="31"/>
    </row>
    <row r="1906" spans="1:7" x14ac:dyDescent="0.3">
      <c r="A1906" s="131" t="s">
        <v>3065</v>
      </c>
      <c r="B1906" s="130">
        <v>453</v>
      </c>
      <c r="C1906" s="31"/>
      <c r="D1906" s="31"/>
      <c r="E1906" s="31"/>
      <c r="F1906" s="31"/>
      <c r="G1906" s="31"/>
    </row>
    <row r="1907" spans="1:7" x14ac:dyDescent="0.3">
      <c r="A1907" s="131" t="s">
        <v>3066</v>
      </c>
      <c r="B1907" s="130">
        <v>296</v>
      </c>
      <c r="C1907" s="31"/>
      <c r="D1907" s="31"/>
      <c r="E1907" s="31"/>
      <c r="F1907" s="31"/>
      <c r="G1907" s="31"/>
    </row>
    <row r="1908" spans="1:7" x14ac:dyDescent="0.3">
      <c r="A1908" s="131" t="s">
        <v>3067</v>
      </c>
      <c r="B1908" s="130">
        <v>71</v>
      </c>
      <c r="C1908" s="31"/>
      <c r="D1908" s="31"/>
      <c r="E1908" s="31"/>
      <c r="F1908" s="31"/>
      <c r="G1908" s="31"/>
    </row>
    <row r="1909" spans="1:7" x14ac:dyDescent="0.3">
      <c r="A1909" s="131" t="s">
        <v>3068</v>
      </c>
      <c r="B1909" s="130">
        <v>141</v>
      </c>
      <c r="C1909" s="31"/>
      <c r="D1909" s="31"/>
      <c r="E1909" s="31"/>
      <c r="F1909" s="31"/>
      <c r="G1909" s="31"/>
    </row>
    <row r="1910" spans="1:7" x14ac:dyDescent="0.3">
      <c r="A1910" s="131" t="s">
        <v>3069</v>
      </c>
      <c r="B1910" s="130">
        <v>165</v>
      </c>
      <c r="C1910" s="31"/>
      <c r="D1910" s="31"/>
      <c r="E1910" s="31"/>
      <c r="F1910" s="31"/>
      <c r="G1910" s="31"/>
    </row>
    <row r="1911" spans="1:7" x14ac:dyDescent="0.3">
      <c r="A1911" s="131" t="s">
        <v>3070</v>
      </c>
      <c r="B1911" s="130">
        <v>106</v>
      </c>
      <c r="C1911" s="31"/>
      <c r="D1911" s="31"/>
      <c r="E1911" s="31"/>
      <c r="F1911" s="31"/>
      <c r="G1911" s="31"/>
    </row>
    <row r="1912" spans="1:7" x14ac:dyDescent="0.3">
      <c r="A1912" s="131" t="s">
        <v>3071</v>
      </c>
      <c r="B1912" s="130">
        <v>95</v>
      </c>
      <c r="C1912" s="31"/>
      <c r="D1912" s="31"/>
      <c r="E1912" s="31"/>
      <c r="F1912" s="31"/>
      <c r="G1912" s="31"/>
    </row>
    <row r="1913" spans="1:7" x14ac:dyDescent="0.3">
      <c r="A1913" s="131" t="s">
        <v>3072</v>
      </c>
      <c r="B1913" s="130">
        <v>323</v>
      </c>
      <c r="C1913" s="31"/>
      <c r="D1913" s="31"/>
      <c r="E1913" s="31"/>
      <c r="F1913" s="31"/>
      <c r="G1913" s="31"/>
    </row>
    <row r="1914" spans="1:7" x14ac:dyDescent="0.3">
      <c r="A1914" s="131" t="s">
        <v>3073</v>
      </c>
      <c r="B1914" s="130">
        <v>448</v>
      </c>
      <c r="C1914" s="31"/>
      <c r="D1914" s="31"/>
      <c r="E1914" s="31"/>
      <c r="F1914" s="31"/>
      <c r="G1914" s="31"/>
    </row>
    <row r="1915" spans="1:7" x14ac:dyDescent="0.3">
      <c r="A1915" s="131" t="s">
        <v>3074</v>
      </c>
      <c r="B1915" s="130">
        <v>195</v>
      </c>
      <c r="C1915" s="31"/>
      <c r="D1915" s="31"/>
      <c r="E1915" s="31"/>
      <c r="F1915" s="31"/>
      <c r="G1915" s="31"/>
    </row>
    <row r="1916" spans="1:7" x14ac:dyDescent="0.3">
      <c r="A1916" s="131" t="s">
        <v>3075</v>
      </c>
      <c r="B1916" s="130">
        <v>482</v>
      </c>
      <c r="C1916" s="31"/>
      <c r="D1916" s="31"/>
      <c r="E1916" s="31"/>
      <c r="F1916" s="31"/>
      <c r="G1916" s="31"/>
    </row>
    <row r="1917" spans="1:7" x14ac:dyDescent="0.3">
      <c r="A1917" s="131" t="s">
        <v>3076</v>
      </c>
      <c r="B1917" s="130">
        <v>318</v>
      </c>
      <c r="C1917" s="31"/>
      <c r="D1917" s="31"/>
      <c r="E1917" s="31"/>
      <c r="F1917" s="31"/>
      <c r="G1917" s="31"/>
    </row>
    <row r="1918" spans="1:7" x14ac:dyDescent="0.3">
      <c r="A1918" s="131" t="s">
        <v>3077</v>
      </c>
      <c r="B1918" s="130">
        <v>168</v>
      </c>
      <c r="C1918" s="31"/>
      <c r="D1918" s="31"/>
      <c r="E1918" s="31"/>
      <c r="F1918" s="31"/>
      <c r="G1918" s="31"/>
    </row>
    <row r="1919" spans="1:7" x14ac:dyDescent="0.3">
      <c r="A1919" s="131" t="s">
        <v>3078</v>
      </c>
      <c r="B1919" s="130">
        <v>211</v>
      </c>
      <c r="C1919" s="31"/>
      <c r="D1919" s="31"/>
      <c r="E1919" s="31"/>
      <c r="F1919" s="31"/>
      <c r="G1919" s="31"/>
    </row>
    <row r="1920" spans="1:7" x14ac:dyDescent="0.3">
      <c r="A1920" s="131" t="s">
        <v>3079</v>
      </c>
      <c r="B1920" s="130">
        <v>0</v>
      </c>
      <c r="C1920" s="31"/>
      <c r="D1920" s="31"/>
      <c r="E1920" s="31"/>
      <c r="F1920" s="31"/>
      <c r="G1920" s="31"/>
    </row>
    <row r="1921" spans="1:7" x14ac:dyDescent="0.3">
      <c r="A1921" s="131" t="s">
        <v>3080</v>
      </c>
      <c r="B1921" s="130" t="s">
        <v>1163</v>
      </c>
      <c r="C1921" s="31"/>
      <c r="D1921" s="31"/>
      <c r="E1921" s="31"/>
      <c r="F1921" s="31"/>
      <c r="G1921" s="31"/>
    </row>
    <row r="1922" spans="1:7" x14ac:dyDescent="0.3">
      <c r="A1922" s="131" t="s">
        <v>3081</v>
      </c>
      <c r="B1922" s="130">
        <v>238</v>
      </c>
      <c r="C1922" s="31"/>
      <c r="D1922" s="31"/>
      <c r="E1922" s="31"/>
      <c r="F1922" s="31"/>
      <c r="G1922" s="31"/>
    </row>
    <row r="1923" spans="1:7" x14ac:dyDescent="0.3">
      <c r="A1923" s="131" t="s">
        <v>3082</v>
      </c>
      <c r="B1923" s="130">
        <v>77</v>
      </c>
      <c r="C1923" s="31"/>
      <c r="D1923" s="31"/>
      <c r="E1923" s="31"/>
      <c r="F1923" s="31"/>
      <c r="G1923" s="31"/>
    </row>
    <row r="1924" spans="1:7" x14ac:dyDescent="0.3">
      <c r="A1924" s="131" t="s">
        <v>3083</v>
      </c>
      <c r="B1924" s="130">
        <v>124</v>
      </c>
      <c r="C1924" s="31"/>
      <c r="D1924" s="31"/>
      <c r="E1924" s="31"/>
      <c r="F1924" s="31"/>
      <c r="G1924" s="31"/>
    </row>
    <row r="1925" spans="1:7" x14ac:dyDescent="0.3">
      <c r="A1925" s="131" t="s">
        <v>3084</v>
      </c>
      <c r="B1925" s="130">
        <v>21</v>
      </c>
      <c r="C1925" s="31"/>
      <c r="D1925" s="31"/>
      <c r="E1925" s="31"/>
      <c r="F1925" s="31"/>
      <c r="G1925" s="31"/>
    </row>
    <row r="1926" spans="1:7" x14ac:dyDescent="0.3">
      <c r="A1926" s="131" t="s">
        <v>3085</v>
      </c>
      <c r="B1926" s="130">
        <v>68</v>
      </c>
      <c r="C1926" s="31"/>
      <c r="D1926" s="31"/>
      <c r="E1926" s="31"/>
      <c r="F1926" s="31"/>
      <c r="G1926" s="31"/>
    </row>
    <row r="1927" spans="1:7" x14ac:dyDescent="0.3">
      <c r="A1927" s="131" t="s">
        <v>3086</v>
      </c>
      <c r="B1927" s="130">
        <v>223</v>
      </c>
      <c r="C1927" s="31"/>
      <c r="D1927" s="31"/>
      <c r="E1927" s="31"/>
      <c r="F1927" s="31"/>
      <c r="G1927" s="31"/>
    </row>
    <row r="1928" spans="1:7" x14ac:dyDescent="0.3">
      <c r="A1928" s="131" t="s">
        <v>3087</v>
      </c>
      <c r="B1928" s="130">
        <v>160</v>
      </c>
      <c r="C1928" s="31"/>
      <c r="D1928" s="31"/>
      <c r="E1928" s="31"/>
      <c r="F1928" s="31"/>
      <c r="G1928" s="31"/>
    </row>
    <row r="1929" spans="1:7" x14ac:dyDescent="0.3">
      <c r="A1929" s="131" t="s">
        <v>3088</v>
      </c>
      <c r="B1929" s="130">
        <v>118</v>
      </c>
      <c r="C1929" s="31"/>
      <c r="D1929" s="31"/>
      <c r="E1929" s="31"/>
      <c r="F1929" s="31"/>
      <c r="G1929" s="31"/>
    </row>
    <row r="1930" spans="1:7" x14ac:dyDescent="0.3">
      <c r="A1930" s="131" t="s">
        <v>3089</v>
      </c>
      <c r="B1930" s="130">
        <v>0</v>
      </c>
      <c r="C1930" s="31"/>
      <c r="D1930" s="31"/>
      <c r="E1930" s="31"/>
      <c r="F1930" s="31"/>
      <c r="G1930" s="31"/>
    </row>
    <row r="1931" spans="1:7" x14ac:dyDescent="0.3">
      <c r="A1931" s="131" t="s">
        <v>3090</v>
      </c>
      <c r="B1931" s="130">
        <v>161</v>
      </c>
      <c r="C1931" s="31"/>
      <c r="D1931" s="31"/>
      <c r="E1931" s="31"/>
      <c r="F1931" s="31"/>
      <c r="G1931" s="31"/>
    </row>
    <row r="1932" spans="1:7" x14ac:dyDescent="0.3">
      <c r="A1932" s="131" t="s">
        <v>3091</v>
      </c>
      <c r="B1932" s="130">
        <v>25</v>
      </c>
      <c r="C1932" s="31"/>
      <c r="D1932" s="31"/>
      <c r="E1932" s="31"/>
      <c r="F1932" s="31"/>
      <c r="G1932" s="31"/>
    </row>
    <row r="1933" spans="1:7" x14ac:dyDescent="0.3">
      <c r="A1933" s="131" t="s">
        <v>3092</v>
      </c>
      <c r="B1933" s="130">
        <v>60</v>
      </c>
      <c r="C1933" s="31"/>
      <c r="D1933" s="31"/>
      <c r="E1933" s="31"/>
      <c r="F1933" s="31"/>
      <c r="G1933" s="31"/>
    </row>
    <row r="1934" spans="1:7" x14ac:dyDescent="0.3">
      <c r="A1934" s="131" t="s">
        <v>3093</v>
      </c>
      <c r="B1934" s="130" t="s">
        <v>1163</v>
      </c>
      <c r="C1934" s="31"/>
      <c r="D1934" s="31"/>
      <c r="E1934" s="31"/>
      <c r="F1934" s="31"/>
      <c r="G1934" s="31"/>
    </row>
    <row r="1935" spans="1:7" x14ac:dyDescent="0.3">
      <c r="A1935" s="131" t="s">
        <v>3094</v>
      </c>
      <c r="B1935" s="130">
        <v>162</v>
      </c>
      <c r="C1935" s="31"/>
      <c r="D1935" s="31"/>
      <c r="E1935" s="31"/>
      <c r="F1935" s="31"/>
      <c r="G1935" s="31"/>
    </row>
    <row r="1936" spans="1:7" x14ac:dyDescent="0.3">
      <c r="A1936" s="131" t="s">
        <v>3095</v>
      </c>
      <c r="B1936" s="130">
        <v>177</v>
      </c>
      <c r="C1936" s="31"/>
      <c r="D1936" s="31"/>
      <c r="E1936" s="31"/>
      <c r="F1936" s="31"/>
      <c r="G1936" s="31"/>
    </row>
    <row r="1937" spans="1:7" x14ac:dyDescent="0.3">
      <c r="A1937" s="131" t="s">
        <v>3096</v>
      </c>
      <c r="B1937" s="130">
        <v>0</v>
      </c>
      <c r="C1937" s="31"/>
      <c r="D1937" s="31"/>
      <c r="E1937" s="31"/>
      <c r="F1937" s="31"/>
      <c r="G1937" s="31"/>
    </row>
    <row r="1938" spans="1:7" x14ac:dyDescent="0.3">
      <c r="A1938" s="131" t="s">
        <v>3097</v>
      </c>
      <c r="B1938" s="130">
        <v>118</v>
      </c>
      <c r="C1938" s="31"/>
      <c r="D1938" s="31"/>
      <c r="E1938" s="31"/>
      <c r="F1938" s="31"/>
      <c r="G1938" s="31"/>
    </row>
    <row r="1939" spans="1:7" x14ac:dyDescent="0.3">
      <c r="A1939" s="131" t="s">
        <v>3098</v>
      </c>
      <c r="B1939" s="130">
        <v>192</v>
      </c>
      <c r="C1939" s="31"/>
      <c r="D1939" s="31"/>
      <c r="E1939" s="31"/>
      <c r="F1939" s="31"/>
      <c r="G1939" s="31"/>
    </row>
    <row r="1940" spans="1:7" x14ac:dyDescent="0.3">
      <c r="A1940" s="131" t="s">
        <v>3099</v>
      </c>
      <c r="B1940" s="130">
        <v>0</v>
      </c>
      <c r="C1940" s="31"/>
      <c r="D1940" s="31"/>
      <c r="E1940" s="31"/>
      <c r="F1940" s="31"/>
      <c r="G1940" s="31"/>
    </row>
    <row r="1941" spans="1:7" x14ac:dyDescent="0.3">
      <c r="A1941" s="131" t="s">
        <v>3100</v>
      </c>
      <c r="B1941" s="130">
        <v>0</v>
      </c>
      <c r="C1941" s="31"/>
      <c r="D1941" s="31"/>
      <c r="E1941" s="31"/>
      <c r="F1941" s="31"/>
      <c r="G1941" s="31"/>
    </row>
    <row r="1942" spans="1:7" x14ac:dyDescent="0.3">
      <c r="A1942" s="131" t="s">
        <v>3101</v>
      </c>
      <c r="B1942" s="130">
        <v>172</v>
      </c>
      <c r="C1942" s="31"/>
      <c r="D1942" s="31"/>
      <c r="E1942" s="31"/>
      <c r="F1942" s="31"/>
      <c r="G1942" s="31"/>
    </row>
    <row r="1943" spans="1:7" x14ac:dyDescent="0.3">
      <c r="A1943" s="131" t="s">
        <v>3102</v>
      </c>
      <c r="B1943" s="130">
        <v>28</v>
      </c>
      <c r="C1943" s="31"/>
      <c r="D1943" s="31"/>
      <c r="E1943" s="31"/>
      <c r="F1943" s="31"/>
      <c r="G1943" s="31"/>
    </row>
    <row r="1944" spans="1:7" x14ac:dyDescent="0.3">
      <c r="A1944" s="131" t="s">
        <v>3103</v>
      </c>
      <c r="B1944" s="130">
        <v>0</v>
      </c>
      <c r="C1944" s="31"/>
      <c r="D1944" s="31"/>
      <c r="E1944" s="31"/>
      <c r="F1944" s="31"/>
      <c r="G1944" s="31"/>
    </row>
    <row r="1945" spans="1:7" x14ac:dyDescent="0.3">
      <c r="A1945" s="131" t="s">
        <v>3104</v>
      </c>
      <c r="B1945" s="130">
        <v>0</v>
      </c>
      <c r="C1945" s="31"/>
      <c r="D1945" s="31"/>
      <c r="E1945" s="31"/>
      <c r="F1945" s="31"/>
      <c r="G1945" s="31"/>
    </row>
    <row r="1946" spans="1:7" x14ac:dyDescent="0.3">
      <c r="A1946" s="131" t="s">
        <v>3105</v>
      </c>
      <c r="B1946" s="130">
        <v>39</v>
      </c>
      <c r="C1946" s="31"/>
      <c r="D1946" s="31"/>
      <c r="E1946" s="31"/>
      <c r="F1946" s="31"/>
      <c r="G1946" s="31"/>
    </row>
    <row r="1947" spans="1:7" x14ac:dyDescent="0.3">
      <c r="A1947" s="131" t="s">
        <v>3106</v>
      </c>
      <c r="B1947" s="130">
        <v>126</v>
      </c>
      <c r="C1947" s="31"/>
      <c r="D1947" s="31"/>
      <c r="E1947" s="31"/>
      <c r="F1947" s="31"/>
      <c r="G1947" s="31"/>
    </row>
    <row r="1948" spans="1:7" x14ac:dyDescent="0.3">
      <c r="A1948" s="131" t="s">
        <v>3107</v>
      </c>
      <c r="B1948" s="130">
        <v>114</v>
      </c>
      <c r="C1948" s="31"/>
      <c r="D1948" s="31"/>
      <c r="E1948" s="31"/>
      <c r="F1948" s="31"/>
      <c r="G1948" s="31"/>
    </row>
    <row r="1949" spans="1:7" x14ac:dyDescent="0.3">
      <c r="A1949" s="131" t="s">
        <v>3108</v>
      </c>
      <c r="B1949" s="130">
        <v>147</v>
      </c>
      <c r="C1949" s="31"/>
      <c r="D1949" s="31"/>
      <c r="E1949" s="31"/>
      <c r="F1949" s="31"/>
      <c r="G1949" s="31"/>
    </row>
    <row r="1950" spans="1:7" x14ac:dyDescent="0.3">
      <c r="A1950" s="131" t="s">
        <v>3109</v>
      </c>
      <c r="B1950" s="130">
        <v>226</v>
      </c>
      <c r="C1950" s="31"/>
      <c r="D1950" s="31"/>
      <c r="E1950" s="31"/>
      <c r="F1950" s="31"/>
      <c r="G1950" s="31"/>
    </row>
    <row r="1951" spans="1:7" x14ac:dyDescent="0.3">
      <c r="A1951" s="131" t="s">
        <v>3110</v>
      </c>
      <c r="B1951" s="130">
        <v>272</v>
      </c>
      <c r="C1951" s="31"/>
      <c r="D1951" s="31"/>
      <c r="E1951" s="31"/>
      <c r="F1951" s="31"/>
      <c r="G1951" s="31"/>
    </row>
    <row r="1952" spans="1:7" x14ac:dyDescent="0.3">
      <c r="A1952" s="131" t="s">
        <v>3111</v>
      </c>
      <c r="B1952" s="130">
        <v>165</v>
      </c>
      <c r="C1952" s="31"/>
      <c r="D1952" s="31"/>
      <c r="E1952" s="31"/>
      <c r="F1952" s="31"/>
      <c r="G1952" s="31"/>
    </row>
    <row r="1953" spans="1:7" x14ac:dyDescent="0.3">
      <c r="A1953" s="131" t="s">
        <v>3112</v>
      </c>
      <c r="B1953" s="130">
        <v>105</v>
      </c>
      <c r="C1953" s="31"/>
      <c r="D1953" s="31"/>
      <c r="E1953" s="31"/>
      <c r="F1953" s="31"/>
      <c r="G1953" s="31"/>
    </row>
    <row r="1954" spans="1:7" x14ac:dyDescent="0.3">
      <c r="A1954" s="131" t="s">
        <v>3113</v>
      </c>
      <c r="B1954" s="130">
        <v>126</v>
      </c>
      <c r="C1954" s="31"/>
      <c r="D1954" s="31"/>
      <c r="E1954" s="31"/>
      <c r="F1954" s="31"/>
      <c r="G1954" s="31"/>
    </row>
    <row r="1955" spans="1:7" x14ac:dyDescent="0.3">
      <c r="A1955" s="131" t="s">
        <v>3114</v>
      </c>
      <c r="B1955" s="130">
        <v>185</v>
      </c>
      <c r="C1955" s="31"/>
      <c r="D1955" s="31"/>
      <c r="E1955" s="31"/>
      <c r="F1955" s="31"/>
      <c r="G1955" s="31"/>
    </row>
    <row r="1956" spans="1:7" x14ac:dyDescent="0.3">
      <c r="A1956" s="131" t="s">
        <v>3115</v>
      </c>
      <c r="B1956" s="130">
        <v>67</v>
      </c>
      <c r="C1956" s="31"/>
      <c r="D1956" s="31"/>
      <c r="E1956" s="31"/>
      <c r="F1956" s="31"/>
      <c r="G1956" s="31"/>
    </row>
    <row r="1957" spans="1:7" x14ac:dyDescent="0.3">
      <c r="A1957" s="131" t="s">
        <v>3116</v>
      </c>
      <c r="B1957" s="130">
        <v>64</v>
      </c>
      <c r="C1957" s="31"/>
      <c r="D1957" s="31"/>
      <c r="E1957" s="31"/>
      <c r="F1957" s="31"/>
      <c r="G1957" s="31"/>
    </row>
    <row r="1958" spans="1:7" x14ac:dyDescent="0.3">
      <c r="A1958" s="131" t="s">
        <v>3117</v>
      </c>
      <c r="B1958" s="130">
        <v>121</v>
      </c>
      <c r="C1958" s="31"/>
      <c r="D1958" s="31"/>
      <c r="E1958" s="31"/>
      <c r="F1958" s="31"/>
      <c r="G1958" s="31"/>
    </row>
    <row r="1959" spans="1:7" x14ac:dyDescent="0.3">
      <c r="A1959" s="131" t="s">
        <v>3118</v>
      </c>
      <c r="B1959" s="130">
        <v>76</v>
      </c>
      <c r="C1959" s="31"/>
      <c r="D1959" s="31"/>
      <c r="E1959" s="31"/>
      <c r="F1959" s="31"/>
      <c r="G1959" s="31"/>
    </row>
    <row r="1960" spans="1:7" x14ac:dyDescent="0.3">
      <c r="A1960" s="131" t="s">
        <v>3119</v>
      </c>
      <c r="B1960" s="130" t="s">
        <v>1163</v>
      </c>
      <c r="C1960" s="31"/>
      <c r="D1960" s="31"/>
      <c r="E1960" s="31"/>
      <c r="F1960" s="31"/>
      <c r="G1960" s="31"/>
    </row>
    <row r="1961" spans="1:7" x14ac:dyDescent="0.3">
      <c r="A1961" s="131" t="s">
        <v>3120</v>
      </c>
      <c r="B1961" s="130">
        <v>19</v>
      </c>
      <c r="C1961" s="31"/>
      <c r="D1961" s="31"/>
      <c r="E1961" s="31"/>
      <c r="F1961" s="31"/>
      <c r="G1961" s="31"/>
    </row>
    <row r="1962" spans="1:7" x14ac:dyDescent="0.3">
      <c r="A1962" s="131" t="s">
        <v>3121</v>
      </c>
      <c r="B1962" s="130">
        <v>21</v>
      </c>
      <c r="C1962" s="31"/>
      <c r="D1962" s="31"/>
      <c r="E1962" s="31"/>
      <c r="F1962" s="31"/>
      <c r="G1962" s="31"/>
    </row>
    <row r="1963" spans="1:7" x14ac:dyDescent="0.3">
      <c r="A1963" s="131" t="s">
        <v>3122</v>
      </c>
      <c r="B1963" s="130">
        <v>72</v>
      </c>
      <c r="C1963" s="31"/>
      <c r="D1963" s="31"/>
      <c r="E1963" s="31"/>
      <c r="F1963" s="31"/>
      <c r="G1963" s="31"/>
    </row>
    <row r="1964" spans="1:7" x14ac:dyDescent="0.3">
      <c r="A1964" s="131" t="s">
        <v>3123</v>
      </c>
      <c r="B1964" s="130">
        <v>41</v>
      </c>
      <c r="C1964" s="31"/>
      <c r="D1964" s="31"/>
      <c r="E1964" s="31"/>
      <c r="F1964" s="31"/>
      <c r="G1964" s="31"/>
    </row>
    <row r="1965" spans="1:7" x14ac:dyDescent="0.3">
      <c r="A1965" s="131" t="s">
        <v>3124</v>
      </c>
      <c r="B1965" s="130">
        <v>58</v>
      </c>
      <c r="C1965" s="31"/>
      <c r="D1965" s="31"/>
      <c r="E1965" s="31"/>
      <c r="F1965" s="31"/>
      <c r="G1965" s="31"/>
    </row>
    <row r="1966" spans="1:7" x14ac:dyDescent="0.3">
      <c r="A1966" s="131" t="s">
        <v>3125</v>
      </c>
      <c r="B1966" s="130">
        <v>76</v>
      </c>
      <c r="C1966" s="31"/>
      <c r="D1966" s="31"/>
      <c r="E1966" s="31"/>
      <c r="F1966" s="31"/>
      <c r="G1966" s="31"/>
    </row>
    <row r="1967" spans="1:7" x14ac:dyDescent="0.3">
      <c r="A1967" s="131" t="s">
        <v>3126</v>
      </c>
      <c r="B1967" s="130">
        <v>102</v>
      </c>
      <c r="C1967" s="31"/>
      <c r="D1967" s="31"/>
      <c r="E1967" s="31"/>
      <c r="F1967" s="31"/>
      <c r="G1967" s="31"/>
    </row>
    <row r="1968" spans="1:7" x14ac:dyDescent="0.3">
      <c r="A1968" s="131" t="s">
        <v>3127</v>
      </c>
      <c r="B1968" s="130">
        <v>42</v>
      </c>
      <c r="C1968" s="31"/>
      <c r="D1968" s="31"/>
      <c r="E1968" s="31"/>
      <c r="F1968" s="31"/>
      <c r="G1968" s="31"/>
    </row>
    <row r="1969" spans="1:7" x14ac:dyDescent="0.3">
      <c r="A1969" s="131" t="s">
        <v>3128</v>
      </c>
      <c r="B1969" s="130">
        <v>33</v>
      </c>
      <c r="C1969" s="31"/>
      <c r="D1969" s="31"/>
      <c r="E1969" s="31"/>
      <c r="F1969" s="31"/>
      <c r="G1969" s="31"/>
    </row>
    <row r="1970" spans="1:7" x14ac:dyDescent="0.3">
      <c r="A1970" s="131" t="s">
        <v>3129</v>
      </c>
      <c r="B1970" s="130">
        <v>136</v>
      </c>
      <c r="C1970" s="31"/>
      <c r="D1970" s="31"/>
      <c r="E1970" s="31"/>
      <c r="F1970" s="31"/>
      <c r="G1970" s="31"/>
    </row>
    <row r="1971" spans="1:7" x14ac:dyDescent="0.3">
      <c r="A1971" s="131" t="s">
        <v>3130</v>
      </c>
      <c r="B1971" s="130">
        <v>95</v>
      </c>
      <c r="C1971" s="31"/>
      <c r="D1971" s="31"/>
      <c r="E1971" s="31"/>
      <c r="F1971" s="31"/>
      <c r="G1971" s="31"/>
    </row>
    <row r="1972" spans="1:7" x14ac:dyDescent="0.3">
      <c r="A1972" s="131" t="s">
        <v>3131</v>
      </c>
      <c r="B1972" s="130">
        <v>99</v>
      </c>
      <c r="C1972" s="31"/>
      <c r="D1972" s="31"/>
      <c r="E1972" s="31"/>
      <c r="F1972" s="31"/>
      <c r="G1972" s="31"/>
    </row>
    <row r="1973" spans="1:7" x14ac:dyDescent="0.3">
      <c r="A1973" s="131" t="s">
        <v>3132</v>
      </c>
      <c r="B1973" s="130">
        <v>126</v>
      </c>
      <c r="C1973" s="31"/>
      <c r="D1973" s="31"/>
      <c r="E1973" s="31"/>
      <c r="F1973" s="31"/>
      <c r="G1973" s="31"/>
    </row>
    <row r="1974" spans="1:7" x14ac:dyDescent="0.3">
      <c r="A1974" s="131" t="s">
        <v>3133</v>
      </c>
      <c r="B1974" s="130">
        <v>56</v>
      </c>
      <c r="C1974" s="31"/>
      <c r="D1974" s="31"/>
      <c r="E1974" s="31"/>
      <c r="F1974" s="31"/>
      <c r="G1974" s="31"/>
    </row>
    <row r="1975" spans="1:7" x14ac:dyDescent="0.3">
      <c r="A1975" s="131" t="s">
        <v>3134</v>
      </c>
      <c r="B1975" s="130">
        <v>174</v>
      </c>
      <c r="C1975" s="31"/>
      <c r="D1975" s="31"/>
      <c r="E1975" s="31"/>
      <c r="F1975" s="31"/>
      <c r="G1975" s="31"/>
    </row>
    <row r="1976" spans="1:7" x14ac:dyDescent="0.3">
      <c r="A1976" s="131" t="s">
        <v>3135</v>
      </c>
      <c r="B1976" s="130">
        <v>75</v>
      </c>
      <c r="C1976" s="31"/>
      <c r="D1976" s="31"/>
      <c r="E1976" s="31"/>
      <c r="F1976" s="31"/>
      <c r="G1976" s="31"/>
    </row>
    <row r="1977" spans="1:7" x14ac:dyDescent="0.3">
      <c r="A1977" s="131" t="s">
        <v>3136</v>
      </c>
      <c r="B1977" s="130">
        <v>102</v>
      </c>
      <c r="C1977" s="31"/>
      <c r="D1977" s="31"/>
      <c r="E1977" s="31"/>
      <c r="F1977" s="31"/>
      <c r="G1977" s="31"/>
    </row>
    <row r="1978" spans="1:7" x14ac:dyDescent="0.3">
      <c r="A1978" s="131" t="s">
        <v>3137</v>
      </c>
      <c r="B1978" s="130">
        <v>170</v>
      </c>
      <c r="C1978" s="31"/>
      <c r="D1978" s="31"/>
      <c r="E1978" s="31"/>
      <c r="F1978" s="31"/>
      <c r="G1978" s="31"/>
    </row>
    <row r="1979" spans="1:7" x14ac:dyDescent="0.3">
      <c r="A1979" s="131" t="s">
        <v>3138</v>
      </c>
      <c r="B1979" s="130">
        <v>166</v>
      </c>
      <c r="C1979" s="31"/>
      <c r="D1979" s="31"/>
      <c r="E1979" s="31"/>
      <c r="F1979" s="31"/>
      <c r="G1979" s="31"/>
    </row>
    <row r="1980" spans="1:7" x14ac:dyDescent="0.3">
      <c r="A1980" s="131" t="s">
        <v>3139</v>
      </c>
      <c r="B1980" s="130">
        <v>155</v>
      </c>
      <c r="C1980" s="31"/>
      <c r="D1980" s="31"/>
      <c r="E1980" s="31"/>
      <c r="F1980" s="31"/>
      <c r="G1980" s="31"/>
    </row>
    <row r="1981" spans="1:7" x14ac:dyDescent="0.3">
      <c r="A1981" s="131" t="s">
        <v>3140</v>
      </c>
      <c r="B1981" s="130">
        <v>0</v>
      </c>
      <c r="C1981" s="31"/>
      <c r="D1981" s="31"/>
      <c r="E1981" s="31"/>
      <c r="F1981" s="31"/>
      <c r="G1981" s="31"/>
    </row>
    <row r="1982" spans="1:7" x14ac:dyDescent="0.3">
      <c r="A1982" s="131" t="s">
        <v>3141</v>
      </c>
      <c r="B1982" s="130">
        <v>46</v>
      </c>
      <c r="C1982" s="31"/>
      <c r="D1982" s="31"/>
      <c r="E1982" s="31"/>
      <c r="F1982" s="31"/>
      <c r="G1982" s="31"/>
    </row>
    <row r="1983" spans="1:7" x14ac:dyDescent="0.3">
      <c r="A1983" s="131" t="s">
        <v>3142</v>
      </c>
      <c r="B1983" s="130">
        <v>176</v>
      </c>
      <c r="C1983" s="31"/>
      <c r="D1983" s="31"/>
      <c r="E1983" s="31"/>
      <c r="F1983" s="31"/>
      <c r="G1983" s="31"/>
    </row>
    <row r="1984" spans="1:7" x14ac:dyDescent="0.3">
      <c r="A1984" s="131" t="s">
        <v>3143</v>
      </c>
      <c r="B1984" s="130">
        <v>468</v>
      </c>
      <c r="C1984" s="31"/>
      <c r="D1984" s="31"/>
      <c r="E1984" s="31"/>
      <c r="F1984" s="31"/>
      <c r="G1984" s="31"/>
    </row>
    <row r="1985" spans="1:7" x14ac:dyDescent="0.3">
      <c r="A1985" s="131" t="s">
        <v>3144</v>
      </c>
      <c r="B1985" s="130">
        <v>0</v>
      </c>
      <c r="C1985" s="31"/>
      <c r="D1985" s="31"/>
      <c r="E1985" s="31"/>
      <c r="F1985" s="31"/>
      <c r="G1985" s="31"/>
    </row>
    <row r="1986" spans="1:7" x14ac:dyDescent="0.3">
      <c r="A1986" s="131" t="s">
        <v>3145</v>
      </c>
      <c r="B1986" s="130">
        <v>246</v>
      </c>
      <c r="C1986" s="31"/>
      <c r="D1986" s="31"/>
      <c r="E1986" s="31"/>
      <c r="F1986" s="31"/>
      <c r="G1986" s="31"/>
    </row>
    <row r="1987" spans="1:7" x14ac:dyDescent="0.3">
      <c r="A1987" s="131" t="s">
        <v>3146</v>
      </c>
      <c r="B1987" s="130">
        <v>0</v>
      </c>
      <c r="C1987" s="31"/>
      <c r="D1987" s="31"/>
      <c r="E1987" s="31"/>
      <c r="F1987" s="31"/>
      <c r="G1987" s="31"/>
    </row>
    <row r="1988" spans="1:7" x14ac:dyDescent="0.3">
      <c r="A1988" s="131" t="s">
        <v>3147</v>
      </c>
      <c r="B1988" s="130">
        <v>308</v>
      </c>
      <c r="C1988" s="31"/>
      <c r="D1988" s="31"/>
      <c r="E1988" s="31"/>
      <c r="F1988" s="31"/>
      <c r="G1988" s="31"/>
    </row>
    <row r="1989" spans="1:7" x14ac:dyDescent="0.3">
      <c r="A1989" s="131" t="s">
        <v>3148</v>
      </c>
      <c r="B1989" s="130">
        <v>249</v>
      </c>
      <c r="C1989" s="31"/>
      <c r="D1989" s="31"/>
      <c r="E1989" s="31"/>
      <c r="F1989" s="31"/>
      <c r="G1989" s="31"/>
    </row>
    <row r="1990" spans="1:7" x14ac:dyDescent="0.3">
      <c r="A1990" s="131" t="s">
        <v>3149</v>
      </c>
      <c r="B1990" s="130">
        <v>16</v>
      </c>
      <c r="C1990" s="31"/>
      <c r="D1990" s="31"/>
      <c r="E1990" s="31"/>
      <c r="F1990" s="31"/>
      <c r="G1990" s="31"/>
    </row>
    <row r="1991" spans="1:7" x14ac:dyDescent="0.3">
      <c r="A1991" s="131" t="s">
        <v>3150</v>
      </c>
      <c r="B1991" s="130">
        <v>129</v>
      </c>
      <c r="C1991" s="31"/>
      <c r="D1991" s="31"/>
      <c r="E1991" s="31"/>
      <c r="F1991" s="31"/>
      <c r="G1991" s="31"/>
    </row>
    <row r="1992" spans="1:7" x14ac:dyDescent="0.3">
      <c r="A1992" s="131" t="s">
        <v>3151</v>
      </c>
      <c r="B1992" s="130">
        <v>466</v>
      </c>
      <c r="C1992" s="31"/>
      <c r="D1992" s="31"/>
      <c r="E1992" s="31"/>
      <c r="F1992" s="31"/>
      <c r="G1992" s="31"/>
    </row>
    <row r="1993" spans="1:7" x14ac:dyDescent="0.3">
      <c r="A1993" s="131" t="s">
        <v>3152</v>
      </c>
      <c r="B1993" s="130">
        <v>113</v>
      </c>
      <c r="C1993" s="31"/>
      <c r="D1993" s="31"/>
      <c r="E1993" s="31"/>
      <c r="F1993" s="31"/>
      <c r="G1993" s="31"/>
    </row>
    <row r="1994" spans="1:7" x14ac:dyDescent="0.3">
      <c r="A1994" s="131" t="s">
        <v>3153</v>
      </c>
      <c r="B1994" s="130">
        <v>178</v>
      </c>
      <c r="C1994" s="31"/>
      <c r="D1994" s="31"/>
      <c r="E1994" s="31"/>
      <c r="F1994" s="31"/>
      <c r="G1994" s="31"/>
    </row>
    <row r="1995" spans="1:7" x14ac:dyDescent="0.3">
      <c r="A1995" s="131" t="s">
        <v>3154</v>
      </c>
      <c r="B1995" s="130">
        <v>35</v>
      </c>
      <c r="C1995" s="31"/>
      <c r="D1995" s="31"/>
      <c r="E1995" s="31"/>
      <c r="F1995" s="31"/>
      <c r="G1995" s="31"/>
    </row>
    <row r="1996" spans="1:7" x14ac:dyDescent="0.3">
      <c r="A1996" s="131" t="s">
        <v>3155</v>
      </c>
      <c r="B1996" s="130">
        <v>86</v>
      </c>
      <c r="C1996" s="31"/>
      <c r="D1996" s="31"/>
      <c r="E1996" s="31"/>
      <c r="F1996" s="31"/>
      <c r="G1996" s="31"/>
    </row>
    <row r="1997" spans="1:7" x14ac:dyDescent="0.3">
      <c r="A1997" s="131" t="s">
        <v>3156</v>
      </c>
      <c r="B1997" s="130">
        <v>197</v>
      </c>
      <c r="C1997" s="31"/>
      <c r="D1997" s="31"/>
      <c r="E1997" s="31"/>
      <c r="F1997" s="31"/>
      <c r="G1997" s="31"/>
    </row>
    <row r="1998" spans="1:7" x14ac:dyDescent="0.3">
      <c r="A1998" s="131" t="s">
        <v>3157</v>
      </c>
      <c r="B1998" s="130">
        <v>171</v>
      </c>
      <c r="C1998" s="31"/>
      <c r="D1998" s="31"/>
      <c r="E1998" s="31"/>
      <c r="F1998" s="31"/>
      <c r="G1998" s="31"/>
    </row>
    <row r="1999" spans="1:7" x14ac:dyDescent="0.3">
      <c r="A1999" s="131" t="s">
        <v>3158</v>
      </c>
      <c r="B1999" s="130">
        <v>95</v>
      </c>
      <c r="C1999" s="31"/>
      <c r="D1999" s="31"/>
      <c r="E1999" s="31"/>
      <c r="F1999" s="31"/>
      <c r="G1999" s="31"/>
    </row>
    <row r="2000" spans="1:7" x14ac:dyDescent="0.3">
      <c r="A2000" s="131" t="s">
        <v>3159</v>
      </c>
      <c r="B2000" s="130">
        <v>73</v>
      </c>
      <c r="C2000" s="31"/>
      <c r="D2000" s="31"/>
      <c r="E2000" s="31"/>
      <c r="F2000" s="31"/>
      <c r="G2000" s="31"/>
    </row>
    <row r="2001" spans="1:7" x14ac:dyDescent="0.3">
      <c r="A2001" s="131" t="s">
        <v>3160</v>
      </c>
      <c r="B2001" s="130">
        <v>70</v>
      </c>
      <c r="C2001" s="31"/>
      <c r="D2001" s="31"/>
      <c r="E2001" s="31"/>
      <c r="F2001" s="31"/>
      <c r="G2001" s="31"/>
    </row>
    <row r="2002" spans="1:7" x14ac:dyDescent="0.3">
      <c r="A2002" s="131" t="s">
        <v>3161</v>
      </c>
      <c r="B2002" s="130">
        <v>148</v>
      </c>
      <c r="C2002" s="31"/>
      <c r="D2002" s="31"/>
      <c r="E2002" s="31"/>
      <c r="F2002" s="31"/>
      <c r="G2002" s="31"/>
    </row>
    <row r="2003" spans="1:7" x14ac:dyDescent="0.3">
      <c r="A2003" s="131" t="s">
        <v>3162</v>
      </c>
      <c r="B2003" s="130">
        <v>168</v>
      </c>
      <c r="C2003" s="31"/>
      <c r="D2003" s="31"/>
      <c r="E2003" s="31"/>
      <c r="F2003" s="31"/>
      <c r="G2003" s="31"/>
    </row>
    <row r="2004" spans="1:7" x14ac:dyDescent="0.3">
      <c r="A2004" s="131" t="s">
        <v>3163</v>
      </c>
      <c r="B2004" s="130">
        <v>145</v>
      </c>
      <c r="C2004" s="31"/>
      <c r="D2004" s="31"/>
      <c r="E2004" s="31"/>
      <c r="F2004" s="31"/>
      <c r="G2004" s="31"/>
    </row>
    <row r="2005" spans="1:7" x14ac:dyDescent="0.3">
      <c r="A2005" s="131" t="s">
        <v>3164</v>
      </c>
      <c r="B2005" s="130">
        <v>126</v>
      </c>
      <c r="C2005" s="31"/>
      <c r="D2005" s="31"/>
      <c r="E2005" s="31"/>
      <c r="F2005" s="31"/>
      <c r="G2005" s="31"/>
    </row>
    <row r="2006" spans="1:7" x14ac:dyDescent="0.3">
      <c r="A2006" s="131" t="s">
        <v>3165</v>
      </c>
      <c r="B2006" s="130">
        <v>51</v>
      </c>
      <c r="C2006" s="31"/>
      <c r="D2006" s="31"/>
      <c r="E2006" s="31"/>
      <c r="F2006" s="31"/>
      <c r="G2006" s="31"/>
    </row>
    <row r="2007" spans="1:7" x14ac:dyDescent="0.3">
      <c r="A2007" s="131" t="s">
        <v>3166</v>
      </c>
      <c r="B2007" s="130">
        <v>70</v>
      </c>
      <c r="C2007" s="31"/>
      <c r="D2007" s="31"/>
      <c r="E2007" s="31"/>
      <c r="F2007" s="31"/>
      <c r="G2007" s="31"/>
    </row>
    <row r="2008" spans="1:7" x14ac:dyDescent="0.3">
      <c r="A2008" s="131" t="s">
        <v>3167</v>
      </c>
      <c r="B2008" s="130">
        <v>35</v>
      </c>
      <c r="C2008" s="31"/>
      <c r="D2008" s="31"/>
      <c r="E2008" s="31"/>
      <c r="F2008" s="31"/>
      <c r="G2008" s="31"/>
    </row>
    <row r="2009" spans="1:7" x14ac:dyDescent="0.3">
      <c r="A2009" s="131" t="s">
        <v>3168</v>
      </c>
      <c r="B2009" s="130">
        <v>44</v>
      </c>
      <c r="C2009" s="31"/>
      <c r="D2009" s="31"/>
      <c r="E2009" s="31"/>
      <c r="F2009" s="31"/>
      <c r="G2009" s="31"/>
    </row>
    <row r="2010" spans="1:7" x14ac:dyDescent="0.3">
      <c r="A2010" s="131" t="s">
        <v>3169</v>
      </c>
      <c r="B2010" s="130">
        <v>103</v>
      </c>
      <c r="C2010" s="31"/>
      <c r="D2010" s="31"/>
      <c r="E2010" s="31"/>
      <c r="F2010" s="31"/>
      <c r="G2010" s="31"/>
    </row>
    <row r="2011" spans="1:7" x14ac:dyDescent="0.3">
      <c r="A2011" s="131" t="s">
        <v>3170</v>
      </c>
      <c r="B2011" s="130">
        <v>0</v>
      </c>
      <c r="C2011" s="31"/>
      <c r="D2011" s="31"/>
      <c r="E2011" s="31"/>
      <c r="F2011" s="31"/>
      <c r="G2011" s="31"/>
    </row>
    <row r="2012" spans="1:7" x14ac:dyDescent="0.3">
      <c r="A2012" s="131" t="s">
        <v>3171</v>
      </c>
      <c r="B2012" s="130">
        <v>103</v>
      </c>
      <c r="C2012" s="31"/>
      <c r="D2012" s="31"/>
      <c r="E2012" s="31"/>
      <c r="F2012" s="31"/>
      <c r="G2012" s="31"/>
    </row>
    <row r="2013" spans="1:7" x14ac:dyDescent="0.3">
      <c r="A2013" s="131" t="s">
        <v>3172</v>
      </c>
      <c r="B2013" s="130">
        <v>268</v>
      </c>
      <c r="C2013" s="31"/>
      <c r="D2013" s="31"/>
      <c r="E2013" s="31"/>
      <c r="F2013" s="31"/>
      <c r="G2013" s="31"/>
    </row>
    <row r="2014" spans="1:7" x14ac:dyDescent="0.3">
      <c r="A2014" s="131" t="s">
        <v>3173</v>
      </c>
      <c r="B2014" s="130">
        <v>358</v>
      </c>
      <c r="C2014" s="31"/>
      <c r="D2014" s="31"/>
      <c r="E2014" s="31"/>
      <c r="F2014" s="31"/>
      <c r="G2014" s="31"/>
    </row>
    <row r="2015" spans="1:7" x14ac:dyDescent="0.3">
      <c r="A2015" s="131" t="s">
        <v>3174</v>
      </c>
      <c r="B2015" s="130">
        <v>252</v>
      </c>
      <c r="C2015" s="31"/>
      <c r="D2015" s="31"/>
      <c r="E2015" s="31"/>
      <c r="F2015" s="31"/>
      <c r="G2015" s="31"/>
    </row>
    <row r="2016" spans="1:7" x14ac:dyDescent="0.3">
      <c r="A2016" s="131" t="s">
        <v>3175</v>
      </c>
      <c r="B2016" s="130">
        <v>196</v>
      </c>
      <c r="C2016" s="31"/>
      <c r="D2016" s="31"/>
      <c r="E2016" s="31"/>
      <c r="F2016" s="31"/>
      <c r="G2016" s="31"/>
    </row>
    <row r="2017" spans="1:7" x14ac:dyDescent="0.3">
      <c r="A2017" s="131" t="s">
        <v>3176</v>
      </c>
      <c r="B2017" s="130">
        <v>410</v>
      </c>
      <c r="C2017" s="31"/>
      <c r="D2017" s="31"/>
      <c r="E2017" s="31"/>
      <c r="F2017" s="31"/>
      <c r="G2017" s="31"/>
    </row>
    <row r="2018" spans="1:7" x14ac:dyDescent="0.3">
      <c r="A2018" s="131" t="s">
        <v>3177</v>
      </c>
      <c r="B2018" s="130">
        <v>285</v>
      </c>
      <c r="C2018" s="31"/>
      <c r="D2018" s="31"/>
      <c r="E2018" s="31"/>
      <c r="F2018" s="31"/>
      <c r="G2018" s="31"/>
    </row>
    <row r="2019" spans="1:7" x14ac:dyDescent="0.3">
      <c r="A2019" s="131" t="s">
        <v>3178</v>
      </c>
      <c r="B2019" s="130">
        <v>274</v>
      </c>
      <c r="C2019" s="31"/>
      <c r="D2019" s="31"/>
      <c r="E2019" s="31"/>
      <c r="F2019" s="31"/>
      <c r="G2019" s="31"/>
    </row>
    <row r="2020" spans="1:7" x14ac:dyDescent="0.3">
      <c r="A2020" s="131" t="s">
        <v>3179</v>
      </c>
      <c r="B2020" s="130">
        <v>220</v>
      </c>
      <c r="C2020" s="31"/>
      <c r="D2020" s="31"/>
      <c r="E2020" s="31"/>
      <c r="F2020" s="31"/>
      <c r="G2020" s="31"/>
    </row>
    <row r="2021" spans="1:7" x14ac:dyDescent="0.3">
      <c r="A2021" s="131" t="s">
        <v>3180</v>
      </c>
      <c r="B2021" s="130">
        <v>199</v>
      </c>
      <c r="C2021" s="31"/>
      <c r="D2021" s="31"/>
      <c r="E2021" s="31"/>
      <c r="F2021" s="31"/>
      <c r="G2021" s="31"/>
    </row>
    <row r="2022" spans="1:7" x14ac:dyDescent="0.3">
      <c r="A2022" s="131" t="s">
        <v>3181</v>
      </c>
      <c r="B2022" s="130">
        <v>372</v>
      </c>
      <c r="C2022" s="31"/>
      <c r="D2022" s="31"/>
      <c r="E2022" s="31"/>
      <c r="F2022" s="31"/>
      <c r="G2022" s="31"/>
    </row>
    <row r="2023" spans="1:7" x14ac:dyDescent="0.3">
      <c r="A2023" s="131" t="s">
        <v>3182</v>
      </c>
      <c r="B2023" s="130">
        <v>55</v>
      </c>
      <c r="C2023" s="31"/>
      <c r="D2023" s="31"/>
      <c r="E2023" s="31"/>
      <c r="F2023" s="31"/>
      <c r="G2023" s="31"/>
    </row>
    <row r="2024" spans="1:7" x14ac:dyDescent="0.3">
      <c r="A2024" s="131" t="s">
        <v>3183</v>
      </c>
      <c r="B2024" s="130">
        <v>175</v>
      </c>
      <c r="C2024" s="31"/>
      <c r="D2024" s="31"/>
      <c r="E2024" s="31"/>
      <c r="F2024" s="31"/>
      <c r="G2024" s="31"/>
    </row>
    <row r="2025" spans="1:7" x14ac:dyDescent="0.3">
      <c r="A2025" s="131" t="s">
        <v>3184</v>
      </c>
      <c r="B2025" s="130">
        <v>324</v>
      </c>
      <c r="C2025" s="31"/>
      <c r="D2025" s="31"/>
      <c r="E2025" s="31"/>
      <c r="F2025" s="31"/>
      <c r="G2025" s="31"/>
    </row>
    <row r="2026" spans="1:7" x14ac:dyDescent="0.3">
      <c r="A2026" s="131" t="s">
        <v>3185</v>
      </c>
      <c r="B2026" s="130">
        <v>133</v>
      </c>
      <c r="C2026" s="31"/>
      <c r="D2026" s="31"/>
      <c r="E2026" s="31"/>
      <c r="F2026" s="31"/>
      <c r="G2026" s="31"/>
    </row>
    <row r="2027" spans="1:7" x14ac:dyDescent="0.3">
      <c r="A2027" s="131" t="s">
        <v>3186</v>
      </c>
      <c r="B2027" s="130">
        <v>151</v>
      </c>
      <c r="C2027" s="31"/>
      <c r="D2027" s="31"/>
      <c r="E2027" s="31"/>
      <c r="F2027" s="31"/>
      <c r="G2027" s="31"/>
    </row>
    <row r="2028" spans="1:7" x14ac:dyDescent="0.3">
      <c r="A2028" s="131" t="s">
        <v>3187</v>
      </c>
      <c r="B2028" s="130">
        <v>314</v>
      </c>
      <c r="C2028" s="31"/>
      <c r="D2028" s="31"/>
      <c r="E2028" s="31"/>
      <c r="F2028" s="31"/>
      <c r="G2028" s="31"/>
    </row>
    <row r="2029" spans="1:7" x14ac:dyDescent="0.3">
      <c r="A2029" s="131" t="s">
        <v>3188</v>
      </c>
      <c r="B2029" s="130">
        <v>214</v>
      </c>
      <c r="C2029" s="31"/>
      <c r="D2029" s="31"/>
      <c r="E2029" s="31"/>
      <c r="F2029" s="31"/>
      <c r="G2029" s="31"/>
    </row>
    <row r="2030" spans="1:7" x14ac:dyDescent="0.3">
      <c r="A2030" s="131" t="s">
        <v>3189</v>
      </c>
      <c r="B2030" s="130">
        <v>81</v>
      </c>
      <c r="C2030" s="31"/>
      <c r="D2030" s="31"/>
      <c r="E2030" s="31"/>
      <c r="F2030" s="31"/>
      <c r="G2030" s="31"/>
    </row>
    <row r="2031" spans="1:7" x14ac:dyDescent="0.3">
      <c r="A2031" s="131" t="s">
        <v>3190</v>
      </c>
      <c r="B2031" s="130">
        <v>95</v>
      </c>
      <c r="C2031" s="31"/>
      <c r="D2031" s="31"/>
      <c r="E2031" s="31"/>
      <c r="F2031" s="31"/>
      <c r="G2031" s="31"/>
    </row>
    <row r="2032" spans="1:7" x14ac:dyDescent="0.3">
      <c r="A2032" s="131" t="s">
        <v>3191</v>
      </c>
      <c r="B2032" s="130">
        <v>150</v>
      </c>
      <c r="C2032" s="31"/>
      <c r="D2032" s="31"/>
      <c r="E2032" s="31"/>
      <c r="F2032" s="31"/>
      <c r="G2032" s="31"/>
    </row>
    <row r="2033" spans="1:7" x14ac:dyDescent="0.3">
      <c r="A2033" s="131" t="s">
        <v>3192</v>
      </c>
      <c r="B2033" s="130">
        <v>106</v>
      </c>
      <c r="C2033" s="31"/>
      <c r="D2033" s="31"/>
      <c r="E2033" s="31"/>
      <c r="F2033" s="31"/>
      <c r="G2033" s="31"/>
    </row>
    <row r="2034" spans="1:7" x14ac:dyDescent="0.3">
      <c r="A2034" s="131" t="s">
        <v>3193</v>
      </c>
      <c r="B2034" s="130">
        <v>65</v>
      </c>
      <c r="C2034" s="31"/>
      <c r="D2034" s="31"/>
      <c r="E2034" s="31"/>
      <c r="F2034" s="31"/>
      <c r="G2034" s="31"/>
    </row>
    <row r="2035" spans="1:7" x14ac:dyDescent="0.3">
      <c r="A2035" s="131" t="s">
        <v>3194</v>
      </c>
      <c r="B2035" s="130">
        <v>192</v>
      </c>
      <c r="C2035" s="31"/>
      <c r="D2035" s="31"/>
      <c r="E2035" s="31"/>
      <c r="F2035" s="31"/>
      <c r="G2035" s="31"/>
    </row>
    <row r="2036" spans="1:7" x14ac:dyDescent="0.3">
      <c r="A2036" s="131" t="s">
        <v>3195</v>
      </c>
      <c r="B2036" s="130" t="s">
        <v>1163</v>
      </c>
      <c r="C2036" s="31"/>
      <c r="D2036" s="31"/>
      <c r="E2036" s="31"/>
      <c r="F2036" s="31"/>
      <c r="G2036" s="31"/>
    </row>
    <row r="2037" spans="1:7" x14ac:dyDescent="0.3">
      <c r="A2037" s="131" t="s">
        <v>3196</v>
      </c>
      <c r="B2037" s="130">
        <v>254</v>
      </c>
      <c r="C2037" s="31"/>
      <c r="D2037" s="31"/>
      <c r="E2037" s="31"/>
      <c r="F2037" s="31"/>
      <c r="G2037" s="31"/>
    </row>
    <row r="2038" spans="1:7" x14ac:dyDescent="0.3">
      <c r="A2038" s="131" t="s">
        <v>3197</v>
      </c>
      <c r="B2038" s="130">
        <v>0</v>
      </c>
      <c r="C2038" s="31"/>
      <c r="D2038" s="31"/>
      <c r="E2038" s="31"/>
      <c r="F2038" s="31"/>
      <c r="G2038" s="31"/>
    </row>
    <row r="2039" spans="1:7" x14ac:dyDescent="0.3">
      <c r="A2039" s="131" t="s">
        <v>3198</v>
      </c>
      <c r="B2039" s="130">
        <v>175</v>
      </c>
      <c r="C2039" s="31"/>
      <c r="D2039" s="31"/>
      <c r="E2039" s="31"/>
      <c r="F2039" s="31"/>
      <c r="G2039" s="31"/>
    </row>
    <row r="2040" spans="1:7" x14ac:dyDescent="0.3">
      <c r="A2040" s="131" t="s">
        <v>3199</v>
      </c>
      <c r="B2040" s="130">
        <v>72</v>
      </c>
      <c r="C2040" s="31"/>
      <c r="D2040" s="31"/>
      <c r="E2040" s="31"/>
      <c r="F2040" s="31"/>
      <c r="G2040" s="31"/>
    </row>
    <row r="2041" spans="1:7" x14ac:dyDescent="0.3">
      <c r="A2041" s="131" t="s">
        <v>3200</v>
      </c>
      <c r="B2041" s="130">
        <v>25</v>
      </c>
      <c r="C2041" s="31"/>
      <c r="D2041" s="31"/>
      <c r="E2041" s="31"/>
      <c r="F2041" s="31"/>
      <c r="G2041" s="31"/>
    </row>
    <row r="2042" spans="1:7" x14ac:dyDescent="0.3">
      <c r="A2042" s="131" t="s">
        <v>3201</v>
      </c>
      <c r="B2042" s="130">
        <v>70</v>
      </c>
      <c r="C2042" s="31"/>
      <c r="D2042" s="31"/>
      <c r="E2042" s="31"/>
      <c r="F2042" s="31"/>
      <c r="G2042" s="31"/>
    </row>
    <row r="2043" spans="1:7" x14ac:dyDescent="0.3">
      <c r="A2043" s="131" t="s">
        <v>3202</v>
      </c>
      <c r="B2043" s="130">
        <v>23</v>
      </c>
      <c r="C2043" s="31"/>
      <c r="D2043" s="31"/>
      <c r="E2043" s="31"/>
      <c r="F2043" s="31"/>
      <c r="G2043" s="31"/>
    </row>
    <row r="2044" spans="1:7" x14ac:dyDescent="0.3">
      <c r="A2044" s="131" t="s">
        <v>3203</v>
      </c>
      <c r="B2044" s="130">
        <v>74</v>
      </c>
      <c r="C2044" s="31"/>
      <c r="D2044" s="31"/>
      <c r="E2044" s="31"/>
      <c r="F2044" s="31"/>
      <c r="G2044" s="31"/>
    </row>
    <row r="2045" spans="1:7" x14ac:dyDescent="0.3">
      <c r="A2045" s="131" t="s">
        <v>3204</v>
      </c>
      <c r="B2045" s="130">
        <v>26</v>
      </c>
      <c r="C2045" s="31"/>
      <c r="D2045" s="31"/>
      <c r="E2045" s="31"/>
      <c r="F2045" s="31"/>
      <c r="G2045" s="31"/>
    </row>
    <row r="2046" spans="1:7" x14ac:dyDescent="0.3">
      <c r="A2046" s="131" t="s">
        <v>3205</v>
      </c>
      <c r="B2046" s="130">
        <v>17</v>
      </c>
      <c r="C2046" s="31"/>
      <c r="D2046" s="31"/>
      <c r="E2046" s="31"/>
      <c r="F2046" s="31"/>
      <c r="G2046" s="31"/>
    </row>
    <row r="2047" spans="1:7" x14ac:dyDescent="0.3">
      <c r="A2047" s="131" t="s">
        <v>3206</v>
      </c>
      <c r="B2047" s="130">
        <v>72</v>
      </c>
      <c r="C2047" s="31"/>
      <c r="D2047" s="31"/>
      <c r="E2047" s="31"/>
      <c r="F2047" s="31"/>
      <c r="G2047" s="31"/>
    </row>
    <row r="2048" spans="1:7" x14ac:dyDescent="0.3">
      <c r="A2048" s="131" t="s">
        <v>3207</v>
      </c>
      <c r="B2048" s="130" t="s">
        <v>1163</v>
      </c>
      <c r="C2048" s="31"/>
      <c r="D2048" s="31"/>
      <c r="E2048" s="31"/>
      <c r="F2048" s="31"/>
      <c r="G2048" s="31"/>
    </row>
    <row r="2049" spans="1:7" x14ac:dyDescent="0.3">
      <c r="A2049" s="131" t="s">
        <v>3208</v>
      </c>
      <c r="B2049" s="130">
        <v>20</v>
      </c>
      <c r="C2049" s="31"/>
      <c r="D2049" s="31"/>
      <c r="E2049" s="31"/>
      <c r="F2049" s="31"/>
      <c r="G2049" s="31"/>
    </row>
    <row r="2050" spans="1:7" x14ac:dyDescent="0.3">
      <c r="A2050" s="131" t="s">
        <v>3209</v>
      </c>
      <c r="B2050" s="130">
        <v>48</v>
      </c>
      <c r="C2050" s="31"/>
      <c r="D2050" s="31"/>
      <c r="E2050" s="31"/>
      <c r="F2050" s="31"/>
      <c r="G2050" s="31"/>
    </row>
    <row r="2051" spans="1:7" x14ac:dyDescent="0.3">
      <c r="A2051" s="131" t="s">
        <v>3210</v>
      </c>
      <c r="B2051" s="130">
        <v>168</v>
      </c>
      <c r="C2051" s="31"/>
      <c r="D2051" s="31"/>
      <c r="E2051" s="31"/>
      <c r="F2051" s="31"/>
      <c r="G2051" s="31"/>
    </row>
    <row r="2052" spans="1:7" x14ac:dyDescent="0.3">
      <c r="A2052" s="131" t="s">
        <v>3211</v>
      </c>
      <c r="B2052" s="130" t="s">
        <v>1163</v>
      </c>
      <c r="C2052" s="31"/>
      <c r="D2052" s="31"/>
      <c r="E2052" s="31"/>
      <c r="F2052" s="31"/>
      <c r="G2052" s="31"/>
    </row>
    <row r="2053" spans="1:7" x14ac:dyDescent="0.3">
      <c r="A2053" s="131" t="s">
        <v>3212</v>
      </c>
      <c r="B2053" s="130" t="s">
        <v>1163</v>
      </c>
      <c r="C2053" s="31"/>
      <c r="D2053" s="31"/>
      <c r="E2053" s="31"/>
      <c r="F2053" s="31"/>
      <c r="G2053" s="31"/>
    </row>
    <row r="2054" spans="1:7" x14ac:dyDescent="0.3">
      <c r="A2054" s="131" t="s">
        <v>3213</v>
      </c>
      <c r="B2054" s="130" t="s">
        <v>1163</v>
      </c>
      <c r="C2054" s="31"/>
      <c r="D2054" s="31"/>
      <c r="E2054" s="31"/>
      <c r="F2054" s="31"/>
      <c r="G2054" s="31"/>
    </row>
    <row r="2055" spans="1:7" x14ac:dyDescent="0.3">
      <c r="A2055" s="131" t="s">
        <v>3214</v>
      </c>
      <c r="B2055" s="130">
        <v>34</v>
      </c>
      <c r="C2055" s="31"/>
      <c r="D2055" s="31"/>
      <c r="E2055" s="31"/>
      <c r="F2055" s="31"/>
      <c r="G2055" s="31"/>
    </row>
    <row r="2056" spans="1:7" x14ac:dyDescent="0.3">
      <c r="A2056" s="131" t="s">
        <v>3215</v>
      </c>
      <c r="B2056" s="130" t="s">
        <v>1163</v>
      </c>
      <c r="C2056" s="31"/>
      <c r="D2056" s="31"/>
      <c r="E2056" s="31"/>
      <c r="F2056" s="31"/>
      <c r="G2056" s="31"/>
    </row>
    <row r="2057" spans="1:7" x14ac:dyDescent="0.3">
      <c r="A2057" s="131" t="s">
        <v>3216</v>
      </c>
      <c r="B2057" s="130" t="s">
        <v>1163</v>
      </c>
      <c r="C2057" s="31"/>
      <c r="D2057" s="31"/>
      <c r="E2057" s="31"/>
      <c r="F2057" s="31"/>
      <c r="G2057" s="31"/>
    </row>
    <row r="2058" spans="1:7" x14ac:dyDescent="0.3">
      <c r="A2058" s="131" t="s">
        <v>3217</v>
      </c>
      <c r="B2058" s="130" t="s">
        <v>1163</v>
      </c>
      <c r="C2058" s="31"/>
      <c r="D2058" s="31"/>
      <c r="E2058" s="31"/>
      <c r="F2058" s="31"/>
      <c r="G2058" s="31"/>
    </row>
    <row r="2059" spans="1:7" x14ac:dyDescent="0.3">
      <c r="A2059" s="131" t="s">
        <v>3218</v>
      </c>
      <c r="B2059" s="130" t="s">
        <v>1163</v>
      </c>
      <c r="C2059" s="31"/>
      <c r="D2059" s="31"/>
      <c r="E2059" s="31"/>
      <c r="F2059" s="31"/>
      <c r="G2059" s="31"/>
    </row>
    <row r="2060" spans="1:7" x14ac:dyDescent="0.3">
      <c r="A2060" s="131" t="s">
        <v>3219</v>
      </c>
      <c r="B2060" s="130" t="s">
        <v>1163</v>
      </c>
      <c r="C2060" s="31"/>
      <c r="D2060" s="31"/>
      <c r="E2060" s="31"/>
      <c r="F2060" s="31"/>
      <c r="G2060" s="31"/>
    </row>
    <row r="2061" spans="1:7" x14ac:dyDescent="0.3">
      <c r="A2061" s="131" t="s">
        <v>3220</v>
      </c>
      <c r="B2061" s="130" t="s">
        <v>1163</v>
      </c>
      <c r="C2061" s="31"/>
      <c r="D2061" s="31"/>
      <c r="E2061" s="31"/>
      <c r="F2061" s="31"/>
      <c r="G2061" s="31"/>
    </row>
    <row r="2062" spans="1:7" x14ac:dyDescent="0.3">
      <c r="A2062" s="131" t="s">
        <v>3221</v>
      </c>
      <c r="B2062" s="130">
        <v>34</v>
      </c>
      <c r="C2062" s="31"/>
      <c r="D2062" s="31"/>
      <c r="E2062" s="31"/>
      <c r="F2062" s="31"/>
      <c r="G2062" s="31"/>
    </row>
    <row r="2063" spans="1:7" x14ac:dyDescent="0.3">
      <c r="A2063" s="131" t="s">
        <v>3222</v>
      </c>
      <c r="B2063" s="130" t="s">
        <v>1163</v>
      </c>
      <c r="C2063" s="31"/>
      <c r="D2063" s="31"/>
      <c r="E2063" s="31"/>
      <c r="F2063" s="31"/>
      <c r="G2063" s="31"/>
    </row>
    <row r="2064" spans="1:7" x14ac:dyDescent="0.3">
      <c r="A2064" s="131" t="s">
        <v>3223</v>
      </c>
      <c r="B2064" s="130">
        <v>20</v>
      </c>
      <c r="C2064" s="31"/>
      <c r="D2064" s="31"/>
      <c r="E2064" s="31"/>
      <c r="F2064" s="31"/>
      <c r="G2064" s="31"/>
    </row>
    <row r="2065" spans="1:7" x14ac:dyDescent="0.3">
      <c r="A2065" s="131" t="s">
        <v>3224</v>
      </c>
      <c r="B2065" s="130" t="s">
        <v>1163</v>
      </c>
      <c r="C2065" s="31"/>
      <c r="D2065" s="31"/>
      <c r="E2065" s="31"/>
      <c r="F2065" s="31"/>
      <c r="G2065" s="31"/>
    </row>
    <row r="2066" spans="1:7" x14ac:dyDescent="0.3">
      <c r="A2066" s="131" t="s">
        <v>3225</v>
      </c>
      <c r="B2066" s="130" t="s">
        <v>1163</v>
      </c>
      <c r="C2066" s="31"/>
      <c r="D2066" s="31"/>
      <c r="E2066" s="31"/>
      <c r="F2066" s="31"/>
      <c r="G2066" s="31"/>
    </row>
    <row r="2067" spans="1:7" x14ac:dyDescent="0.3">
      <c r="A2067" s="131" t="s">
        <v>3226</v>
      </c>
      <c r="B2067" s="130">
        <v>22</v>
      </c>
      <c r="C2067" s="31"/>
      <c r="D2067" s="31"/>
      <c r="E2067" s="31"/>
      <c r="F2067" s="31"/>
      <c r="G2067" s="31"/>
    </row>
    <row r="2068" spans="1:7" x14ac:dyDescent="0.3">
      <c r="A2068" s="131" t="s">
        <v>3227</v>
      </c>
      <c r="B2068" s="130" t="s">
        <v>1163</v>
      </c>
      <c r="C2068" s="31"/>
      <c r="D2068" s="31"/>
      <c r="E2068" s="31"/>
      <c r="F2068" s="31"/>
      <c r="G2068" s="31"/>
    </row>
    <row r="2069" spans="1:7" x14ac:dyDescent="0.3">
      <c r="A2069" s="131" t="s">
        <v>3228</v>
      </c>
      <c r="B2069" s="130">
        <v>0</v>
      </c>
      <c r="C2069" s="31"/>
      <c r="D2069" s="31"/>
      <c r="E2069" s="31"/>
      <c r="F2069" s="31"/>
      <c r="G2069" s="31"/>
    </row>
    <row r="2070" spans="1:7" x14ac:dyDescent="0.3">
      <c r="A2070" s="131" t="s">
        <v>3229</v>
      </c>
      <c r="B2070" s="130">
        <v>13</v>
      </c>
      <c r="C2070" s="31"/>
      <c r="D2070" s="31"/>
      <c r="E2070" s="31"/>
      <c r="F2070" s="31"/>
      <c r="G2070" s="31"/>
    </row>
    <row r="2071" spans="1:7" x14ac:dyDescent="0.3">
      <c r="A2071" s="131" t="s">
        <v>3230</v>
      </c>
      <c r="B2071" s="130" t="s">
        <v>1163</v>
      </c>
      <c r="C2071" s="31"/>
      <c r="D2071" s="31"/>
      <c r="E2071" s="31"/>
      <c r="F2071" s="31"/>
      <c r="G2071" s="31"/>
    </row>
    <row r="2072" spans="1:7" x14ac:dyDescent="0.3">
      <c r="A2072" s="131" t="s">
        <v>3231</v>
      </c>
      <c r="B2072" s="130">
        <v>0</v>
      </c>
      <c r="C2072" s="31"/>
      <c r="D2072" s="31"/>
      <c r="E2072" s="31"/>
      <c r="F2072" s="31"/>
      <c r="G2072" s="31"/>
    </row>
    <row r="2073" spans="1:7" x14ac:dyDescent="0.3">
      <c r="A2073" s="131" t="s">
        <v>3232</v>
      </c>
      <c r="B2073" s="130">
        <v>92</v>
      </c>
      <c r="C2073" s="31"/>
      <c r="D2073" s="31"/>
      <c r="E2073" s="31"/>
      <c r="F2073" s="31"/>
      <c r="G2073" s="31"/>
    </row>
    <row r="2074" spans="1:7" x14ac:dyDescent="0.3">
      <c r="A2074" s="131" t="s">
        <v>3233</v>
      </c>
      <c r="B2074" s="130">
        <v>0</v>
      </c>
      <c r="C2074" s="31"/>
      <c r="D2074" s="31"/>
      <c r="E2074" s="31"/>
      <c r="F2074" s="31"/>
      <c r="G2074" s="31"/>
    </row>
    <row r="2075" spans="1:7" x14ac:dyDescent="0.3">
      <c r="A2075" s="131" t="s">
        <v>3234</v>
      </c>
      <c r="B2075" s="130">
        <v>0</v>
      </c>
      <c r="C2075" s="31"/>
      <c r="D2075" s="31"/>
      <c r="E2075" s="31"/>
      <c r="F2075" s="31"/>
      <c r="G2075" s="31"/>
    </row>
    <row r="2076" spans="1:7" x14ac:dyDescent="0.3">
      <c r="A2076" s="131" t="s">
        <v>3235</v>
      </c>
      <c r="B2076" s="130">
        <v>0</v>
      </c>
      <c r="C2076" s="31"/>
      <c r="D2076" s="31"/>
      <c r="E2076" s="31"/>
      <c r="F2076" s="31"/>
      <c r="G2076" s="31"/>
    </row>
    <row r="2077" spans="1:7" x14ac:dyDescent="0.3">
      <c r="A2077" s="131" t="s">
        <v>3236</v>
      </c>
      <c r="B2077" s="130">
        <v>0</v>
      </c>
      <c r="C2077" s="31"/>
      <c r="D2077" s="31"/>
      <c r="E2077" s="31"/>
      <c r="F2077" s="31"/>
      <c r="G2077" s="31"/>
    </row>
    <row r="2078" spans="1:7" x14ac:dyDescent="0.3">
      <c r="A2078" s="131" t="s">
        <v>3237</v>
      </c>
      <c r="B2078" s="130">
        <v>0</v>
      </c>
      <c r="C2078" s="31"/>
      <c r="D2078" s="31"/>
      <c r="E2078" s="31"/>
      <c r="F2078" s="31"/>
      <c r="G2078" s="31"/>
    </row>
    <row r="2079" spans="1:7" x14ac:dyDescent="0.3">
      <c r="A2079" s="131" t="s">
        <v>3238</v>
      </c>
      <c r="B2079" s="130">
        <v>0</v>
      </c>
      <c r="C2079" s="31"/>
      <c r="D2079" s="31"/>
      <c r="E2079" s="31"/>
      <c r="F2079" s="31"/>
      <c r="G2079" s="31"/>
    </row>
    <row r="2080" spans="1:7" x14ac:dyDescent="0.3">
      <c r="A2080" s="131" t="s">
        <v>3239</v>
      </c>
      <c r="B2080" s="130">
        <v>0</v>
      </c>
      <c r="C2080" s="31"/>
      <c r="D2080" s="31"/>
      <c r="E2080" s="31"/>
      <c r="F2080" s="31"/>
      <c r="G2080" s="31"/>
    </row>
    <row r="2081" spans="1:7" x14ac:dyDescent="0.3">
      <c r="A2081" s="131" t="s">
        <v>3240</v>
      </c>
      <c r="B2081" s="130">
        <v>0</v>
      </c>
      <c r="C2081" s="31"/>
      <c r="D2081" s="31"/>
      <c r="E2081" s="31"/>
      <c r="F2081" s="31"/>
      <c r="G2081" s="31"/>
    </row>
    <row r="2082" spans="1:7" x14ac:dyDescent="0.3">
      <c r="A2082" s="131" t="s">
        <v>3241</v>
      </c>
      <c r="B2082" s="130" t="s">
        <v>1163</v>
      </c>
      <c r="C2082" s="31"/>
      <c r="D2082" s="31"/>
      <c r="E2082" s="31"/>
      <c r="F2082" s="31"/>
      <c r="G2082" s="31"/>
    </row>
    <row r="2083" spans="1:7" x14ac:dyDescent="0.3">
      <c r="A2083" s="131" t="s">
        <v>3242</v>
      </c>
      <c r="B2083" s="130">
        <v>0</v>
      </c>
      <c r="C2083" s="31"/>
      <c r="D2083" s="31"/>
      <c r="E2083" s="31"/>
      <c r="F2083" s="31"/>
      <c r="G2083" s="31"/>
    </row>
    <row r="2084" spans="1:7" x14ac:dyDescent="0.3">
      <c r="A2084" s="131" t="s">
        <v>3243</v>
      </c>
      <c r="B2084" s="130">
        <v>72</v>
      </c>
      <c r="C2084" s="31"/>
      <c r="D2084" s="31"/>
      <c r="E2084" s="31"/>
      <c r="F2084" s="31"/>
      <c r="G2084" s="31"/>
    </row>
    <row r="2085" spans="1:7" x14ac:dyDescent="0.3">
      <c r="A2085" s="131" t="s">
        <v>3244</v>
      </c>
      <c r="B2085" s="130">
        <v>84</v>
      </c>
      <c r="C2085" s="31"/>
      <c r="D2085" s="31"/>
      <c r="E2085" s="31"/>
      <c r="F2085" s="31"/>
      <c r="G2085" s="31"/>
    </row>
    <row r="2086" spans="1:7" x14ac:dyDescent="0.3">
      <c r="A2086" s="131" t="s">
        <v>3245</v>
      </c>
      <c r="B2086" s="130">
        <v>0</v>
      </c>
      <c r="C2086" s="31"/>
      <c r="D2086" s="31"/>
      <c r="E2086" s="31"/>
      <c r="F2086" s="31"/>
      <c r="G2086" s="31"/>
    </row>
    <row r="2087" spans="1:7" x14ac:dyDescent="0.3">
      <c r="A2087" s="131" t="s">
        <v>3246</v>
      </c>
      <c r="B2087" s="130">
        <v>0</v>
      </c>
      <c r="C2087" s="31"/>
      <c r="D2087" s="31"/>
      <c r="E2087" s="31"/>
      <c r="F2087" s="31"/>
      <c r="G2087" s="31"/>
    </row>
    <row r="2088" spans="1:7" x14ac:dyDescent="0.3">
      <c r="A2088" s="131" t="s">
        <v>3247</v>
      </c>
      <c r="B2088" s="130">
        <v>0</v>
      </c>
      <c r="C2088" s="31"/>
      <c r="D2088" s="31"/>
      <c r="E2088" s="31"/>
      <c r="F2088" s="31"/>
      <c r="G2088" s="31"/>
    </row>
    <row r="2089" spans="1:7" x14ac:dyDescent="0.3">
      <c r="A2089" s="131" t="s">
        <v>3248</v>
      </c>
      <c r="B2089" s="130">
        <v>0</v>
      </c>
      <c r="C2089" s="31"/>
      <c r="D2089" s="31"/>
      <c r="E2089" s="31"/>
      <c r="F2089" s="31"/>
      <c r="G2089" s="31"/>
    </row>
    <row r="2090" spans="1:7" x14ac:dyDescent="0.3">
      <c r="A2090" s="131" t="s">
        <v>3249</v>
      </c>
      <c r="B2090" s="130" t="s">
        <v>1163</v>
      </c>
      <c r="C2090" s="31"/>
      <c r="D2090" s="31"/>
      <c r="E2090" s="31"/>
      <c r="F2090" s="31"/>
      <c r="G2090" s="31"/>
    </row>
    <row r="2091" spans="1:7" x14ac:dyDescent="0.3">
      <c r="A2091" s="131" t="s">
        <v>3250</v>
      </c>
      <c r="B2091" s="130" t="s">
        <v>1163</v>
      </c>
      <c r="C2091" s="31"/>
      <c r="D2091" s="31"/>
      <c r="E2091" s="31"/>
      <c r="F2091" s="31"/>
      <c r="G2091" s="31"/>
    </row>
    <row r="2092" spans="1:7" x14ac:dyDescent="0.3">
      <c r="A2092" s="131" t="s">
        <v>3251</v>
      </c>
      <c r="B2092" s="130">
        <v>0</v>
      </c>
      <c r="C2092" s="31"/>
      <c r="D2092" s="31"/>
      <c r="E2092" s="31"/>
      <c r="F2092" s="31"/>
      <c r="G2092" s="31"/>
    </row>
    <row r="2093" spans="1:7" x14ac:dyDescent="0.3">
      <c r="A2093" s="131" t="s">
        <v>3252</v>
      </c>
      <c r="B2093" s="130" t="s">
        <v>1163</v>
      </c>
      <c r="C2093" s="31"/>
      <c r="D2093" s="31"/>
      <c r="E2093" s="31"/>
      <c r="F2093" s="31"/>
      <c r="G2093" s="31"/>
    </row>
    <row r="2094" spans="1:7" x14ac:dyDescent="0.3">
      <c r="A2094" s="131" t="s">
        <v>3253</v>
      </c>
      <c r="B2094" s="130">
        <v>0</v>
      </c>
      <c r="C2094" s="31"/>
      <c r="D2094" s="31"/>
      <c r="E2094" s="31"/>
      <c r="F2094" s="31"/>
      <c r="G2094" s="31"/>
    </row>
    <row r="2095" spans="1:7" x14ac:dyDescent="0.3">
      <c r="A2095" s="131" t="s">
        <v>3254</v>
      </c>
      <c r="B2095" s="130">
        <v>0</v>
      </c>
      <c r="C2095" s="31"/>
      <c r="D2095" s="31"/>
      <c r="E2095" s="31"/>
      <c r="F2095" s="31"/>
      <c r="G2095" s="31"/>
    </row>
    <row r="2096" spans="1:7" x14ac:dyDescent="0.3">
      <c r="A2096" s="131" t="s">
        <v>3255</v>
      </c>
      <c r="B2096" s="130">
        <v>107</v>
      </c>
      <c r="C2096" s="31"/>
      <c r="D2096" s="31"/>
      <c r="E2096" s="31"/>
      <c r="F2096" s="31"/>
      <c r="G2096" s="31"/>
    </row>
    <row r="2097" spans="1:7" x14ac:dyDescent="0.3">
      <c r="A2097" s="131" t="s">
        <v>3256</v>
      </c>
      <c r="B2097" s="130">
        <v>0</v>
      </c>
      <c r="C2097" s="31"/>
      <c r="D2097" s="31"/>
      <c r="E2097" s="31"/>
      <c r="F2097" s="31"/>
      <c r="G2097" s="31"/>
    </row>
    <row r="2098" spans="1:7" x14ac:dyDescent="0.3">
      <c r="A2098" s="131" t="s">
        <v>3257</v>
      </c>
      <c r="B2098" s="130" t="s">
        <v>1163</v>
      </c>
      <c r="C2098" s="31"/>
      <c r="D2098" s="31"/>
      <c r="E2098" s="31"/>
      <c r="F2098" s="31"/>
      <c r="G2098" s="31"/>
    </row>
    <row r="2099" spans="1:7" x14ac:dyDescent="0.3">
      <c r="A2099" s="131" t="s">
        <v>3258</v>
      </c>
      <c r="B2099" s="130" t="s">
        <v>1163</v>
      </c>
      <c r="C2099" s="31"/>
      <c r="D2099" s="31"/>
      <c r="E2099" s="31"/>
      <c r="F2099" s="31"/>
      <c r="G2099" s="31"/>
    </row>
    <row r="2100" spans="1:7" x14ac:dyDescent="0.3">
      <c r="A2100" s="131" t="s">
        <v>3259</v>
      </c>
      <c r="B2100" s="130">
        <v>0</v>
      </c>
      <c r="C2100" s="31"/>
      <c r="D2100" s="31"/>
      <c r="E2100" s="31"/>
      <c r="F2100" s="31"/>
      <c r="G2100" s="31"/>
    </row>
    <row r="2101" spans="1:7" x14ac:dyDescent="0.3">
      <c r="A2101" s="131" t="s">
        <v>3260</v>
      </c>
      <c r="B2101" s="130">
        <v>0</v>
      </c>
      <c r="C2101" s="31"/>
      <c r="D2101" s="31"/>
      <c r="E2101" s="31"/>
      <c r="F2101" s="31"/>
      <c r="G2101" s="31"/>
    </row>
    <row r="2102" spans="1:7" x14ac:dyDescent="0.3">
      <c r="A2102" s="131" t="s">
        <v>3261</v>
      </c>
      <c r="B2102" s="130" t="s">
        <v>1163</v>
      </c>
      <c r="C2102" s="31"/>
      <c r="D2102" s="31"/>
      <c r="E2102" s="31"/>
      <c r="F2102" s="31"/>
      <c r="G2102" s="31"/>
    </row>
    <row r="2103" spans="1:7" x14ac:dyDescent="0.3">
      <c r="A2103" s="131" t="s">
        <v>3262</v>
      </c>
      <c r="B2103" s="130">
        <v>0</v>
      </c>
      <c r="C2103" s="31"/>
      <c r="D2103" s="31"/>
      <c r="E2103" s="31"/>
      <c r="F2103" s="31"/>
      <c r="G2103" s="31"/>
    </row>
    <row r="2104" spans="1:7" x14ac:dyDescent="0.3">
      <c r="A2104" s="131" t="s">
        <v>3263</v>
      </c>
      <c r="B2104" s="130" t="s">
        <v>1163</v>
      </c>
      <c r="C2104" s="31"/>
      <c r="D2104" s="31"/>
      <c r="E2104" s="31"/>
      <c r="F2104" s="31"/>
      <c r="G2104" s="31"/>
    </row>
    <row r="2105" spans="1:7" x14ac:dyDescent="0.3">
      <c r="A2105" s="131" t="s">
        <v>3264</v>
      </c>
      <c r="B2105" s="130">
        <v>0</v>
      </c>
      <c r="C2105" s="31"/>
      <c r="D2105" s="31"/>
      <c r="E2105" s="31"/>
      <c r="F2105" s="31"/>
      <c r="G2105" s="31"/>
    </row>
    <row r="2106" spans="1:7" x14ac:dyDescent="0.3">
      <c r="A2106" s="131" t="s">
        <v>3265</v>
      </c>
      <c r="B2106" s="130">
        <v>71</v>
      </c>
      <c r="C2106" s="31"/>
      <c r="D2106" s="31"/>
      <c r="E2106" s="31"/>
      <c r="F2106" s="31"/>
      <c r="G2106" s="31"/>
    </row>
    <row r="2107" spans="1:7" x14ac:dyDescent="0.3">
      <c r="A2107" s="131" t="s">
        <v>3266</v>
      </c>
      <c r="B2107" s="130">
        <v>0</v>
      </c>
      <c r="C2107" s="31"/>
      <c r="D2107" s="31"/>
      <c r="E2107" s="31"/>
      <c r="F2107" s="31"/>
      <c r="G2107" s="31"/>
    </row>
    <row r="2108" spans="1:7" x14ac:dyDescent="0.3">
      <c r="A2108" s="131" t="s">
        <v>3267</v>
      </c>
      <c r="B2108" s="130">
        <v>0</v>
      </c>
      <c r="C2108" s="31"/>
      <c r="D2108" s="31"/>
      <c r="E2108" s="31"/>
      <c r="F2108" s="31"/>
      <c r="G2108" s="31"/>
    </row>
    <row r="2109" spans="1:7" x14ac:dyDescent="0.3">
      <c r="A2109" s="131" t="s">
        <v>3268</v>
      </c>
      <c r="B2109" s="130">
        <v>0</v>
      </c>
      <c r="C2109" s="31"/>
      <c r="D2109" s="31"/>
      <c r="E2109" s="31"/>
      <c r="F2109" s="31"/>
      <c r="G2109" s="31"/>
    </row>
    <row r="2110" spans="1:7" x14ac:dyDescent="0.3">
      <c r="A2110" s="131" t="s">
        <v>3269</v>
      </c>
      <c r="B2110" s="130">
        <v>0</v>
      </c>
      <c r="C2110" s="31"/>
      <c r="D2110" s="31"/>
      <c r="E2110" s="31"/>
      <c r="F2110" s="31"/>
      <c r="G2110" s="31"/>
    </row>
    <row r="2111" spans="1:7" x14ac:dyDescent="0.3">
      <c r="A2111" s="131" t="s">
        <v>3270</v>
      </c>
      <c r="B2111" s="130">
        <v>0</v>
      </c>
      <c r="C2111" s="31"/>
      <c r="D2111" s="31"/>
      <c r="E2111" s="31"/>
      <c r="F2111" s="31"/>
      <c r="G2111" s="31"/>
    </row>
    <row r="2112" spans="1:7" x14ac:dyDescent="0.3">
      <c r="A2112" s="131" t="s">
        <v>3271</v>
      </c>
      <c r="B2112" s="130">
        <v>0</v>
      </c>
      <c r="C2112" s="31"/>
      <c r="D2112" s="31"/>
      <c r="E2112" s="31"/>
      <c r="F2112" s="31"/>
      <c r="G2112" s="31"/>
    </row>
    <row r="2113" spans="1:7" x14ac:dyDescent="0.3">
      <c r="A2113" s="131" t="s">
        <v>3272</v>
      </c>
      <c r="B2113" s="130">
        <v>0</v>
      </c>
      <c r="C2113" s="31"/>
      <c r="D2113" s="31"/>
      <c r="E2113" s="31"/>
      <c r="F2113" s="31"/>
      <c r="G2113" s="31"/>
    </row>
    <row r="2114" spans="1:7" x14ac:dyDescent="0.3">
      <c r="A2114" s="131" t="s">
        <v>3273</v>
      </c>
      <c r="B2114" s="130">
        <v>0</v>
      </c>
      <c r="C2114" s="31"/>
      <c r="D2114" s="31"/>
      <c r="E2114" s="31"/>
      <c r="F2114" s="31"/>
      <c r="G2114" s="31"/>
    </row>
    <row r="2115" spans="1:7" x14ac:dyDescent="0.3">
      <c r="A2115" s="131" t="s">
        <v>3274</v>
      </c>
      <c r="B2115" s="130">
        <v>0</v>
      </c>
      <c r="C2115" s="31"/>
      <c r="D2115" s="31"/>
      <c r="E2115" s="31"/>
      <c r="F2115" s="31"/>
      <c r="G2115" s="31"/>
    </row>
    <row r="2116" spans="1:7" x14ac:dyDescent="0.3">
      <c r="A2116" s="131" t="s">
        <v>3275</v>
      </c>
      <c r="B2116" s="130">
        <v>16</v>
      </c>
      <c r="C2116" s="31"/>
      <c r="D2116" s="31"/>
      <c r="E2116" s="31"/>
      <c r="F2116" s="31"/>
      <c r="G2116" s="31"/>
    </row>
    <row r="2117" spans="1:7" x14ac:dyDescent="0.3">
      <c r="A2117" s="131" t="s">
        <v>3276</v>
      </c>
      <c r="B2117" s="130">
        <v>0</v>
      </c>
      <c r="C2117" s="31"/>
      <c r="D2117" s="31"/>
      <c r="E2117" s="31"/>
      <c r="F2117" s="31"/>
      <c r="G2117" s="31"/>
    </row>
    <row r="2118" spans="1:7" x14ac:dyDescent="0.3">
      <c r="A2118" s="131" t="s">
        <v>3277</v>
      </c>
      <c r="B2118" s="130">
        <v>65</v>
      </c>
      <c r="C2118" s="31"/>
      <c r="D2118" s="31"/>
      <c r="E2118" s="31"/>
      <c r="F2118" s="31"/>
      <c r="G2118" s="31"/>
    </row>
    <row r="2119" spans="1:7" x14ac:dyDescent="0.3">
      <c r="A2119" s="131" t="s">
        <v>3278</v>
      </c>
      <c r="B2119" s="130">
        <v>215</v>
      </c>
      <c r="C2119" s="31"/>
      <c r="D2119" s="31"/>
      <c r="E2119" s="31"/>
      <c r="F2119" s="31"/>
      <c r="G2119" s="31"/>
    </row>
    <row r="2120" spans="1:7" x14ac:dyDescent="0.3">
      <c r="A2120" s="131" t="s">
        <v>3279</v>
      </c>
      <c r="B2120" s="130">
        <v>216</v>
      </c>
      <c r="C2120" s="31"/>
      <c r="D2120" s="31"/>
      <c r="E2120" s="31"/>
      <c r="F2120" s="31"/>
      <c r="G2120" s="31"/>
    </row>
    <row r="2121" spans="1:7" x14ac:dyDescent="0.3">
      <c r="A2121" s="131" t="s">
        <v>3280</v>
      </c>
      <c r="B2121" s="130">
        <v>209</v>
      </c>
      <c r="C2121" s="31"/>
      <c r="D2121" s="31"/>
      <c r="E2121" s="31"/>
      <c r="F2121" s="31"/>
      <c r="G2121" s="31"/>
    </row>
    <row r="2122" spans="1:7" x14ac:dyDescent="0.3">
      <c r="A2122" s="131" t="s">
        <v>3281</v>
      </c>
      <c r="B2122" s="130">
        <v>116</v>
      </c>
      <c r="C2122" s="31"/>
      <c r="D2122" s="31"/>
      <c r="E2122" s="31"/>
      <c r="F2122" s="31"/>
      <c r="G2122" s="31"/>
    </row>
    <row r="2123" spans="1:7" x14ac:dyDescent="0.3">
      <c r="A2123" s="131" t="s">
        <v>3282</v>
      </c>
      <c r="B2123" s="130">
        <v>93</v>
      </c>
      <c r="C2123" s="31"/>
      <c r="D2123" s="31"/>
      <c r="E2123" s="31"/>
      <c r="F2123" s="31"/>
      <c r="G2123" s="31"/>
    </row>
    <row r="2124" spans="1:7" x14ac:dyDescent="0.3">
      <c r="A2124" s="131" t="s">
        <v>3283</v>
      </c>
      <c r="B2124" s="130">
        <v>126</v>
      </c>
      <c r="C2124" s="31"/>
      <c r="D2124" s="31"/>
      <c r="E2124" s="31"/>
      <c r="F2124" s="31"/>
      <c r="G2124" s="31"/>
    </row>
    <row r="2125" spans="1:7" x14ac:dyDescent="0.3">
      <c r="A2125" s="131" t="s">
        <v>3284</v>
      </c>
      <c r="B2125" s="130">
        <v>42</v>
      </c>
      <c r="C2125" s="31"/>
      <c r="D2125" s="31"/>
      <c r="E2125" s="31"/>
      <c r="F2125" s="31"/>
      <c r="G2125" s="31"/>
    </row>
    <row r="2126" spans="1:7" x14ac:dyDescent="0.3">
      <c r="A2126" s="131" t="s">
        <v>3285</v>
      </c>
      <c r="B2126" s="130">
        <v>0</v>
      </c>
      <c r="C2126" s="31"/>
      <c r="D2126" s="31"/>
      <c r="E2126" s="31"/>
      <c r="F2126" s="31"/>
      <c r="G2126" s="31"/>
    </row>
    <row r="2127" spans="1:7" x14ac:dyDescent="0.3">
      <c r="A2127" s="131" t="s">
        <v>3286</v>
      </c>
      <c r="B2127" s="130">
        <v>0</v>
      </c>
      <c r="C2127" s="31"/>
      <c r="D2127" s="31"/>
      <c r="E2127" s="31"/>
      <c r="F2127" s="31"/>
      <c r="G2127" s="31"/>
    </row>
    <row r="2128" spans="1:7" x14ac:dyDescent="0.3">
      <c r="A2128" s="131" t="s">
        <v>3287</v>
      </c>
      <c r="B2128" s="130">
        <v>416</v>
      </c>
      <c r="C2128" s="31"/>
      <c r="D2128" s="31"/>
      <c r="E2128" s="31"/>
      <c r="F2128" s="31"/>
      <c r="G2128" s="31"/>
    </row>
    <row r="2129" spans="1:7" x14ac:dyDescent="0.3">
      <c r="A2129" s="131" t="s">
        <v>3288</v>
      </c>
      <c r="B2129" s="130">
        <v>200</v>
      </c>
      <c r="C2129" s="31"/>
      <c r="D2129" s="31"/>
      <c r="E2129" s="31"/>
      <c r="F2129" s="31"/>
      <c r="G2129" s="31"/>
    </row>
    <row r="2130" spans="1:7" x14ac:dyDescent="0.3">
      <c r="A2130" s="131" t="s">
        <v>3289</v>
      </c>
      <c r="B2130" s="130">
        <v>77</v>
      </c>
      <c r="C2130" s="31"/>
      <c r="D2130" s="31"/>
      <c r="E2130" s="31"/>
      <c r="F2130" s="31"/>
      <c r="G2130" s="31"/>
    </row>
    <row r="2131" spans="1:7" x14ac:dyDescent="0.3">
      <c r="A2131" s="131" t="s">
        <v>3290</v>
      </c>
      <c r="B2131" s="130">
        <v>104</v>
      </c>
      <c r="C2131" s="31"/>
      <c r="D2131" s="31"/>
      <c r="E2131" s="31"/>
      <c r="F2131" s="31"/>
      <c r="G2131" s="31"/>
    </row>
    <row r="2132" spans="1:7" x14ac:dyDescent="0.3">
      <c r="A2132" s="131" t="s">
        <v>3291</v>
      </c>
      <c r="B2132" s="130">
        <v>79</v>
      </c>
      <c r="C2132" s="31"/>
      <c r="D2132" s="31"/>
      <c r="E2132" s="31"/>
      <c r="F2132" s="31"/>
      <c r="G2132" s="31"/>
    </row>
    <row r="2133" spans="1:7" x14ac:dyDescent="0.3">
      <c r="A2133" s="131" t="s">
        <v>3292</v>
      </c>
      <c r="B2133" s="130">
        <v>35</v>
      </c>
      <c r="C2133" s="31"/>
      <c r="D2133" s="31"/>
      <c r="E2133" s="31"/>
      <c r="F2133" s="31"/>
      <c r="G2133" s="31"/>
    </row>
    <row r="2134" spans="1:7" x14ac:dyDescent="0.3">
      <c r="A2134" s="131" t="s">
        <v>3293</v>
      </c>
      <c r="B2134" s="130">
        <v>40</v>
      </c>
      <c r="C2134" s="31"/>
      <c r="D2134" s="31"/>
      <c r="E2134" s="31"/>
      <c r="F2134" s="31"/>
      <c r="G2134" s="31"/>
    </row>
    <row r="2135" spans="1:7" x14ac:dyDescent="0.3">
      <c r="A2135" s="131" t="s">
        <v>3294</v>
      </c>
      <c r="B2135" s="130">
        <v>28</v>
      </c>
      <c r="C2135" s="31"/>
      <c r="D2135" s="31"/>
      <c r="E2135" s="31"/>
      <c r="F2135" s="31"/>
      <c r="G2135" s="31"/>
    </row>
    <row r="2136" spans="1:7" x14ac:dyDescent="0.3">
      <c r="A2136" s="131" t="s">
        <v>3295</v>
      </c>
      <c r="B2136" s="130">
        <v>86</v>
      </c>
      <c r="C2136" s="31"/>
      <c r="D2136" s="31"/>
      <c r="E2136" s="31"/>
      <c r="F2136" s="31"/>
      <c r="G2136" s="31"/>
    </row>
    <row r="2137" spans="1:7" x14ac:dyDescent="0.3">
      <c r="A2137" s="131" t="s">
        <v>3296</v>
      </c>
      <c r="B2137" s="130">
        <v>124</v>
      </c>
      <c r="C2137" s="31"/>
      <c r="D2137" s="31"/>
      <c r="E2137" s="31"/>
      <c r="F2137" s="31"/>
      <c r="G2137" s="31"/>
    </row>
    <row r="2138" spans="1:7" x14ac:dyDescent="0.3">
      <c r="A2138" s="131" t="s">
        <v>3297</v>
      </c>
      <c r="B2138" s="130">
        <v>545</v>
      </c>
      <c r="C2138" s="31"/>
      <c r="D2138" s="31"/>
      <c r="E2138" s="31"/>
      <c r="F2138" s="31"/>
      <c r="G2138" s="31"/>
    </row>
    <row r="2139" spans="1:7" x14ac:dyDescent="0.3">
      <c r="A2139" s="131" t="s">
        <v>3298</v>
      </c>
      <c r="B2139" s="130">
        <v>161</v>
      </c>
      <c r="C2139" s="31"/>
      <c r="D2139" s="31"/>
      <c r="E2139" s="31"/>
      <c r="F2139" s="31"/>
      <c r="G2139" s="31"/>
    </row>
    <row r="2140" spans="1:7" x14ac:dyDescent="0.3">
      <c r="A2140" s="131" t="s">
        <v>3299</v>
      </c>
      <c r="B2140" s="130">
        <v>101</v>
      </c>
      <c r="C2140" s="31"/>
      <c r="D2140" s="31"/>
      <c r="E2140" s="31"/>
      <c r="F2140" s="31"/>
      <c r="G2140" s="31"/>
    </row>
    <row r="2141" spans="1:7" x14ac:dyDescent="0.3">
      <c r="A2141" s="131" t="s">
        <v>3300</v>
      </c>
      <c r="B2141" s="130">
        <v>125</v>
      </c>
      <c r="C2141" s="31"/>
      <c r="D2141" s="31"/>
      <c r="E2141" s="31"/>
      <c r="F2141" s="31"/>
      <c r="G2141" s="31"/>
    </row>
    <row r="2142" spans="1:7" x14ac:dyDescent="0.3">
      <c r="A2142" s="131" t="s">
        <v>3301</v>
      </c>
      <c r="B2142" s="130">
        <v>97</v>
      </c>
      <c r="C2142" s="31"/>
      <c r="D2142" s="31"/>
      <c r="E2142" s="31"/>
      <c r="F2142" s="31"/>
      <c r="G2142" s="31"/>
    </row>
    <row r="2143" spans="1:7" x14ac:dyDescent="0.3">
      <c r="A2143" s="131" t="s">
        <v>3302</v>
      </c>
      <c r="B2143" s="130">
        <v>80</v>
      </c>
      <c r="C2143" s="31"/>
      <c r="D2143" s="31"/>
      <c r="E2143" s="31"/>
      <c r="F2143" s="31"/>
      <c r="G2143" s="31"/>
    </row>
    <row r="2144" spans="1:7" x14ac:dyDescent="0.3">
      <c r="A2144" s="131" t="s">
        <v>3303</v>
      </c>
      <c r="B2144" s="130">
        <v>77</v>
      </c>
      <c r="C2144" s="31"/>
      <c r="D2144" s="31"/>
      <c r="E2144" s="31"/>
      <c r="F2144" s="31"/>
      <c r="G2144" s="31"/>
    </row>
    <row r="2145" spans="1:7" x14ac:dyDescent="0.3">
      <c r="A2145" s="131" t="s">
        <v>3304</v>
      </c>
      <c r="B2145" s="130">
        <v>45</v>
      </c>
      <c r="C2145" s="31"/>
      <c r="D2145" s="31"/>
      <c r="E2145" s="31"/>
      <c r="F2145" s="31"/>
      <c r="G2145" s="31"/>
    </row>
    <row r="2146" spans="1:7" x14ac:dyDescent="0.3">
      <c r="A2146" s="131" t="s">
        <v>3305</v>
      </c>
      <c r="B2146" s="130">
        <v>0</v>
      </c>
      <c r="C2146" s="31"/>
      <c r="D2146" s="31"/>
      <c r="E2146" s="31"/>
      <c r="F2146" s="31"/>
      <c r="G2146" s="31"/>
    </row>
    <row r="2147" spans="1:7" x14ac:dyDescent="0.3">
      <c r="A2147" s="131" t="s">
        <v>3306</v>
      </c>
      <c r="B2147" s="130">
        <v>27</v>
      </c>
      <c r="C2147" s="31"/>
      <c r="D2147" s="31"/>
      <c r="E2147" s="31"/>
      <c r="F2147" s="31"/>
      <c r="G2147" s="31"/>
    </row>
    <row r="2148" spans="1:7" x14ac:dyDescent="0.3">
      <c r="A2148" s="131" t="s">
        <v>3307</v>
      </c>
      <c r="B2148" s="130">
        <v>61</v>
      </c>
      <c r="C2148" s="31"/>
      <c r="D2148" s="31"/>
      <c r="E2148" s="31"/>
      <c r="F2148" s="31"/>
      <c r="G2148" s="31"/>
    </row>
    <row r="2149" spans="1:7" x14ac:dyDescent="0.3">
      <c r="A2149" s="131" t="s">
        <v>3308</v>
      </c>
      <c r="B2149" s="130">
        <v>61</v>
      </c>
      <c r="C2149" s="31"/>
      <c r="D2149" s="31"/>
      <c r="E2149" s="31"/>
      <c r="F2149" s="31"/>
      <c r="G2149" s="31"/>
    </row>
    <row r="2150" spans="1:7" x14ac:dyDescent="0.3">
      <c r="A2150" s="131" t="s">
        <v>3309</v>
      </c>
      <c r="B2150" s="130">
        <v>87</v>
      </c>
      <c r="C2150" s="31"/>
      <c r="D2150" s="31"/>
      <c r="E2150" s="31"/>
      <c r="F2150" s="31"/>
      <c r="G2150" s="31"/>
    </row>
    <row r="2151" spans="1:7" x14ac:dyDescent="0.3">
      <c r="A2151" s="131" t="s">
        <v>3310</v>
      </c>
      <c r="B2151" s="130">
        <v>28</v>
      </c>
      <c r="C2151" s="31"/>
      <c r="D2151" s="31"/>
      <c r="E2151" s="31"/>
      <c r="F2151" s="31"/>
      <c r="G2151" s="31"/>
    </row>
    <row r="2152" spans="1:7" x14ac:dyDescent="0.3">
      <c r="A2152" s="131" t="s">
        <v>3311</v>
      </c>
      <c r="B2152" s="130">
        <v>336</v>
      </c>
      <c r="C2152" s="31"/>
      <c r="D2152" s="31"/>
      <c r="E2152" s="31"/>
      <c r="F2152" s="31"/>
      <c r="G2152" s="31"/>
    </row>
    <row r="2153" spans="1:7" x14ac:dyDescent="0.3">
      <c r="A2153" s="131" t="s">
        <v>3312</v>
      </c>
      <c r="B2153" s="130">
        <v>325</v>
      </c>
      <c r="C2153" s="31"/>
      <c r="D2153" s="31"/>
      <c r="E2153" s="31"/>
      <c r="F2153" s="31"/>
      <c r="G2153" s="31"/>
    </row>
    <row r="2154" spans="1:7" x14ac:dyDescent="0.3">
      <c r="A2154" s="131" t="s">
        <v>3313</v>
      </c>
      <c r="B2154" s="130">
        <v>246</v>
      </c>
      <c r="C2154" s="31"/>
      <c r="D2154" s="31"/>
      <c r="E2154" s="31"/>
      <c r="F2154" s="31"/>
      <c r="G2154" s="31"/>
    </row>
    <row r="2155" spans="1:7" x14ac:dyDescent="0.3">
      <c r="A2155" s="131" t="s">
        <v>3314</v>
      </c>
      <c r="B2155" s="130">
        <v>343</v>
      </c>
      <c r="C2155" s="31"/>
      <c r="D2155" s="31"/>
      <c r="E2155" s="31"/>
      <c r="F2155" s="31"/>
      <c r="G2155" s="31"/>
    </row>
    <row r="2156" spans="1:7" x14ac:dyDescent="0.3">
      <c r="A2156" s="131" t="s">
        <v>3315</v>
      </c>
      <c r="B2156" s="130">
        <v>0</v>
      </c>
      <c r="C2156" s="31"/>
      <c r="D2156" s="31"/>
      <c r="E2156" s="31"/>
      <c r="F2156" s="31"/>
      <c r="G2156" s="31"/>
    </row>
    <row r="2157" spans="1:7" x14ac:dyDescent="0.3">
      <c r="A2157" s="131" t="s">
        <v>3316</v>
      </c>
      <c r="B2157" s="130">
        <v>233</v>
      </c>
      <c r="C2157" s="31"/>
      <c r="D2157" s="31"/>
      <c r="E2157" s="31"/>
      <c r="F2157" s="31"/>
      <c r="G2157" s="31"/>
    </row>
    <row r="2158" spans="1:7" x14ac:dyDescent="0.3">
      <c r="A2158" s="131" t="s">
        <v>3317</v>
      </c>
      <c r="B2158" s="130">
        <v>69</v>
      </c>
      <c r="C2158" s="31"/>
      <c r="D2158" s="31"/>
      <c r="E2158" s="31"/>
      <c r="F2158" s="31"/>
      <c r="G2158" s="31"/>
    </row>
    <row r="2159" spans="1:7" x14ac:dyDescent="0.3">
      <c r="A2159" s="131" t="s">
        <v>3318</v>
      </c>
      <c r="B2159" s="130">
        <v>22</v>
      </c>
      <c r="C2159" s="31"/>
      <c r="D2159" s="31"/>
      <c r="E2159" s="31"/>
      <c r="F2159" s="31"/>
      <c r="G2159" s="31"/>
    </row>
    <row r="2160" spans="1:7" x14ac:dyDescent="0.3">
      <c r="A2160" s="131" t="s">
        <v>3319</v>
      </c>
      <c r="B2160" s="130">
        <v>15</v>
      </c>
      <c r="C2160" s="31"/>
      <c r="D2160" s="31"/>
      <c r="E2160" s="31"/>
      <c r="F2160" s="31"/>
      <c r="G2160" s="31"/>
    </row>
    <row r="2161" spans="1:7" x14ac:dyDescent="0.3">
      <c r="A2161" s="131" t="s">
        <v>3320</v>
      </c>
      <c r="B2161" s="130">
        <v>26</v>
      </c>
      <c r="C2161" s="31"/>
      <c r="D2161" s="31"/>
      <c r="E2161" s="31"/>
      <c r="F2161" s="31"/>
      <c r="G2161" s="31"/>
    </row>
    <row r="2162" spans="1:7" x14ac:dyDescent="0.3">
      <c r="A2162" s="131" t="s">
        <v>3321</v>
      </c>
      <c r="B2162" s="130">
        <v>35</v>
      </c>
      <c r="C2162" s="31"/>
      <c r="D2162" s="31"/>
      <c r="E2162" s="31"/>
      <c r="F2162" s="31"/>
      <c r="G2162" s="31"/>
    </row>
    <row r="2163" spans="1:7" x14ac:dyDescent="0.3">
      <c r="A2163" s="131" t="s">
        <v>3322</v>
      </c>
      <c r="B2163" s="130">
        <v>35</v>
      </c>
      <c r="C2163" s="31"/>
      <c r="D2163" s="31"/>
      <c r="E2163" s="31"/>
      <c r="F2163" s="31"/>
      <c r="G2163" s="31"/>
    </row>
    <row r="2164" spans="1:7" x14ac:dyDescent="0.3">
      <c r="A2164" s="131" t="s">
        <v>3323</v>
      </c>
      <c r="B2164" s="130">
        <v>30</v>
      </c>
      <c r="C2164" s="31"/>
      <c r="D2164" s="31"/>
      <c r="E2164" s="31"/>
      <c r="F2164" s="31"/>
      <c r="G2164" s="31"/>
    </row>
    <row r="2165" spans="1:7" x14ac:dyDescent="0.3">
      <c r="A2165" s="131" t="s">
        <v>3324</v>
      </c>
      <c r="B2165" s="130" t="s">
        <v>1163</v>
      </c>
      <c r="C2165" s="31"/>
      <c r="D2165" s="31"/>
      <c r="E2165" s="31"/>
      <c r="F2165" s="31"/>
      <c r="G2165" s="31"/>
    </row>
    <row r="2166" spans="1:7" x14ac:dyDescent="0.3">
      <c r="A2166" s="131" t="s">
        <v>3325</v>
      </c>
      <c r="B2166" s="130" t="s">
        <v>1163</v>
      </c>
      <c r="C2166" s="31"/>
      <c r="D2166" s="31"/>
      <c r="E2166" s="31"/>
      <c r="F2166" s="31"/>
      <c r="G2166" s="31"/>
    </row>
    <row r="2167" spans="1:7" x14ac:dyDescent="0.3">
      <c r="A2167" s="131" t="s">
        <v>3326</v>
      </c>
      <c r="B2167" s="130">
        <v>0</v>
      </c>
      <c r="C2167" s="31"/>
      <c r="D2167" s="31"/>
      <c r="E2167" s="31"/>
      <c r="F2167" s="31"/>
      <c r="G2167" s="31"/>
    </row>
    <row r="2168" spans="1:7" x14ac:dyDescent="0.3">
      <c r="A2168" s="131" t="s">
        <v>3327</v>
      </c>
      <c r="B2168" s="130">
        <v>313</v>
      </c>
      <c r="C2168" s="31"/>
      <c r="D2168" s="31"/>
      <c r="E2168" s="31"/>
      <c r="F2168" s="31"/>
      <c r="G2168" s="31"/>
    </row>
    <row r="2169" spans="1:7" x14ac:dyDescent="0.3">
      <c r="A2169" s="131" t="s">
        <v>3328</v>
      </c>
      <c r="B2169" s="130" t="s">
        <v>1163</v>
      </c>
      <c r="C2169" s="31"/>
      <c r="D2169" s="31"/>
      <c r="E2169" s="31"/>
      <c r="F2169" s="31"/>
      <c r="G2169" s="31"/>
    </row>
    <row r="2170" spans="1:7" x14ac:dyDescent="0.3">
      <c r="A2170" s="131" t="s">
        <v>3329</v>
      </c>
      <c r="B2170" s="130">
        <v>12</v>
      </c>
      <c r="C2170" s="31"/>
      <c r="D2170" s="31"/>
      <c r="E2170" s="31"/>
      <c r="F2170" s="31"/>
      <c r="G2170" s="31"/>
    </row>
    <row r="2171" spans="1:7" x14ac:dyDescent="0.3">
      <c r="A2171" s="131" t="s">
        <v>3330</v>
      </c>
      <c r="B2171" s="130">
        <v>16</v>
      </c>
      <c r="C2171" s="31"/>
      <c r="D2171" s="31"/>
      <c r="E2171" s="31"/>
      <c r="F2171" s="31"/>
      <c r="G2171" s="31"/>
    </row>
    <row r="2172" spans="1:7" x14ac:dyDescent="0.3">
      <c r="A2172" s="131" t="s">
        <v>3331</v>
      </c>
      <c r="B2172" s="130" t="s">
        <v>1163</v>
      </c>
      <c r="C2172" s="31"/>
      <c r="D2172" s="31"/>
      <c r="E2172" s="31"/>
      <c r="F2172" s="31"/>
      <c r="G2172" s="31"/>
    </row>
    <row r="2173" spans="1:7" x14ac:dyDescent="0.3">
      <c r="A2173" s="131" t="s">
        <v>3332</v>
      </c>
      <c r="B2173" s="130" t="s">
        <v>1163</v>
      </c>
      <c r="C2173" s="31"/>
      <c r="D2173" s="31"/>
      <c r="E2173" s="31"/>
      <c r="F2173" s="31"/>
      <c r="G2173" s="31"/>
    </row>
    <row r="2174" spans="1:7" x14ac:dyDescent="0.3">
      <c r="A2174" s="131" t="s">
        <v>3333</v>
      </c>
      <c r="B2174" s="130" t="s">
        <v>1163</v>
      </c>
      <c r="C2174" s="31"/>
      <c r="D2174" s="31"/>
      <c r="E2174" s="31"/>
      <c r="F2174" s="31"/>
      <c r="G2174" s="31"/>
    </row>
    <row r="2175" spans="1:7" x14ac:dyDescent="0.3">
      <c r="A2175" s="131" t="s">
        <v>3334</v>
      </c>
      <c r="B2175" s="130">
        <v>24</v>
      </c>
      <c r="C2175" s="31"/>
      <c r="D2175" s="31"/>
      <c r="E2175" s="31"/>
      <c r="F2175" s="31"/>
      <c r="G2175" s="31"/>
    </row>
    <row r="2176" spans="1:7" x14ac:dyDescent="0.3">
      <c r="A2176" s="131" t="s">
        <v>3335</v>
      </c>
      <c r="B2176" s="130">
        <v>100</v>
      </c>
      <c r="C2176" s="31"/>
      <c r="D2176" s="31"/>
      <c r="E2176" s="31"/>
      <c r="F2176" s="31"/>
      <c r="G2176" s="31"/>
    </row>
    <row r="2177" spans="1:7" x14ac:dyDescent="0.3">
      <c r="A2177" s="131" t="s">
        <v>3336</v>
      </c>
      <c r="B2177" s="130">
        <v>0</v>
      </c>
      <c r="C2177" s="31"/>
      <c r="D2177" s="31"/>
      <c r="E2177" s="31"/>
      <c r="F2177" s="31"/>
      <c r="G2177" s="31"/>
    </row>
    <row r="2178" spans="1:7" x14ac:dyDescent="0.3">
      <c r="A2178" s="131" t="s">
        <v>3337</v>
      </c>
      <c r="B2178" s="130" t="s">
        <v>1163</v>
      </c>
      <c r="C2178" s="31"/>
      <c r="D2178" s="31"/>
      <c r="E2178" s="31"/>
      <c r="F2178" s="31"/>
      <c r="G2178" s="31"/>
    </row>
    <row r="2179" spans="1:7" x14ac:dyDescent="0.3">
      <c r="A2179" s="131" t="s">
        <v>3338</v>
      </c>
      <c r="B2179" s="130" t="s">
        <v>1163</v>
      </c>
      <c r="C2179" s="31"/>
      <c r="D2179" s="31"/>
      <c r="E2179" s="31"/>
      <c r="F2179" s="31"/>
      <c r="G2179" s="31"/>
    </row>
    <row r="2180" spans="1:7" x14ac:dyDescent="0.3">
      <c r="A2180" s="131" t="s">
        <v>3339</v>
      </c>
      <c r="B2180" s="130">
        <v>29</v>
      </c>
      <c r="C2180" s="31"/>
      <c r="D2180" s="31"/>
      <c r="E2180" s="31"/>
      <c r="F2180" s="31"/>
      <c r="G2180" s="31"/>
    </row>
    <row r="2181" spans="1:7" x14ac:dyDescent="0.3">
      <c r="A2181" s="131" t="s">
        <v>3340</v>
      </c>
      <c r="B2181" s="130" t="s">
        <v>1163</v>
      </c>
      <c r="C2181" s="31"/>
      <c r="D2181" s="31"/>
      <c r="E2181" s="31"/>
      <c r="F2181" s="31"/>
      <c r="G2181" s="31"/>
    </row>
    <row r="2182" spans="1:7" x14ac:dyDescent="0.3">
      <c r="A2182" s="131" t="s">
        <v>3341</v>
      </c>
      <c r="B2182" s="130" t="s">
        <v>1163</v>
      </c>
      <c r="C2182" s="31"/>
      <c r="D2182" s="31"/>
      <c r="E2182" s="31"/>
      <c r="F2182" s="31"/>
      <c r="G2182" s="31"/>
    </row>
    <row r="2183" spans="1:7" x14ac:dyDescent="0.3">
      <c r="A2183" s="131" t="s">
        <v>3342</v>
      </c>
      <c r="B2183" s="130" t="s">
        <v>1163</v>
      </c>
      <c r="C2183" s="31"/>
      <c r="D2183" s="31"/>
      <c r="E2183" s="31"/>
      <c r="F2183" s="31"/>
      <c r="G2183" s="31"/>
    </row>
    <row r="2184" spans="1:7" x14ac:dyDescent="0.3">
      <c r="A2184" s="131" t="s">
        <v>3343</v>
      </c>
      <c r="B2184" s="130">
        <v>0</v>
      </c>
      <c r="C2184" s="31"/>
      <c r="D2184" s="31"/>
      <c r="E2184" s="31"/>
      <c r="F2184" s="31"/>
      <c r="G2184" s="31"/>
    </row>
    <row r="2185" spans="1:7" x14ac:dyDescent="0.3">
      <c r="A2185" s="131" t="s">
        <v>3344</v>
      </c>
      <c r="B2185" s="130">
        <v>0</v>
      </c>
      <c r="C2185" s="31"/>
      <c r="D2185" s="31"/>
      <c r="E2185" s="31"/>
      <c r="F2185" s="31"/>
      <c r="G2185" s="31"/>
    </row>
    <row r="2186" spans="1:7" x14ac:dyDescent="0.3">
      <c r="A2186" s="131" t="s">
        <v>3345</v>
      </c>
      <c r="B2186" s="130" t="s">
        <v>1163</v>
      </c>
      <c r="C2186" s="31"/>
      <c r="D2186" s="31"/>
      <c r="E2186" s="31"/>
      <c r="F2186" s="31"/>
      <c r="G2186" s="31"/>
    </row>
    <row r="2187" spans="1:7" x14ac:dyDescent="0.3">
      <c r="A2187" s="131" t="s">
        <v>3346</v>
      </c>
      <c r="B2187" s="130" t="s">
        <v>1163</v>
      </c>
      <c r="C2187" s="31"/>
      <c r="D2187" s="31"/>
      <c r="E2187" s="31"/>
      <c r="F2187" s="31"/>
      <c r="G2187" s="31"/>
    </row>
    <row r="2188" spans="1:7" x14ac:dyDescent="0.3">
      <c r="A2188" s="131" t="s">
        <v>3347</v>
      </c>
      <c r="B2188" s="130" t="s">
        <v>1163</v>
      </c>
      <c r="C2188" s="31"/>
      <c r="D2188" s="31"/>
      <c r="E2188" s="31"/>
      <c r="F2188" s="31"/>
      <c r="G2188" s="31"/>
    </row>
    <row r="2189" spans="1:7" x14ac:dyDescent="0.3">
      <c r="A2189" s="131" t="s">
        <v>3348</v>
      </c>
      <c r="B2189" s="130" t="s">
        <v>1163</v>
      </c>
      <c r="C2189" s="31"/>
      <c r="D2189" s="31"/>
      <c r="E2189" s="31"/>
      <c r="F2189" s="31"/>
      <c r="G2189" s="31"/>
    </row>
    <row r="2190" spans="1:7" x14ac:dyDescent="0.3">
      <c r="A2190" s="131" t="s">
        <v>3349</v>
      </c>
      <c r="B2190" s="130">
        <v>0</v>
      </c>
      <c r="C2190" s="31"/>
      <c r="D2190" s="31"/>
      <c r="E2190" s="31"/>
      <c r="F2190" s="31"/>
      <c r="G2190" s="31"/>
    </row>
    <row r="2191" spans="1:7" x14ac:dyDescent="0.3">
      <c r="A2191" s="131" t="s">
        <v>3350</v>
      </c>
      <c r="B2191" s="130">
        <v>0</v>
      </c>
      <c r="C2191" s="31"/>
      <c r="D2191" s="31"/>
      <c r="E2191" s="31"/>
      <c r="F2191" s="31"/>
      <c r="G2191" s="31"/>
    </row>
    <row r="2192" spans="1:7" x14ac:dyDescent="0.3">
      <c r="A2192" s="131" t="s">
        <v>3351</v>
      </c>
      <c r="B2192" s="130">
        <v>0</v>
      </c>
      <c r="C2192" s="31"/>
      <c r="D2192" s="31"/>
      <c r="E2192" s="31"/>
      <c r="F2192" s="31"/>
      <c r="G2192" s="31"/>
    </row>
    <row r="2193" spans="1:7" x14ac:dyDescent="0.3">
      <c r="A2193" s="131" t="s">
        <v>3352</v>
      </c>
      <c r="B2193" s="130" t="s">
        <v>1163</v>
      </c>
      <c r="C2193" s="31"/>
      <c r="D2193" s="31"/>
      <c r="E2193" s="31"/>
      <c r="F2193" s="31"/>
      <c r="G2193" s="31"/>
    </row>
    <row r="2194" spans="1:7" x14ac:dyDescent="0.3">
      <c r="A2194" s="131" t="s">
        <v>3353</v>
      </c>
      <c r="B2194" s="130" t="s">
        <v>1163</v>
      </c>
      <c r="C2194" s="31"/>
      <c r="D2194" s="31"/>
      <c r="E2194" s="31"/>
      <c r="F2194" s="31"/>
      <c r="G2194" s="31"/>
    </row>
    <row r="2195" spans="1:7" x14ac:dyDescent="0.3">
      <c r="A2195" s="131" t="s">
        <v>3354</v>
      </c>
      <c r="B2195" s="130" t="s">
        <v>1163</v>
      </c>
      <c r="C2195" s="31"/>
      <c r="D2195" s="31"/>
      <c r="E2195" s="31"/>
      <c r="F2195" s="31"/>
      <c r="G2195" s="31"/>
    </row>
    <row r="2196" spans="1:7" x14ac:dyDescent="0.3">
      <c r="A2196" s="131" t="s">
        <v>3355</v>
      </c>
      <c r="B2196" s="130">
        <v>35</v>
      </c>
      <c r="C2196" s="31"/>
      <c r="D2196" s="31"/>
      <c r="E2196" s="31"/>
      <c r="F2196" s="31"/>
      <c r="G2196" s="31"/>
    </row>
    <row r="2197" spans="1:7" x14ac:dyDescent="0.3">
      <c r="A2197" s="131" t="s">
        <v>3356</v>
      </c>
      <c r="B2197" s="130">
        <v>67</v>
      </c>
      <c r="C2197" s="31"/>
      <c r="D2197" s="31"/>
      <c r="E2197" s="31"/>
      <c r="F2197" s="31"/>
      <c r="G2197" s="31"/>
    </row>
    <row r="2198" spans="1:7" x14ac:dyDescent="0.3">
      <c r="A2198" s="131" t="s">
        <v>3357</v>
      </c>
      <c r="B2198" s="130">
        <v>26</v>
      </c>
      <c r="C2198" s="31"/>
      <c r="D2198" s="31"/>
      <c r="E2198" s="31"/>
      <c r="F2198" s="31"/>
      <c r="G2198" s="31"/>
    </row>
    <row r="2199" spans="1:7" x14ac:dyDescent="0.3">
      <c r="A2199" s="131" t="s">
        <v>3358</v>
      </c>
      <c r="B2199" s="130" t="s">
        <v>1163</v>
      </c>
      <c r="C2199" s="31"/>
      <c r="D2199" s="31"/>
      <c r="E2199" s="31"/>
      <c r="F2199" s="31"/>
      <c r="G2199" s="31"/>
    </row>
    <row r="2200" spans="1:7" x14ac:dyDescent="0.3">
      <c r="A2200" s="131" t="s">
        <v>3359</v>
      </c>
      <c r="B2200" s="130">
        <v>18</v>
      </c>
      <c r="C2200" s="31"/>
      <c r="D2200" s="31"/>
      <c r="E2200" s="31"/>
      <c r="F2200" s="31"/>
      <c r="G2200" s="31"/>
    </row>
    <row r="2201" spans="1:7" x14ac:dyDescent="0.3">
      <c r="A2201" s="131" t="s">
        <v>3360</v>
      </c>
      <c r="B2201" s="130" t="s">
        <v>1163</v>
      </c>
      <c r="C2201" s="31"/>
      <c r="D2201" s="31"/>
      <c r="E2201" s="31"/>
      <c r="F2201" s="31"/>
      <c r="G2201" s="31"/>
    </row>
    <row r="2202" spans="1:7" x14ac:dyDescent="0.3">
      <c r="A2202" s="131" t="s">
        <v>3361</v>
      </c>
      <c r="B2202" s="130">
        <v>26</v>
      </c>
      <c r="C2202" s="31"/>
      <c r="D2202" s="31"/>
      <c r="E2202" s="31"/>
      <c r="F2202" s="31"/>
      <c r="G2202" s="31"/>
    </row>
    <row r="2203" spans="1:7" x14ac:dyDescent="0.3">
      <c r="A2203" s="131" t="s">
        <v>3362</v>
      </c>
      <c r="B2203" s="130">
        <v>106</v>
      </c>
      <c r="C2203" s="31"/>
      <c r="D2203" s="31"/>
      <c r="E2203" s="31"/>
      <c r="F2203" s="31"/>
      <c r="G2203" s="31"/>
    </row>
    <row r="2204" spans="1:7" x14ac:dyDescent="0.3">
      <c r="A2204" s="131" t="s">
        <v>3363</v>
      </c>
      <c r="B2204" s="130">
        <v>31</v>
      </c>
      <c r="C2204" s="31"/>
      <c r="D2204" s="31"/>
      <c r="E2204" s="31"/>
      <c r="F2204" s="31"/>
      <c r="G2204" s="31"/>
    </row>
    <row r="2205" spans="1:7" x14ac:dyDescent="0.3">
      <c r="A2205" s="131" t="s">
        <v>3364</v>
      </c>
      <c r="B2205" s="130">
        <v>90</v>
      </c>
      <c r="C2205" s="31"/>
      <c r="D2205" s="31"/>
      <c r="E2205" s="31"/>
      <c r="F2205" s="31"/>
      <c r="G2205" s="31"/>
    </row>
    <row r="2206" spans="1:7" x14ac:dyDescent="0.3">
      <c r="A2206" s="131" t="s">
        <v>3365</v>
      </c>
      <c r="B2206" s="130">
        <v>67</v>
      </c>
      <c r="C2206" s="31"/>
      <c r="D2206" s="31"/>
      <c r="E2206" s="31"/>
      <c r="F2206" s="31"/>
      <c r="G2206" s="31"/>
    </row>
    <row r="2207" spans="1:7" x14ac:dyDescent="0.3">
      <c r="A2207" s="131" t="s">
        <v>3366</v>
      </c>
      <c r="B2207" s="130">
        <v>11</v>
      </c>
      <c r="C2207" s="31"/>
      <c r="D2207" s="31"/>
      <c r="E2207" s="31"/>
      <c r="F2207" s="31"/>
      <c r="G2207" s="31"/>
    </row>
    <row r="2208" spans="1:7" x14ac:dyDescent="0.3">
      <c r="A2208" s="131" t="s">
        <v>3367</v>
      </c>
      <c r="B2208" s="130">
        <v>46</v>
      </c>
      <c r="C2208" s="31"/>
      <c r="D2208" s="31"/>
      <c r="E2208" s="31"/>
      <c r="F2208" s="31"/>
      <c r="G2208" s="31"/>
    </row>
    <row r="2209" spans="1:7" x14ac:dyDescent="0.3">
      <c r="A2209" s="131" t="s">
        <v>3368</v>
      </c>
      <c r="B2209" s="130">
        <v>17</v>
      </c>
      <c r="C2209" s="31"/>
      <c r="D2209" s="31"/>
      <c r="E2209" s="31"/>
      <c r="F2209" s="31"/>
      <c r="G2209" s="31"/>
    </row>
    <row r="2210" spans="1:7" x14ac:dyDescent="0.3">
      <c r="A2210" s="131" t="s">
        <v>3369</v>
      </c>
      <c r="B2210" s="130">
        <v>95</v>
      </c>
      <c r="C2210" s="31"/>
      <c r="D2210" s="31"/>
      <c r="E2210" s="31"/>
      <c r="F2210" s="31"/>
      <c r="G2210" s="31"/>
    </row>
    <row r="2211" spans="1:7" x14ac:dyDescent="0.3">
      <c r="A2211" s="131" t="s">
        <v>3370</v>
      </c>
      <c r="B2211" s="130">
        <v>38</v>
      </c>
      <c r="C2211" s="31"/>
      <c r="D2211" s="31"/>
      <c r="E2211" s="31"/>
      <c r="F2211" s="31"/>
      <c r="G2211" s="31"/>
    </row>
    <row r="2212" spans="1:7" x14ac:dyDescent="0.3">
      <c r="A2212" s="131" t="s">
        <v>3371</v>
      </c>
      <c r="B2212" s="130">
        <v>66</v>
      </c>
      <c r="C2212" s="31"/>
      <c r="D2212" s="31"/>
      <c r="E2212" s="31"/>
      <c r="F2212" s="31"/>
      <c r="G2212" s="31"/>
    </row>
    <row r="2213" spans="1:7" x14ac:dyDescent="0.3">
      <c r="A2213" s="131" t="s">
        <v>3372</v>
      </c>
      <c r="B2213" s="130">
        <v>139</v>
      </c>
      <c r="C2213" s="31"/>
      <c r="D2213" s="31"/>
      <c r="E2213" s="31"/>
      <c r="F2213" s="31"/>
      <c r="G2213" s="31"/>
    </row>
    <row r="2214" spans="1:7" x14ac:dyDescent="0.3">
      <c r="A2214" s="131" t="s">
        <v>3373</v>
      </c>
      <c r="B2214" s="130">
        <v>17</v>
      </c>
      <c r="C2214" s="31"/>
      <c r="D2214" s="31"/>
      <c r="E2214" s="31"/>
      <c r="F2214" s="31"/>
      <c r="G2214" s="31"/>
    </row>
    <row r="2215" spans="1:7" x14ac:dyDescent="0.3">
      <c r="A2215" s="131" t="s">
        <v>3374</v>
      </c>
      <c r="B2215" s="130">
        <v>22</v>
      </c>
      <c r="C2215" s="31"/>
      <c r="D2215" s="31"/>
      <c r="E2215" s="31"/>
      <c r="F2215" s="31"/>
      <c r="G2215" s="31"/>
    </row>
    <row r="2216" spans="1:7" x14ac:dyDescent="0.3">
      <c r="A2216" s="131" t="s">
        <v>3375</v>
      </c>
      <c r="B2216" s="130">
        <v>25</v>
      </c>
      <c r="C2216" s="31"/>
      <c r="D2216" s="31"/>
      <c r="E2216" s="31"/>
      <c r="F2216" s="31"/>
      <c r="G2216" s="31"/>
    </row>
    <row r="2217" spans="1:7" x14ac:dyDescent="0.3">
      <c r="A2217" s="131" t="s">
        <v>3376</v>
      </c>
      <c r="B2217" s="130">
        <v>102</v>
      </c>
      <c r="C2217" s="31"/>
      <c r="D2217" s="31"/>
      <c r="E2217" s="31"/>
      <c r="F2217" s="31"/>
      <c r="G2217" s="31"/>
    </row>
    <row r="2218" spans="1:7" x14ac:dyDescent="0.3">
      <c r="A2218" s="131" t="s">
        <v>3377</v>
      </c>
      <c r="B2218" s="130">
        <v>101</v>
      </c>
      <c r="C2218" s="31"/>
      <c r="D2218" s="31"/>
      <c r="E2218" s="31"/>
      <c r="F2218" s="31"/>
      <c r="G2218" s="31"/>
    </row>
    <row r="2219" spans="1:7" x14ac:dyDescent="0.3">
      <c r="A2219" s="131" t="s">
        <v>3378</v>
      </c>
      <c r="B2219" s="130">
        <v>65</v>
      </c>
      <c r="C2219" s="31"/>
      <c r="D2219" s="31"/>
      <c r="E2219" s="31"/>
      <c r="F2219" s="31"/>
      <c r="G2219" s="31"/>
    </row>
    <row r="2220" spans="1:7" x14ac:dyDescent="0.3">
      <c r="A2220" s="131" t="s">
        <v>3379</v>
      </c>
      <c r="B2220" s="130">
        <v>27</v>
      </c>
      <c r="C2220" s="31"/>
      <c r="D2220" s="31"/>
      <c r="E2220" s="31"/>
      <c r="F2220" s="31"/>
      <c r="G2220" s="31"/>
    </row>
    <row r="2221" spans="1:7" x14ac:dyDescent="0.3">
      <c r="A2221" s="131" t="s">
        <v>3380</v>
      </c>
      <c r="B2221" s="130" t="s">
        <v>1163</v>
      </c>
      <c r="C2221" s="31"/>
      <c r="D2221" s="31"/>
      <c r="E2221" s="31"/>
      <c r="F2221" s="31"/>
      <c r="G2221" s="31"/>
    </row>
    <row r="2222" spans="1:7" x14ac:dyDescent="0.3">
      <c r="A2222" s="131" t="s">
        <v>3381</v>
      </c>
      <c r="B2222" s="130">
        <v>104</v>
      </c>
      <c r="C2222" s="31"/>
      <c r="D2222" s="31"/>
      <c r="E2222" s="31"/>
      <c r="F2222" s="31"/>
      <c r="G2222" s="31"/>
    </row>
    <row r="2223" spans="1:7" x14ac:dyDescent="0.3">
      <c r="A2223" s="131" t="s">
        <v>3382</v>
      </c>
      <c r="B2223" s="130">
        <v>64</v>
      </c>
      <c r="C2223" s="31"/>
      <c r="D2223" s="31"/>
      <c r="E2223" s="31"/>
      <c r="F2223" s="31"/>
      <c r="G2223" s="31"/>
    </row>
    <row r="2224" spans="1:7" x14ac:dyDescent="0.3">
      <c r="A2224" s="131" t="s">
        <v>3383</v>
      </c>
      <c r="B2224" s="130">
        <v>48</v>
      </c>
      <c r="C2224" s="31"/>
      <c r="D2224" s="31"/>
      <c r="E2224" s="31"/>
      <c r="F2224" s="31"/>
      <c r="G2224" s="31"/>
    </row>
    <row r="2225" spans="1:7" x14ac:dyDescent="0.3">
      <c r="A2225" s="131" t="s">
        <v>3384</v>
      </c>
      <c r="B2225" s="130">
        <v>24</v>
      </c>
      <c r="C2225" s="31"/>
      <c r="D2225" s="31"/>
      <c r="E2225" s="31"/>
      <c r="F2225" s="31"/>
      <c r="G2225" s="31"/>
    </row>
    <row r="2226" spans="1:7" x14ac:dyDescent="0.3">
      <c r="A2226" s="131" t="s">
        <v>3385</v>
      </c>
      <c r="B2226" s="130" t="s">
        <v>1163</v>
      </c>
      <c r="C2226" s="31"/>
      <c r="D2226" s="31"/>
      <c r="E2226" s="31"/>
      <c r="F2226" s="31"/>
      <c r="G2226" s="31"/>
    </row>
    <row r="2227" spans="1:7" x14ac:dyDescent="0.3">
      <c r="A2227" s="131" t="s">
        <v>3386</v>
      </c>
      <c r="B2227" s="130" t="s">
        <v>1163</v>
      </c>
      <c r="C2227" s="31"/>
      <c r="D2227" s="31"/>
      <c r="E2227" s="31"/>
      <c r="F2227" s="31"/>
      <c r="G2227" s="31"/>
    </row>
    <row r="2228" spans="1:7" x14ac:dyDescent="0.3">
      <c r="A2228" s="131" t="s">
        <v>3387</v>
      </c>
      <c r="B2228" s="130" t="s">
        <v>1163</v>
      </c>
      <c r="C2228" s="31"/>
      <c r="D2228" s="31"/>
      <c r="E2228" s="31"/>
      <c r="F2228" s="31"/>
      <c r="G2228" s="31"/>
    </row>
    <row r="2229" spans="1:7" x14ac:dyDescent="0.3">
      <c r="A2229" s="131" t="s">
        <v>3388</v>
      </c>
      <c r="B2229" s="130">
        <v>11</v>
      </c>
      <c r="C2229" s="31"/>
      <c r="D2229" s="31"/>
      <c r="E2229" s="31"/>
      <c r="F2229" s="31"/>
      <c r="G2229" s="31"/>
    </row>
    <row r="2230" spans="1:7" x14ac:dyDescent="0.3">
      <c r="A2230" s="131" t="s">
        <v>3389</v>
      </c>
      <c r="B2230" s="130">
        <v>55</v>
      </c>
      <c r="C2230" s="31"/>
      <c r="D2230" s="31"/>
      <c r="E2230" s="31"/>
      <c r="F2230" s="31"/>
      <c r="G2230" s="31"/>
    </row>
    <row r="2231" spans="1:7" x14ac:dyDescent="0.3">
      <c r="A2231" s="131" t="s">
        <v>3390</v>
      </c>
      <c r="B2231" s="130">
        <v>157</v>
      </c>
      <c r="C2231" s="31"/>
      <c r="D2231" s="31"/>
      <c r="E2231" s="31"/>
      <c r="F2231" s="31"/>
      <c r="G2231" s="31"/>
    </row>
    <row r="2232" spans="1:7" x14ac:dyDescent="0.3">
      <c r="A2232" s="131" t="s">
        <v>3391</v>
      </c>
      <c r="B2232" s="130">
        <v>99</v>
      </c>
      <c r="C2232" s="31"/>
      <c r="D2232" s="31"/>
      <c r="E2232" s="31"/>
      <c r="F2232" s="31"/>
      <c r="G2232" s="31"/>
    </row>
    <row r="2233" spans="1:7" x14ac:dyDescent="0.3">
      <c r="A2233" s="131" t="s">
        <v>3392</v>
      </c>
      <c r="B2233" s="130">
        <v>63</v>
      </c>
      <c r="C2233" s="31"/>
      <c r="D2233" s="31"/>
      <c r="E2233" s="31"/>
      <c r="F2233" s="31"/>
      <c r="G2233" s="31"/>
    </row>
    <row r="2234" spans="1:7" x14ac:dyDescent="0.3">
      <c r="A2234" s="131" t="s">
        <v>3393</v>
      </c>
      <c r="B2234" s="130">
        <v>171</v>
      </c>
      <c r="C2234" s="31"/>
      <c r="D2234" s="31"/>
      <c r="E2234" s="31"/>
      <c r="F2234" s="31"/>
      <c r="G2234" s="31"/>
    </row>
    <row r="2235" spans="1:7" x14ac:dyDescent="0.3">
      <c r="A2235" s="131" t="s">
        <v>3394</v>
      </c>
      <c r="B2235" s="130">
        <v>0</v>
      </c>
      <c r="C2235" s="31"/>
      <c r="D2235" s="31"/>
      <c r="E2235" s="31"/>
      <c r="F2235" s="31"/>
      <c r="G2235" s="31"/>
    </row>
    <row r="2236" spans="1:7" x14ac:dyDescent="0.3">
      <c r="A2236" s="131" t="s">
        <v>3395</v>
      </c>
      <c r="B2236" s="130" t="s">
        <v>1163</v>
      </c>
      <c r="C2236" s="31"/>
      <c r="D2236" s="31"/>
      <c r="E2236" s="31"/>
      <c r="F2236" s="31"/>
      <c r="G2236" s="31"/>
    </row>
    <row r="2237" spans="1:7" x14ac:dyDescent="0.3">
      <c r="A2237" s="131" t="s">
        <v>3396</v>
      </c>
      <c r="B2237" s="130">
        <v>134</v>
      </c>
      <c r="C2237" s="31"/>
      <c r="D2237" s="31"/>
      <c r="E2237" s="31"/>
      <c r="F2237" s="31"/>
      <c r="G2237" s="31"/>
    </row>
    <row r="2238" spans="1:7" x14ac:dyDescent="0.3">
      <c r="A2238" s="131" t="s">
        <v>3397</v>
      </c>
      <c r="B2238" s="130">
        <v>126</v>
      </c>
      <c r="C2238" s="31"/>
      <c r="D2238" s="31"/>
      <c r="E2238" s="31"/>
      <c r="F2238" s="31"/>
      <c r="G2238" s="31"/>
    </row>
    <row r="2239" spans="1:7" x14ac:dyDescent="0.3">
      <c r="A2239" s="131" t="s">
        <v>3398</v>
      </c>
      <c r="B2239" s="130">
        <v>117</v>
      </c>
      <c r="C2239" s="31"/>
      <c r="D2239" s="31"/>
      <c r="E2239" s="31"/>
      <c r="F2239" s="31"/>
      <c r="G2239" s="31"/>
    </row>
    <row r="2240" spans="1:7" x14ac:dyDescent="0.3">
      <c r="A2240" s="131" t="s">
        <v>3399</v>
      </c>
      <c r="B2240" s="130">
        <v>144</v>
      </c>
      <c r="C2240" s="31"/>
      <c r="D2240" s="31"/>
      <c r="E2240" s="31"/>
      <c r="F2240" s="31"/>
      <c r="G2240" s="31"/>
    </row>
    <row r="2241" spans="1:7" x14ac:dyDescent="0.3">
      <c r="A2241" s="131" t="s">
        <v>3400</v>
      </c>
      <c r="B2241" s="130">
        <v>245</v>
      </c>
      <c r="C2241" s="31"/>
      <c r="D2241" s="31"/>
      <c r="E2241" s="31"/>
      <c r="F2241" s="31"/>
      <c r="G2241" s="31"/>
    </row>
    <row r="2242" spans="1:7" x14ac:dyDescent="0.3">
      <c r="A2242" s="131" t="s">
        <v>3401</v>
      </c>
      <c r="B2242" s="130">
        <v>227</v>
      </c>
      <c r="C2242" s="31"/>
      <c r="D2242" s="31"/>
      <c r="E2242" s="31"/>
      <c r="F2242" s="31"/>
      <c r="G2242" s="31"/>
    </row>
    <row r="2243" spans="1:7" x14ac:dyDescent="0.3">
      <c r="A2243" s="131" t="s">
        <v>3402</v>
      </c>
      <c r="B2243" s="130">
        <v>197</v>
      </c>
      <c r="C2243" s="31"/>
      <c r="D2243" s="31"/>
      <c r="E2243" s="31"/>
      <c r="F2243" s="31"/>
      <c r="G2243" s="31"/>
    </row>
    <row r="2244" spans="1:7" x14ac:dyDescent="0.3">
      <c r="A2244" s="131" t="s">
        <v>3403</v>
      </c>
      <c r="B2244" s="130">
        <v>48</v>
      </c>
      <c r="C2244" s="31"/>
      <c r="D2244" s="31"/>
      <c r="E2244" s="31"/>
      <c r="F2244" s="31"/>
      <c r="G2244" s="31"/>
    </row>
    <row r="2245" spans="1:7" x14ac:dyDescent="0.3">
      <c r="A2245" s="131" t="s">
        <v>3404</v>
      </c>
      <c r="B2245" s="130">
        <v>131</v>
      </c>
      <c r="C2245" s="31"/>
      <c r="D2245" s="31"/>
      <c r="E2245" s="31"/>
      <c r="F2245" s="31"/>
      <c r="G2245" s="31"/>
    </row>
    <row r="2246" spans="1:7" x14ac:dyDescent="0.3">
      <c r="A2246" s="131" t="s">
        <v>3405</v>
      </c>
      <c r="B2246" s="130">
        <v>162</v>
      </c>
      <c r="C2246" s="31"/>
      <c r="D2246" s="31"/>
      <c r="E2246" s="31"/>
      <c r="F2246" s="31"/>
      <c r="G2246" s="31"/>
    </row>
    <row r="2247" spans="1:7" x14ac:dyDescent="0.3">
      <c r="A2247" s="131" t="s">
        <v>3406</v>
      </c>
      <c r="B2247" s="130">
        <v>24</v>
      </c>
      <c r="C2247" s="31"/>
      <c r="D2247" s="31"/>
      <c r="E2247" s="31"/>
      <c r="F2247" s="31"/>
      <c r="G2247" s="31"/>
    </row>
    <row r="2248" spans="1:7" x14ac:dyDescent="0.3">
      <c r="A2248" s="131" t="s">
        <v>3407</v>
      </c>
      <c r="B2248" s="130">
        <v>235</v>
      </c>
      <c r="C2248" s="31"/>
      <c r="D2248" s="31"/>
      <c r="E2248" s="31"/>
      <c r="F2248" s="31"/>
      <c r="G2248" s="31"/>
    </row>
    <row r="2249" spans="1:7" x14ac:dyDescent="0.3">
      <c r="A2249" s="131" t="s">
        <v>3408</v>
      </c>
      <c r="B2249" s="130">
        <v>128</v>
      </c>
      <c r="C2249" s="31"/>
      <c r="D2249" s="31"/>
      <c r="E2249" s="31"/>
      <c r="F2249" s="31"/>
      <c r="G2249" s="31"/>
    </row>
    <row r="2250" spans="1:7" x14ac:dyDescent="0.3">
      <c r="A2250" s="131" t="s">
        <v>3409</v>
      </c>
      <c r="B2250" s="130">
        <v>137</v>
      </c>
      <c r="C2250" s="31"/>
      <c r="D2250" s="31"/>
      <c r="E2250" s="31"/>
      <c r="F2250" s="31"/>
      <c r="G2250" s="31"/>
    </row>
    <row r="2251" spans="1:7" x14ac:dyDescent="0.3">
      <c r="A2251" s="131" t="s">
        <v>3410</v>
      </c>
      <c r="B2251" s="130">
        <v>0</v>
      </c>
      <c r="C2251" s="31"/>
      <c r="D2251" s="31"/>
      <c r="E2251" s="31"/>
      <c r="F2251" s="31"/>
      <c r="G2251" s="31"/>
    </row>
    <row r="2252" spans="1:7" x14ac:dyDescent="0.3">
      <c r="A2252" s="131" t="s">
        <v>3411</v>
      </c>
      <c r="B2252" s="130">
        <v>38</v>
      </c>
      <c r="C2252" s="31"/>
      <c r="D2252" s="31"/>
      <c r="E2252" s="31"/>
      <c r="F2252" s="31"/>
      <c r="G2252" s="31"/>
    </row>
    <row r="2253" spans="1:7" x14ac:dyDescent="0.3">
      <c r="A2253" s="131" t="s">
        <v>3412</v>
      </c>
      <c r="B2253" s="130">
        <v>86</v>
      </c>
      <c r="C2253" s="31"/>
      <c r="D2253" s="31"/>
      <c r="E2253" s="31"/>
      <c r="F2253" s="31"/>
      <c r="G2253" s="31"/>
    </row>
    <row r="2254" spans="1:7" x14ac:dyDescent="0.3">
      <c r="A2254" s="131" t="s">
        <v>3413</v>
      </c>
      <c r="B2254" s="130">
        <v>73</v>
      </c>
      <c r="C2254" s="31"/>
      <c r="D2254" s="31"/>
      <c r="E2254" s="31"/>
      <c r="F2254" s="31"/>
      <c r="G2254" s="31"/>
    </row>
    <row r="2255" spans="1:7" x14ac:dyDescent="0.3">
      <c r="A2255" s="131" t="s">
        <v>3414</v>
      </c>
      <c r="B2255" s="130">
        <v>26</v>
      </c>
      <c r="C2255" s="31"/>
      <c r="D2255" s="31"/>
      <c r="E2255" s="31"/>
      <c r="F2255" s="31"/>
      <c r="G2255" s="31"/>
    </row>
    <row r="2256" spans="1:7" x14ac:dyDescent="0.3">
      <c r="A2256" s="131" t="s">
        <v>3415</v>
      </c>
      <c r="B2256" s="130">
        <v>106</v>
      </c>
      <c r="C2256" s="31"/>
      <c r="D2256" s="31"/>
      <c r="E2256" s="31"/>
      <c r="F2256" s="31"/>
      <c r="G2256" s="31"/>
    </row>
    <row r="2257" spans="1:7" x14ac:dyDescent="0.3">
      <c r="A2257" s="131" t="s">
        <v>3416</v>
      </c>
      <c r="B2257" s="130">
        <v>29</v>
      </c>
      <c r="C2257" s="31"/>
      <c r="D2257" s="31"/>
      <c r="E2257" s="31"/>
      <c r="F2257" s="31"/>
      <c r="G2257" s="31"/>
    </row>
    <row r="2258" spans="1:7" x14ac:dyDescent="0.3">
      <c r="A2258" s="131" t="s">
        <v>3417</v>
      </c>
      <c r="B2258" s="130">
        <v>32</v>
      </c>
      <c r="C2258" s="31"/>
      <c r="D2258" s="31"/>
      <c r="E2258" s="31"/>
      <c r="F2258" s="31"/>
      <c r="G2258" s="31"/>
    </row>
    <row r="2259" spans="1:7" x14ac:dyDescent="0.3">
      <c r="A2259" s="131" t="s">
        <v>3418</v>
      </c>
      <c r="B2259" s="130">
        <v>45</v>
      </c>
      <c r="C2259" s="31"/>
      <c r="D2259" s="31"/>
      <c r="E2259" s="31"/>
      <c r="F2259" s="31"/>
      <c r="G2259" s="31"/>
    </row>
    <row r="2260" spans="1:7" x14ac:dyDescent="0.3">
      <c r="A2260" s="131" t="s">
        <v>3419</v>
      </c>
      <c r="B2260" s="130">
        <v>41</v>
      </c>
      <c r="C2260" s="31"/>
      <c r="D2260" s="31"/>
      <c r="E2260" s="31"/>
      <c r="F2260" s="31"/>
      <c r="G2260" s="31"/>
    </row>
    <row r="2261" spans="1:7" x14ac:dyDescent="0.3">
      <c r="A2261" s="131" t="s">
        <v>3420</v>
      </c>
      <c r="B2261" s="130">
        <v>75</v>
      </c>
      <c r="C2261" s="31"/>
      <c r="D2261" s="31"/>
      <c r="E2261" s="31"/>
      <c r="F2261" s="31"/>
      <c r="G2261" s="31"/>
    </row>
    <row r="2262" spans="1:7" x14ac:dyDescent="0.3">
      <c r="A2262" s="131" t="s">
        <v>3421</v>
      </c>
      <c r="B2262" s="130">
        <v>17</v>
      </c>
      <c r="C2262" s="31"/>
      <c r="D2262" s="31"/>
      <c r="E2262" s="31"/>
      <c r="F2262" s="31"/>
      <c r="G2262" s="31"/>
    </row>
    <row r="2263" spans="1:7" x14ac:dyDescent="0.3">
      <c r="A2263" s="131" t="s">
        <v>3422</v>
      </c>
      <c r="B2263" s="130">
        <v>66</v>
      </c>
      <c r="C2263" s="31"/>
      <c r="D2263" s="31"/>
      <c r="E2263" s="31"/>
      <c r="F2263" s="31"/>
      <c r="G2263" s="31"/>
    </row>
    <row r="2264" spans="1:7" x14ac:dyDescent="0.3">
      <c r="A2264" s="131" t="s">
        <v>3423</v>
      </c>
      <c r="B2264" s="130">
        <v>33</v>
      </c>
      <c r="C2264" s="31"/>
      <c r="D2264" s="31"/>
      <c r="E2264" s="31"/>
      <c r="F2264" s="31"/>
      <c r="G2264" s="31"/>
    </row>
    <row r="2265" spans="1:7" x14ac:dyDescent="0.3">
      <c r="A2265" s="131" t="s">
        <v>3424</v>
      </c>
      <c r="B2265" s="130">
        <v>16</v>
      </c>
      <c r="C2265" s="31"/>
      <c r="D2265" s="31"/>
      <c r="E2265" s="31"/>
      <c r="F2265" s="31"/>
      <c r="G2265" s="31"/>
    </row>
    <row r="2266" spans="1:7" x14ac:dyDescent="0.3">
      <c r="A2266" s="131" t="s">
        <v>3425</v>
      </c>
      <c r="B2266" s="130">
        <v>29</v>
      </c>
      <c r="C2266" s="31"/>
      <c r="D2266" s="31"/>
      <c r="E2266" s="31"/>
      <c r="F2266" s="31"/>
      <c r="G2266" s="31"/>
    </row>
    <row r="2267" spans="1:7" x14ac:dyDescent="0.3">
      <c r="A2267" s="131" t="s">
        <v>3426</v>
      </c>
      <c r="B2267" s="130">
        <v>148</v>
      </c>
      <c r="C2267" s="31"/>
      <c r="D2267" s="31"/>
      <c r="E2267" s="31"/>
      <c r="F2267" s="31"/>
      <c r="G2267" s="31"/>
    </row>
    <row r="2268" spans="1:7" x14ac:dyDescent="0.3">
      <c r="A2268" s="131" t="s">
        <v>3427</v>
      </c>
      <c r="B2268" s="130">
        <v>266</v>
      </c>
      <c r="C2268" s="31"/>
      <c r="D2268" s="31"/>
      <c r="E2268" s="31"/>
      <c r="F2268" s="31"/>
      <c r="G2268" s="31"/>
    </row>
    <row r="2269" spans="1:7" x14ac:dyDescent="0.3">
      <c r="A2269" s="131" t="s">
        <v>3428</v>
      </c>
      <c r="B2269" s="130">
        <v>269</v>
      </c>
      <c r="C2269" s="31"/>
      <c r="D2269" s="31"/>
      <c r="E2269" s="31"/>
      <c r="F2269" s="31"/>
      <c r="G2269" s="31"/>
    </row>
    <row r="2270" spans="1:7" x14ac:dyDescent="0.3">
      <c r="A2270" s="131" t="s">
        <v>3429</v>
      </c>
      <c r="B2270" s="130">
        <v>220</v>
      </c>
      <c r="C2270" s="31"/>
      <c r="D2270" s="31"/>
      <c r="E2270" s="31"/>
      <c r="F2270" s="31"/>
      <c r="G2270" s="31"/>
    </row>
    <row r="2271" spans="1:7" x14ac:dyDescent="0.3">
      <c r="A2271" s="131" t="s">
        <v>3430</v>
      </c>
      <c r="B2271" s="130">
        <v>0</v>
      </c>
      <c r="C2271" s="31"/>
      <c r="D2271" s="31"/>
      <c r="E2271" s="31"/>
      <c r="F2271" s="31"/>
      <c r="G2271" s="31"/>
    </row>
    <row r="2272" spans="1:7" x14ac:dyDescent="0.3">
      <c r="A2272" s="131" t="s">
        <v>3431</v>
      </c>
      <c r="B2272" s="130">
        <v>155</v>
      </c>
      <c r="C2272" s="31"/>
      <c r="D2272" s="31"/>
      <c r="E2272" s="31"/>
      <c r="F2272" s="31"/>
      <c r="G2272" s="31"/>
    </row>
    <row r="2273" spans="1:7" x14ac:dyDescent="0.3">
      <c r="A2273" s="131" t="s">
        <v>3432</v>
      </c>
      <c r="B2273" s="130">
        <v>0</v>
      </c>
      <c r="C2273" s="31"/>
      <c r="D2273" s="31"/>
      <c r="E2273" s="31"/>
      <c r="F2273" s="31"/>
      <c r="G2273" s="31"/>
    </row>
    <row r="2274" spans="1:7" x14ac:dyDescent="0.3">
      <c r="A2274" s="131" t="s">
        <v>3433</v>
      </c>
      <c r="B2274" s="130">
        <v>389</v>
      </c>
      <c r="C2274" s="31"/>
      <c r="D2274" s="31"/>
      <c r="E2274" s="31"/>
      <c r="F2274" s="31"/>
      <c r="G2274" s="31"/>
    </row>
    <row r="2275" spans="1:7" x14ac:dyDescent="0.3">
      <c r="A2275" s="131" t="s">
        <v>3434</v>
      </c>
      <c r="B2275" s="130">
        <v>188</v>
      </c>
      <c r="C2275" s="31"/>
      <c r="D2275" s="31"/>
      <c r="E2275" s="31"/>
      <c r="F2275" s="31"/>
      <c r="G2275" s="31"/>
    </row>
    <row r="2276" spans="1:7" x14ac:dyDescent="0.3">
      <c r="A2276" s="131" t="s">
        <v>3435</v>
      </c>
      <c r="B2276" s="130">
        <v>117</v>
      </c>
      <c r="C2276" s="31"/>
      <c r="D2276" s="31"/>
      <c r="E2276" s="31"/>
      <c r="F2276" s="31"/>
      <c r="G2276" s="31"/>
    </row>
    <row r="2277" spans="1:7" x14ac:dyDescent="0.3">
      <c r="A2277" s="131" t="s">
        <v>3436</v>
      </c>
      <c r="B2277" s="130">
        <v>385</v>
      </c>
      <c r="C2277" s="31"/>
      <c r="D2277" s="31"/>
      <c r="E2277" s="31"/>
      <c r="F2277" s="31"/>
      <c r="G2277" s="31"/>
    </row>
    <row r="2278" spans="1:7" x14ac:dyDescent="0.3">
      <c r="A2278" s="131" t="s">
        <v>3437</v>
      </c>
      <c r="B2278" s="130">
        <v>516</v>
      </c>
      <c r="C2278" s="31"/>
      <c r="D2278" s="31"/>
      <c r="E2278" s="31"/>
      <c r="F2278" s="31"/>
      <c r="G2278" s="31"/>
    </row>
    <row r="2279" spans="1:7" x14ac:dyDescent="0.3">
      <c r="A2279" s="131" t="s">
        <v>3438</v>
      </c>
      <c r="B2279" s="130">
        <v>252</v>
      </c>
      <c r="C2279" s="31"/>
      <c r="D2279" s="31"/>
      <c r="E2279" s="31"/>
      <c r="F2279" s="31"/>
      <c r="G2279" s="31"/>
    </row>
    <row r="2280" spans="1:7" x14ac:dyDescent="0.3">
      <c r="A2280" s="131" t="s">
        <v>3439</v>
      </c>
      <c r="B2280" s="130">
        <v>301</v>
      </c>
      <c r="C2280" s="31"/>
      <c r="D2280" s="31"/>
      <c r="E2280" s="31"/>
      <c r="F2280" s="31"/>
      <c r="G2280" s="31"/>
    </row>
    <row r="2281" spans="1:7" x14ac:dyDescent="0.3">
      <c r="A2281" s="131" t="s">
        <v>3440</v>
      </c>
      <c r="B2281" s="130">
        <v>526</v>
      </c>
      <c r="C2281" s="31"/>
      <c r="D2281" s="31"/>
      <c r="E2281" s="31"/>
      <c r="F2281" s="31"/>
      <c r="G2281" s="31"/>
    </row>
    <row r="2282" spans="1:7" x14ac:dyDescent="0.3">
      <c r="A2282" s="131" t="s">
        <v>3441</v>
      </c>
      <c r="B2282" s="130">
        <v>336</v>
      </c>
      <c r="C2282" s="31"/>
      <c r="D2282" s="31"/>
      <c r="E2282" s="31"/>
      <c r="F2282" s="31"/>
      <c r="G2282" s="31"/>
    </row>
    <row r="2283" spans="1:7" x14ac:dyDescent="0.3">
      <c r="A2283" s="131" t="s">
        <v>3442</v>
      </c>
      <c r="B2283" s="130">
        <v>197</v>
      </c>
      <c r="C2283" s="31"/>
      <c r="D2283" s="31"/>
      <c r="E2283" s="31"/>
      <c r="F2283" s="31"/>
      <c r="G2283" s="31"/>
    </row>
    <row r="2284" spans="1:7" x14ac:dyDescent="0.3">
      <c r="A2284" s="131" t="s">
        <v>3443</v>
      </c>
      <c r="B2284" s="130">
        <v>59</v>
      </c>
      <c r="C2284" s="31"/>
      <c r="D2284" s="31"/>
      <c r="E2284" s="31"/>
      <c r="F2284" s="31"/>
      <c r="G2284" s="31"/>
    </row>
    <row r="2285" spans="1:7" x14ac:dyDescent="0.3">
      <c r="A2285" s="131" t="s">
        <v>3444</v>
      </c>
      <c r="B2285" s="130">
        <v>275</v>
      </c>
      <c r="C2285" s="31"/>
      <c r="D2285" s="31"/>
      <c r="E2285" s="31"/>
      <c r="F2285" s="31"/>
      <c r="G2285" s="31"/>
    </row>
    <row r="2286" spans="1:7" x14ac:dyDescent="0.3">
      <c r="A2286" s="131" t="s">
        <v>3445</v>
      </c>
      <c r="B2286" s="130" t="s">
        <v>1163</v>
      </c>
      <c r="C2286" s="31"/>
      <c r="D2286" s="31"/>
      <c r="E2286" s="31"/>
      <c r="F2286" s="31"/>
      <c r="G2286" s="31"/>
    </row>
    <row r="2287" spans="1:7" x14ac:dyDescent="0.3">
      <c r="A2287" s="131" t="s">
        <v>3446</v>
      </c>
      <c r="B2287" s="130">
        <v>271</v>
      </c>
      <c r="C2287" s="31"/>
      <c r="D2287" s="31"/>
      <c r="E2287" s="31"/>
      <c r="F2287" s="31"/>
      <c r="G2287" s="31"/>
    </row>
    <row r="2288" spans="1:7" x14ac:dyDescent="0.3">
      <c r="A2288" s="131" t="s">
        <v>3447</v>
      </c>
      <c r="B2288" s="130">
        <v>0</v>
      </c>
      <c r="C2288" s="31"/>
      <c r="D2288" s="31"/>
      <c r="E2288" s="31"/>
      <c r="F2288" s="31"/>
      <c r="G2288" s="31"/>
    </row>
    <row r="2289" spans="1:7" x14ac:dyDescent="0.3">
      <c r="A2289" s="131" t="s">
        <v>3448</v>
      </c>
      <c r="B2289" s="130">
        <v>298</v>
      </c>
      <c r="C2289" s="31"/>
      <c r="D2289" s="31"/>
      <c r="E2289" s="31"/>
      <c r="F2289" s="31"/>
      <c r="G2289" s="31"/>
    </row>
    <row r="2290" spans="1:7" x14ac:dyDescent="0.3">
      <c r="A2290" s="131" t="s">
        <v>3449</v>
      </c>
      <c r="B2290" s="130" t="s">
        <v>1163</v>
      </c>
      <c r="C2290" s="31"/>
      <c r="D2290" s="31"/>
      <c r="E2290" s="31"/>
      <c r="F2290" s="31"/>
      <c r="G2290" s="31"/>
    </row>
    <row r="2291" spans="1:7" x14ac:dyDescent="0.3">
      <c r="A2291" s="131" t="s">
        <v>3450</v>
      </c>
      <c r="B2291" s="130">
        <v>0</v>
      </c>
      <c r="C2291" s="31"/>
      <c r="D2291" s="31"/>
      <c r="E2291" s="31"/>
      <c r="F2291" s="31"/>
      <c r="G2291" s="31"/>
    </row>
    <row r="2292" spans="1:7" x14ac:dyDescent="0.3">
      <c r="A2292" s="131" t="s">
        <v>3451</v>
      </c>
      <c r="B2292" s="130">
        <v>141</v>
      </c>
      <c r="C2292" s="31"/>
      <c r="D2292" s="31"/>
      <c r="E2292" s="31"/>
      <c r="F2292" s="31"/>
      <c r="G2292" s="31"/>
    </row>
    <row r="2293" spans="1:7" x14ac:dyDescent="0.3">
      <c r="A2293" s="131" t="s">
        <v>3452</v>
      </c>
      <c r="B2293" s="130">
        <v>187</v>
      </c>
      <c r="C2293" s="31"/>
      <c r="D2293" s="31"/>
      <c r="E2293" s="31"/>
      <c r="F2293" s="31"/>
      <c r="G2293" s="31"/>
    </row>
    <row r="2294" spans="1:7" x14ac:dyDescent="0.3">
      <c r="A2294" s="131" t="s">
        <v>3453</v>
      </c>
      <c r="B2294" s="130">
        <v>136</v>
      </c>
      <c r="C2294" s="31"/>
      <c r="D2294" s="31"/>
      <c r="E2294" s="31"/>
      <c r="F2294" s="31"/>
      <c r="G2294" s="31"/>
    </row>
    <row r="2295" spans="1:7" x14ac:dyDescent="0.3">
      <c r="A2295" s="131" t="s">
        <v>3454</v>
      </c>
      <c r="B2295" s="130">
        <v>261</v>
      </c>
      <c r="C2295" s="31"/>
      <c r="D2295" s="31"/>
      <c r="E2295" s="31"/>
      <c r="F2295" s="31"/>
      <c r="G2295" s="31"/>
    </row>
    <row r="2296" spans="1:7" x14ac:dyDescent="0.3">
      <c r="A2296" s="131" t="s">
        <v>3455</v>
      </c>
      <c r="B2296" s="130">
        <v>280</v>
      </c>
      <c r="C2296" s="31"/>
      <c r="D2296" s="31"/>
      <c r="E2296" s="31"/>
      <c r="F2296" s="31"/>
      <c r="G2296" s="31"/>
    </row>
    <row r="2297" spans="1:7" x14ac:dyDescent="0.3">
      <c r="A2297" s="131" t="s">
        <v>3456</v>
      </c>
      <c r="B2297" s="130">
        <v>84</v>
      </c>
      <c r="C2297" s="31"/>
      <c r="D2297" s="31"/>
      <c r="E2297" s="31"/>
      <c r="F2297" s="31"/>
      <c r="G2297" s="31"/>
    </row>
    <row r="2298" spans="1:7" x14ac:dyDescent="0.3">
      <c r="A2298" s="131" t="s">
        <v>3457</v>
      </c>
      <c r="B2298" s="130">
        <v>268</v>
      </c>
      <c r="C2298" s="31"/>
      <c r="D2298" s="31"/>
      <c r="E2298" s="31"/>
      <c r="F2298" s="31"/>
      <c r="G2298" s="31"/>
    </row>
    <row r="2299" spans="1:7" x14ac:dyDescent="0.3">
      <c r="A2299" s="131" t="s">
        <v>3458</v>
      </c>
      <c r="B2299" s="130">
        <v>120</v>
      </c>
      <c r="C2299" s="31"/>
      <c r="D2299" s="31"/>
      <c r="E2299" s="31"/>
      <c r="F2299" s="31"/>
      <c r="G2299" s="31"/>
    </row>
    <row r="2300" spans="1:7" x14ac:dyDescent="0.3">
      <c r="A2300" s="131" t="s">
        <v>3459</v>
      </c>
      <c r="B2300" s="130">
        <v>296</v>
      </c>
      <c r="C2300" s="31"/>
      <c r="D2300" s="31"/>
      <c r="E2300" s="31"/>
      <c r="F2300" s="31"/>
      <c r="G2300" s="31"/>
    </row>
    <row r="2301" spans="1:7" x14ac:dyDescent="0.3">
      <c r="A2301" s="131" t="s">
        <v>3460</v>
      </c>
      <c r="B2301" s="130">
        <v>102</v>
      </c>
      <c r="C2301" s="31"/>
      <c r="D2301" s="31"/>
      <c r="E2301" s="31"/>
      <c r="F2301" s="31"/>
      <c r="G2301" s="31"/>
    </row>
    <row r="2302" spans="1:7" x14ac:dyDescent="0.3">
      <c r="A2302" s="131" t="s">
        <v>3461</v>
      </c>
      <c r="B2302" s="130">
        <v>249</v>
      </c>
      <c r="C2302" s="31"/>
      <c r="D2302" s="31"/>
      <c r="E2302" s="31"/>
      <c r="F2302" s="31"/>
      <c r="G2302" s="31"/>
    </row>
    <row r="2303" spans="1:7" x14ac:dyDescent="0.3">
      <c r="A2303" s="131" t="s">
        <v>3462</v>
      </c>
      <c r="B2303" s="130">
        <v>346</v>
      </c>
      <c r="C2303" s="31"/>
      <c r="D2303" s="31"/>
      <c r="E2303" s="31"/>
      <c r="F2303" s="31"/>
      <c r="G2303" s="31"/>
    </row>
    <row r="2304" spans="1:7" x14ac:dyDescent="0.3">
      <c r="A2304" s="131" t="s">
        <v>3463</v>
      </c>
      <c r="B2304" s="130">
        <v>86</v>
      </c>
      <c r="C2304" s="31"/>
      <c r="D2304" s="31"/>
      <c r="E2304" s="31"/>
      <c r="F2304" s="31"/>
      <c r="G2304" s="31"/>
    </row>
    <row r="2305" spans="1:7" x14ac:dyDescent="0.3">
      <c r="A2305" s="131" t="s">
        <v>3464</v>
      </c>
      <c r="B2305" s="130">
        <v>74</v>
      </c>
      <c r="C2305" s="31"/>
      <c r="D2305" s="31"/>
      <c r="E2305" s="31"/>
      <c r="F2305" s="31"/>
      <c r="G2305" s="31"/>
    </row>
    <row r="2306" spans="1:7" x14ac:dyDescent="0.3">
      <c r="A2306" s="131" t="s">
        <v>3465</v>
      </c>
      <c r="B2306" s="130">
        <v>0</v>
      </c>
      <c r="C2306" s="31"/>
      <c r="D2306" s="31"/>
      <c r="E2306" s="31"/>
      <c r="F2306" s="31"/>
      <c r="G2306" s="31"/>
    </row>
    <row r="2307" spans="1:7" x14ac:dyDescent="0.3">
      <c r="A2307" s="131" t="s">
        <v>3466</v>
      </c>
      <c r="B2307" s="130">
        <v>123</v>
      </c>
      <c r="C2307" s="31"/>
      <c r="D2307" s="31"/>
      <c r="E2307" s="31"/>
      <c r="F2307" s="31"/>
      <c r="G2307" s="31"/>
    </row>
    <row r="2308" spans="1:7" x14ac:dyDescent="0.3">
      <c r="A2308" s="131" t="s">
        <v>3467</v>
      </c>
      <c r="B2308" s="130">
        <v>207</v>
      </c>
      <c r="C2308" s="31"/>
      <c r="D2308" s="31"/>
      <c r="E2308" s="31"/>
      <c r="F2308" s="31"/>
      <c r="G2308" s="31"/>
    </row>
    <row r="2309" spans="1:7" x14ac:dyDescent="0.3">
      <c r="A2309" s="131" t="s">
        <v>3468</v>
      </c>
      <c r="B2309" s="130">
        <v>378</v>
      </c>
      <c r="C2309" s="31"/>
      <c r="D2309" s="31"/>
      <c r="E2309" s="31"/>
      <c r="F2309" s="31"/>
      <c r="G2309" s="31"/>
    </row>
    <row r="2310" spans="1:7" x14ac:dyDescent="0.3">
      <c r="A2310" s="131" t="s">
        <v>3469</v>
      </c>
      <c r="B2310" s="130">
        <v>428</v>
      </c>
      <c r="C2310" s="31"/>
      <c r="D2310" s="31"/>
      <c r="E2310" s="31"/>
      <c r="F2310" s="31"/>
      <c r="G2310" s="31"/>
    </row>
    <row r="2311" spans="1:7" x14ac:dyDescent="0.3">
      <c r="A2311" s="131" t="s">
        <v>3470</v>
      </c>
      <c r="B2311" s="130">
        <v>422</v>
      </c>
      <c r="C2311" s="31"/>
      <c r="D2311" s="31"/>
      <c r="E2311" s="31"/>
      <c r="F2311" s="31"/>
      <c r="G2311" s="31"/>
    </row>
    <row r="2312" spans="1:7" x14ac:dyDescent="0.3">
      <c r="A2312" s="131" t="s">
        <v>3471</v>
      </c>
      <c r="B2312" s="130">
        <v>311</v>
      </c>
      <c r="C2312" s="31"/>
      <c r="D2312" s="31"/>
      <c r="E2312" s="31"/>
      <c r="F2312" s="31"/>
      <c r="G2312" s="31"/>
    </row>
    <row r="2313" spans="1:7" x14ac:dyDescent="0.3">
      <c r="A2313" s="131" t="s">
        <v>3472</v>
      </c>
      <c r="B2313" s="130">
        <v>205</v>
      </c>
      <c r="C2313" s="31"/>
      <c r="D2313" s="31"/>
      <c r="E2313" s="31"/>
      <c r="F2313" s="31"/>
      <c r="G2313" s="31"/>
    </row>
    <row r="2314" spans="1:7" x14ac:dyDescent="0.3">
      <c r="A2314" s="131" t="s">
        <v>3473</v>
      </c>
      <c r="B2314" s="130">
        <v>212</v>
      </c>
      <c r="C2314" s="31"/>
      <c r="D2314" s="31"/>
      <c r="E2314" s="31"/>
      <c r="F2314" s="31"/>
      <c r="G2314" s="31"/>
    </row>
    <row r="2315" spans="1:7" x14ac:dyDescent="0.3">
      <c r="A2315" s="131" t="s">
        <v>3474</v>
      </c>
      <c r="B2315" s="130">
        <v>278</v>
      </c>
      <c r="C2315" s="31"/>
      <c r="D2315" s="31"/>
      <c r="E2315" s="31"/>
      <c r="F2315" s="31"/>
      <c r="G2315" s="31"/>
    </row>
    <row r="2316" spans="1:7" x14ac:dyDescent="0.3">
      <c r="A2316" s="131" t="s">
        <v>3475</v>
      </c>
      <c r="B2316" s="130">
        <v>453</v>
      </c>
      <c r="C2316" s="31"/>
      <c r="D2316" s="31"/>
      <c r="E2316" s="31"/>
      <c r="F2316" s="31"/>
      <c r="G2316" s="31"/>
    </row>
    <row r="2317" spans="1:7" x14ac:dyDescent="0.3">
      <c r="A2317" s="131" t="s">
        <v>3476</v>
      </c>
      <c r="B2317" s="130">
        <v>291</v>
      </c>
      <c r="C2317" s="31"/>
      <c r="D2317" s="31"/>
      <c r="E2317" s="31"/>
      <c r="F2317" s="31"/>
      <c r="G2317" s="31"/>
    </row>
    <row r="2318" spans="1:7" x14ac:dyDescent="0.3">
      <c r="A2318" s="131" t="s">
        <v>3477</v>
      </c>
      <c r="B2318" s="130">
        <v>352</v>
      </c>
      <c r="C2318" s="31"/>
      <c r="D2318" s="31"/>
      <c r="E2318" s="31"/>
      <c r="F2318" s="31"/>
      <c r="G2318" s="31"/>
    </row>
    <row r="2319" spans="1:7" x14ac:dyDescent="0.3">
      <c r="A2319" s="131" t="s">
        <v>3478</v>
      </c>
      <c r="B2319" s="130">
        <v>323</v>
      </c>
      <c r="C2319" s="31"/>
      <c r="D2319" s="31"/>
      <c r="E2319" s="31"/>
      <c r="F2319" s="31"/>
      <c r="G2319" s="31"/>
    </row>
    <row r="2320" spans="1:7" x14ac:dyDescent="0.3">
      <c r="A2320" s="131" t="s">
        <v>3479</v>
      </c>
      <c r="B2320" s="130">
        <v>392</v>
      </c>
      <c r="C2320" s="31"/>
      <c r="D2320" s="31"/>
      <c r="E2320" s="31"/>
      <c r="F2320" s="31"/>
      <c r="G2320" s="31"/>
    </row>
    <row r="2321" spans="1:7" x14ac:dyDescent="0.3">
      <c r="A2321" s="131" t="s">
        <v>3480</v>
      </c>
      <c r="B2321" s="130">
        <v>142</v>
      </c>
      <c r="C2321" s="31"/>
      <c r="D2321" s="31"/>
      <c r="E2321" s="31"/>
      <c r="F2321" s="31"/>
      <c r="G2321" s="31"/>
    </row>
    <row r="2322" spans="1:7" x14ac:dyDescent="0.3">
      <c r="A2322" s="131" t="s">
        <v>3481</v>
      </c>
      <c r="B2322" s="130">
        <v>431</v>
      </c>
      <c r="C2322" s="31"/>
      <c r="D2322" s="31"/>
      <c r="E2322" s="31"/>
      <c r="F2322" s="31"/>
      <c r="G2322" s="31"/>
    </row>
    <row r="2323" spans="1:7" x14ac:dyDescent="0.3">
      <c r="A2323" s="131" t="s">
        <v>3482</v>
      </c>
      <c r="B2323" s="130">
        <v>394</v>
      </c>
      <c r="C2323" s="31"/>
      <c r="D2323" s="31"/>
      <c r="E2323" s="31"/>
      <c r="F2323" s="31"/>
      <c r="G2323" s="31"/>
    </row>
    <row r="2324" spans="1:7" x14ac:dyDescent="0.3">
      <c r="A2324" s="131" t="s">
        <v>3483</v>
      </c>
      <c r="B2324" s="130">
        <v>181</v>
      </c>
      <c r="C2324" s="31"/>
      <c r="D2324" s="31"/>
      <c r="E2324" s="31"/>
      <c r="F2324" s="31"/>
      <c r="G2324" s="31"/>
    </row>
    <row r="2325" spans="1:7" x14ac:dyDescent="0.3">
      <c r="A2325" s="131" t="s">
        <v>3484</v>
      </c>
      <c r="B2325" s="130">
        <v>233</v>
      </c>
      <c r="C2325" s="31"/>
      <c r="D2325" s="31"/>
      <c r="E2325" s="31"/>
      <c r="F2325" s="31"/>
      <c r="G2325" s="31"/>
    </row>
    <row r="2326" spans="1:7" x14ac:dyDescent="0.3">
      <c r="A2326" s="131" t="s">
        <v>3485</v>
      </c>
      <c r="B2326" s="130">
        <v>331</v>
      </c>
      <c r="C2326" s="31"/>
      <c r="D2326" s="31"/>
      <c r="E2326" s="31"/>
      <c r="F2326" s="31"/>
      <c r="G2326" s="31"/>
    </row>
    <row r="2327" spans="1:7" x14ac:dyDescent="0.3">
      <c r="A2327" s="131" t="s">
        <v>3486</v>
      </c>
      <c r="B2327" s="130">
        <v>294</v>
      </c>
      <c r="C2327" s="31"/>
      <c r="D2327" s="31"/>
      <c r="E2327" s="31"/>
      <c r="F2327" s="31"/>
      <c r="G2327" s="31"/>
    </row>
    <row r="2328" spans="1:7" x14ac:dyDescent="0.3">
      <c r="A2328" s="131" t="s">
        <v>3487</v>
      </c>
      <c r="B2328" s="130">
        <v>45</v>
      </c>
      <c r="C2328" s="31"/>
      <c r="D2328" s="31"/>
      <c r="E2328" s="31"/>
      <c r="F2328" s="31"/>
      <c r="G2328" s="31"/>
    </row>
    <row r="2329" spans="1:7" x14ac:dyDescent="0.3">
      <c r="A2329" s="131" t="s">
        <v>3488</v>
      </c>
      <c r="B2329" s="130">
        <v>271</v>
      </c>
      <c r="C2329" s="31"/>
      <c r="D2329" s="31"/>
      <c r="E2329" s="31"/>
      <c r="F2329" s="31"/>
      <c r="G2329" s="31"/>
    </row>
    <row r="2330" spans="1:7" x14ac:dyDescent="0.3">
      <c r="A2330" s="131" t="s">
        <v>3489</v>
      </c>
      <c r="B2330" s="130">
        <v>243</v>
      </c>
      <c r="C2330" s="31"/>
      <c r="D2330" s="31"/>
      <c r="E2330" s="31"/>
      <c r="F2330" s="31"/>
      <c r="G2330" s="31"/>
    </row>
    <row r="2331" spans="1:7" x14ac:dyDescent="0.3">
      <c r="A2331" s="131" t="s">
        <v>3490</v>
      </c>
      <c r="B2331" s="130">
        <v>298</v>
      </c>
      <c r="C2331" s="31"/>
      <c r="D2331" s="31"/>
      <c r="E2331" s="31"/>
      <c r="F2331" s="31"/>
      <c r="G2331" s="31"/>
    </row>
    <row r="2332" spans="1:7" x14ac:dyDescent="0.3">
      <c r="A2332" s="131" t="s">
        <v>3491</v>
      </c>
      <c r="B2332" s="130">
        <v>50</v>
      </c>
      <c r="C2332" s="31"/>
      <c r="D2332" s="31"/>
      <c r="E2332" s="31"/>
      <c r="F2332" s="31"/>
      <c r="G2332" s="31"/>
    </row>
    <row r="2333" spans="1:7" x14ac:dyDescent="0.3">
      <c r="A2333" s="131" t="s">
        <v>3492</v>
      </c>
      <c r="B2333" s="130">
        <v>121</v>
      </c>
      <c r="C2333" s="31"/>
      <c r="D2333" s="31"/>
      <c r="E2333" s="31"/>
      <c r="F2333" s="31"/>
      <c r="G2333" s="31"/>
    </row>
    <row r="2334" spans="1:7" x14ac:dyDescent="0.3">
      <c r="A2334" s="131" t="s">
        <v>3493</v>
      </c>
      <c r="B2334" s="130">
        <v>203</v>
      </c>
      <c r="C2334" s="31"/>
      <c r="D2334" s="31"/>
      <c r="E2334" s="31"/>
      <c r="F2334" s="31"/>
      <c r="G2334" s="31"/>
    </row>
    <row r="2335" spans="1:7" x14ac:dyDescent="0.3">
      <c r="A2335" s="131" t="s">
        <v>3494</v>
      </c>
      <c r="B2335" s="130">
        <v>265</v>
      </c>
      <c r="C2335" s="31"/>
      <c r="D2335" s="31"/>
      <c r="E2335" s="31"/>
      <c r="F2335" s="31"/>
      <c r="G2335" s="31"/>
    </row>
    <row r="2336" spans="1:7" x14ac:dyDescent="0.3">
      <c r="A2336" s="131" t="s">
        <v>3495</v>
      </c>
      <c r="B2336" s="130">
        <v>72</v>
      </c>
      <c r="C2336" s="31"/>
      <c r="D2336" s="31"/>
      <c r="E2336" s="31"/>
      <c r="F2336" s="31"/>
      <c r="G2336" s="31"/>
    </row>
    <row r="2337" spans="1:7" x14ac:dyDescent="0.3">
      <c r="A2337" s="131" t="s">
        <v>3496</v>
      </c>
      <c r="B2337" s="130">
        <v>0</v>
      </c>
      <c r="C2337" s="31"/>
      <c r="D2337" s="31"/>
      <c r="E2337" s="31"/>
      <c r="F2337" s="31"/>
      <c r="G2337" s="31"/>
    </row>
    <row r="2338" spans="1:7" x14ac:dyDescent="0.3">
      <c r="A2338" s="131" t="s">
        <v>3497</v>
      </c>
      <c r="B2338" s="130">
        <v>166</v>
      </c>
      <c r="C2338" s="31"/>
      <c r="D2338" s="31"/>
      <c r="E2338" s="31"/>
      <c r="F2338" s="31"/>
      <c r="G2338" s="31"/>
    </row>
    <row r="2339" spans="1:7" x14ac:dyDescent="0.3">
      <c r="A2339" s="131" t="s">
        <v>3498</v>
      </c>
      <c r="B2339" s="130">
        <v>38</v>
      </c>
      <c r="C2339" s="31"/>
      <c r="D2339" s="31"/>
      <c r="E2339" s="31"/>
      <c r="F2339" s="31"/>
      <c r="G2339" s="31"/>
    </row>
    <row r="2340" spans="1:7" x14ac:dyDescent="0.3">
      <c r="A2340" s="131" t="s">
        <v>3499</v>
      </c>
      <c r="B2340" s="130">
        <v>86</v>
      </c>
      <c r="C2340" s="31"/>
      <c r="D2340" s="31"/>
      <c r="E2340" s="31"/>
      <c r="F2340" s="31"/>
      <c r="G2340" s="31"/>
    </row>
    <row r="2341" spans="1:7" x14ac:dyDescent="0.3">
      <c r="A2341" s="131" t="s">
        <v>3500</v>
      </c>
      <c r="B2341" s="130">
        <v>64</v>
      </c>
      <c r="C2341" s="31"/>
      <c r="D2341" s="31"/>
      <c r="E2341" s="31"/>
      <c r="F2341" s="31"/>
      <c r="G2341" s="31"/>
    </row>
    <row r="2342" spans="1:7" x14ac:dyDescent="0.3">
      <c r="A2342" s="131" t="s">
        <v>3501</v>
      </c>
      <c r="B2342" s="130">
        <v>265</v>
      </c>
      <c r="C2342" s="31"/>
      <c r="D2342" s="31"/>
      <c r="E2342" s="31"/>
      <c r="F2342" s="31"/>
      <c r="G2342" s="31"/>
    </row>
    <row r="2343" spans="1:7" x14ac:dyDescent="0.3">
      <c r="A2343" s="131" t="s">
        <v>3502</v>
      </c>
      <c r="B2343" s="130">
        <v>156</v>
      </c>
      <c r="C2343" s="31"/>
      <c r="D2343" s="31"/>
      <c r="E2343" s="31"/>
      <c r="F2343" s="31"/>
      <c r="G2343" s="31"/>
    </row>
    <row r="2344" spans="1:7" x14ac:dyDescent="0.3">
      <c r="A2344" s="131" t="s">
        <v>3503</v>
      </c>
      <c r="B2344" s="130">
        <v>94</v>
      </c>
      <c r="C2344" s="31"/>
      <c r="D2344" s="31"/>
      <c r="E2344" s="31"/>
      <c r="F2344" s="31"/>
      <c r="G2344" s="31"/>
    </row>
    <row r="2345" spans="1:7" x14ac:dyDescent="0.3">
      <c r="A2345" s="131" t="s">
        <v>3504</v>
      </c>
      <c r="B2345" s="130">
        <v>224</v>
      </c>
      <c r="C2345" s="31"/>
      <c r="D2345" s="31"/>
      <c r="E2345" s="31"/>
      <c r="F2345" s="31"/>
      <c r="G2345" s="31"/>
    </row>
    <row r="2346" spans="1:7" x14ac:dyDescent="0.3">
      <c r="A2346" s="131" t="s">
        <v>3505</v>
      </c>
      <c r="B2346" s="130">
        <v>108</v>
      </c>
      <c r="C2346" s="31"/>
      <c r="D2346" s="31"/>
      <c r="E2346" s="31"/>
      <c r="F2346" s="31"/>
      <c r="G2346" s="31"/>
    </row>
    <row r="2347" spans="1:7" x14ac:dyDescent="0.3">
      <c r="A2347" s="131" t="s">
        <v>3506</v>
      </c>
      <c r="B2347" s="130">
        <v>209</v>
      </c>
      <c r="C2347" s="31"/>
      <c r="D2347" s="31"/>
      <c r="E2347" s="31"/>
      <c r="F2347" s="31"/>
      <c r="G2347" s="31"/>
    </row>
    <row r="2348" spans="1:7" x14ac:dyDescent="0.3">
      <c r="A2348" s="131" t="s">
        <v>3507</v>
      </c>
      <c r="B2348" s="130">
        <v>48</v>
      </c>
      <c r="C2348" s="31"/>
      <c r="D2348" s="31"/>
      <c r="E2348" s="31"/>
      <c r="F2348" s="31"/>
      <c r="G2348" s="31"/>
    </row>
    <row r="2349" spans="1:7" x14ac:dyDescent="0.3">
      <c r="A2349" s="131" t="s">
        <v>3508</v>
      </c>
      <c r="B2349" s="130">
        <v>46</v>
      </c>
      <c r="C2349" s="31"/>
      <c r="D2349" s="31"/>
      <c r="E2349" s="31"/>
      <c r="F2349" s="31"/>
      <c r="G2349" s="31"/>
    </row>
    <row r="2350" spans="1:7" x14ac:dyDescent="0.3">
      <c r="A2350" s="131" t="s">
        <v>3509</v>
      </c>
      <c r="B2350" s="130">
        <v>10</v>
      </c>
      <c r="C2350" s="31"/>
      <c r="D2350" s="31"/>
      <c r="E2350" s="31"/>
      <c r="F2350" s="31"/>
      <c r="G2350" s="31"/>
    </row>
    <row r="2351" spans="1:7" x14ac:dyDescent="0.3">
      <c r="A2351" s="131" t="s">
        <v>3510</v>
      </c>
      <c r="B2351" s="130">
        <v>102</v>
      </c>
      <c r="C2351" s="31"/>
      <c r="D2351" s="31"/>
      <c r="E2351" s="31"/>
      <c r="F2351" s="31"/>
      <c r="G2351" s="31"/>
    </row>
    <row r="2352" spans="1:7" x14ac:dyDescent="0.3">
      <c r="A2352" s="131" t="s">
        <v>3511</v>
      </c>
      <c r="B2352" s="130">
        <v>21</v>
      </c>
      <c r="C2352" s="31"/>
      <c r="D2352" s="31"/>
      <c r="E2352" s="31"/>
      <c r="F2352" s="31"/>
      <c r="G2352" s="31"/>
    </row>
    <row r="2353" spans="1:7" x14ac:dyDescent="0.3">
      <c r="A2353" s="131" t="s">
        <v>3512</v>
      </c>
      <c r="B2353" s="130">
        <v>151</v>
      </c>
      <c r="C2353" s="31"/>
      <c r="D2353" s="31"/>
      <c r="E2353" s="31"/>
      <c r="F2353" s="31"/>
      <c r="G2353" s="31"/>
    </row>
    <row r="2354" spans="1:7" x14ac:dyDescent="0.3">
      <c r="A2354" s="131" t="s">
        <v>3513</v>
      </c>
      <c r="B2354" s="130">
        <v>48</v>
      </c>
      <c r="C2354" s="31"/>
      <c r="D2354" s="31"/>
      <c r="E2354" s="31"/>
      <c r="F2354" s="31"/>
      <c r="G2354" s="31"/>
    </row>
    <row r="2355" spans="1:7" x14ac:dyDescent="0.3">
      <c r="A2355" s="131" t="s">
        <v>3514</v>
      </c>
      <c r="B2355" s="130">
        <v>87</v>
      </c>
      <c r="C2355" s="31"/>
      <c r="D2355" s="31"/>
      <c r="E2355" s="31"/>
      <c r="F2355" s="31"/>
      <c r="G2355" s="31"/>
    </row>
    <row r="2356" spans="1:7" x14ac:dyDescent="0.3">
      <c r="A2356" s="131" t="s">
        <v>3515</v>
      </c>
      <c r="B2356" s="130">
        <v>0</v>
      </c>
      <c r="C2356" s="31"/>
      <c r="D2356" s="31"/>
      <c r="E2356" s="31"/>
      <c r="F2356" s="31"/>
      <c r="G2356" s="31"/>
    </row>
    <row r="2357" spans="1:7" x14ac:dyDescent="0.3">
      <c r="A2357" s="131" t="s">
        <v>3516</v>
      </c>
      <c r="B2357" s="130">
        <v>73</v>
      </c>
      <c r="C2357" s="31"/>
      <c r="D2357" s="31"/>
      <c r="E2357" s="31"/>
      <c r="F2357" s="31"/>
      <c r="G2357" s="31"/>
    </row>
    <row r="2358" spans="1:7" x14ac:dyDescent="0.3">
      <c r="A2358" s="131" t="s">
        <v>3517</v>
      </c>
      <c r="B2358" s="130">
        <v>94</v>
      </c>
      <c r="C2358" s="31"/>
      <c r="D2358" s="31"/>
      <c r="E2358" s="31"/>
      <c r="F2358" s="31"/>
      <c r="G2358" s="31"/>
    </row>
    <row r="2359" spans="1:7" x14ac:dyDescent="0.3">
      <c r="A2359" s="131" t="s">
        <v>3518</v>
      </c>
      <c r="B2359" s="130">
        <v>71</v>
      </c>
      <c r="C2359" s="31"/>
      <c r="D2359" s="31"/>
      <c r="E2359" s="31"/>
      <c r="F2359" s="31"/>
      <c r="G2359" s="31"/>
    </row>
    <row r="2360" spans="1:7" x14ac:dyDescent="0.3">
      <c r="A2360" s="131" t="s">
        <v>3519</v>
      </c>
      <c r="B2360" s="130">
        <v>57</v>
      </c>
      <c r="C2360" s="31"/>
      <c r="D2360" s="31"/>
      <c r="E2360" s="31"/>
      <c r="F2360" s="31"/>
      <c r="G2360" s="31"/>
    </row>
    <row r="2361" spans="1:7" x14ac:dyDescent="0.3">
      <c r="A2361" s="131" t="s">
        <v>3520</v>
      </c>
      <c r="B2361" s="130">
        <v>0</v>
      </c>
      <c r="C2361" s="31"/>
      <c r="D2361" s="31"/>
      <c r="E2361" s="31"/>
      <c r="F2361" s="31"/>
      <c r="G2361" s="31"/>
    </row>
    <row r="2362" spans="1:7" x14ac:dyDescent="0.3">
      <c r="A2362" s="131" t="s">
        <v>3521</v>
      </c>
      <c r="B2362" s="130">
        <v>388</v>
      </c>
      <c r="C2362" s="31"/>
      <c r="D2362" s="31"/>
      <c r="E2362" s="31"/>
      <c r="F2362" s="31"/>
      <c r="G2362" s="31"/>
    </row>
    <row r="2363" spans="1:7" x14ac:dyDescent="0.3">
      <c r="A2363" s="131" t="s">
        <v>3522</v>
      </c>
      <c r="B2363" s="130">
        <v>288</v>
      </c>
      <c r="C2363" s="31"/>
      <c r="D2363" s="31"/>
      <c r="E2363" s="31"/>
      <c r="F2363" s="31"/>
      <c r="G2363" s="31"/>
    </row>
    <row r="2364" spans="1:7" x14ac:dyDescent="0.3">
      <c r="A2364" s="131" t="s">
        <v>3523</v>
      </c>
      <c r="B2364" s="130">
        <v>109</v>
      </c>
      <c r="C2364" s="31"/>
      <c r="D2364" s="31"/>
      <c r="E2364" s="31"/>
      <c r="F2364" s="31"/>
      <c r="G2364" s="31"/>
    </row>
    <row r="2365" spans="1:7" x14ac:dyDescent="0.3">
      <c r="A2365" s="131" t="s">
        <v>3524</v>
      </c>
      <c r="B2365" s="130">
        <v>68</v>
      </c>
      <c r="C2365" s="31"/>
      <c r="D2365" s="31"/>
      <c r="E2365" s="31"/>
      <c r="F2365" s="31"/>
      <c r="G2365" s="31"/>
    </row>
    <row r="2366" spans="1:7" x14ac:dyDescent="0.3">
      <c r="A2366" s="131" t="s">
        <v>3525</v>
      </c>
      <c r="B2366" s="130" t="s">
        <v>1163</v>
      </c>
      <c r="C2366" s="31"/>
      <c r="D2366" s="31"/>
      <c r="E2366" s="31"/>
      <c r="F2366" s="31"/>
      <c r="G2366" s="31"/>
    </row>
    <row r="2367" spans="1:7" x14ac:dyDescent="0.3">
      <c r="A2367" s="131" t="s">
        <v>3526</v>
      </c>
      <c r="B2367" s="130">
        <v>252</v>
      </c>
      <c r="C2367" s="31"/>
      <c r="D2367" s="31"/>
      <c r="E2367" s="31"/>
      <c r="F2367" s="31"/>
      <c r="G2367" s="31"/>
    </row>
    <row r="2368" spans="1:7" x14ac:dyDescent="0.3">
      <c r="A2368" s="131" t="s">
        <v>3527</v>
      </c>
      <c r="B2368" s="130">
        <v>189</v>
      </c>
      <c r="C2368" s="31"/>
      <c r="D2368" s="31"/>
      <c r="E2368" s="31"/>
      <c r="F2368" s="31"/>
      <c r="G2368" s="31"/>
    </row>
    <row r="2369" spans="1:7" x14ac:dyDescent="0.3">
      <c r="A2369" s="131" t="s">
        <v>3528</v>
      </c>
      <c r="B2369" s="130" t="s">
        <v>1163</v>
      </c>
      <c r="C2369" s="31"/>
      <c r="D2369" s="31"/>
      <c r="E2369" s="31"/>
      <c r="F2369" s="31"/>
      <c r="G2369" s="31"/>
    </row>
    <row r="2370" spans="1:7" x14ac:dyDescent="0.3">
      <c r="A2370" s="131" t="s">
        <v>3529</v>
      </c>
      <c r="B2370" s="130">
        <v>41</v>
      </c>
      <c r="C2370" s="31"/>
      <c r="D2370" s="31"/>
      <c r="E2370" s="31"/>
      <c r="F2370" s="31"/>
      <c r="G2370" s="31"/>
    </row>
    <row r="2371" spans="1:7" x14ac:dyDescent="0.3">
      <c r="A2371" s="131" t="s">
        <v>3530</v>
      </c>
      <c r="B2371" s="130">
        <v>174</v>
      </c>
      <c r="C2371" s="31"/>
      <c r="D2371" s="31"/>
      <c r="E2371" s="31"/>
      <c r="F2371" s="31"/>
      <c r="G2371" s="31"/>
    </row>
    <row r="2372" spans="1:7" x14ac:dyDescent="0.3">
      <c r="A2372" s="131" t="s">
        <v>3531</v>
      </c>
      <c r="B2372" s="130">
        <v>101</v>
      </c>
      <c r="C2372" s="31"/>
      <c r="D2372" s="31"/>
      <c r="E2372" s="31"/>
      <c r="F2372" s="31"/>
      <c r="G2372" s="31"/>
    </row>
    <row r="2373" spans="1:7" x14ac:dyDescent="0.3">
      <c r="A2373" s="131" t="s">
        <v>3532</v>
      </c>
      <c r="B2373" s="130">
        <v>141</v>
      </c>
      <c r="C2373" s="31"/>
      <c r="D2373" s="31"/>
      <c r="E2373" s="31"/>
      <c r="F2373" s="31"/>
      <c r="G2373" s="31"/>
    </row>
    <row r="2374" spans="1:7" x14ac:dyDescent="0.3">
      <c r="A2374" s="131" t="s">
        <v>3533</v>
      </c>
      <c r="B2374" s="130">
        <v>169</v>
      </c>
      <c r="C2374" s="31"/>
      <c r="D2374" s="31"/>
      <c r="E2374" s="31"/>
      <c r="F2374" s="31"/>
      <c r="G2374" s="31"/>
    </row>
    <row r="2375" spans="1:7" x14ac:dyDescent="0.3">
      <c r="A2375" s="131" t="s">
        <v>3534</v>
      </c>
      <c r="B2375" s="130" t="s">
        <v>1163</v>
      </c>
      <c r="C2375" s="31"/>
      <c r="D2375" s="31"/>
      <c r="E2375" s="31"/>
      <c r="F2375" s="31"/>
      <c r="G2375" s="31"/>
    </row>
    <row r="2376" spans="1:7" x14ac:dyDescent="0.3">
      <c r="A2376" s="131" t="s">
        <v>3535</v>
      </c>
      <c r="B2376" s="130">
        <v>0</v>
      </c>
      <c r="C2376" s="31"/>
      <c r="D2376" s="31"/>
      <c r="E2376" s="31"/>
      <c r="F2376" s="31"/>
      <c r="G2376" s="31"/>
    </row>
    <row r="2377" spans="1:7" x14ac:dyDescent="0.3">
      <c r="A2377" s="131" t="s">
        <v>3536</v>
      </c>
      <c r="B2377" s="130" t="s">
        <v>1163</v>
      </c>
      <c r="C2377" s="31"/>
      <c r="D2377" s="31"/>
      <c r="E2377" s="31"/>
      <c r="F2377" s="31"/>
      <c r="G2377" s="31"/>
    </row>
    <row r="2378" spans="1:7" x14ac:dyDescent="0.3">
      <c r="A2378" s="131" t="s">
        <v>3537</v>
      </c>
      <c r="B2378" s="130">
        <v>67</v>
      </c>
      <c r="C2378" s="31"/>
      <c r="D2378" s="31"/>
      <c r="E2378" s="31"/>
      <c r="F2378" s="31"/>
      <c r="G2378" s="31"/>
    </row>
    <row r="2379" spans="1:7" x14ac:dyDescent="0.3">
      <c r="A2379" s="131" t="s">
        <v>3538</v>
      </c>
      <c r="B2379" s="130">
        <v>49</v>
      </c>
      <c r="C2379" s="31"/>
      <c r="D2379" s="31"/>
      <c r="E2379" s="31"/>
      <c r="F2379" s="31"/>
      <c r="G2379" s="31"/>
    </row>
    <row r="2380" spans="1:7" x14ac:dyDescent="0.3">
      <c r="A2380" s="131" t="s">
        <v>3539</v>
      </c>
      <c r="B2380" s="130">
        <v>253</v>
      </c>
      <c r="C2380" s="31"/>
      <c r="D2380" s="31"/>
      <c r="E2380" s="31"/>
      <c r="F2380" s="31"/>
      <c r="G2380" s="31"/>
    </row>
    <row r="2381" spans="1:7" x14ac:dyDescent="0.3">
      <c r="A2381" s="131" t="s">
        <v>3540</v>
      </c>
      <c r="B2381" s="130">
        <v>271</v>
      </c>
      <c r="C2381" s="31"/>
      <c r="D2381" s="31"/>
      <c r="E2381" s="31"/>
      <c r="F2381" s="31"/>
      <c r="G2381" s="31"/>
    </row>
    <row r="2382" spans="1:7" x14ac:dyDescent="0.3">
      <c r="A2382" s="131" t="s">
        <v>3541</v>
      </c>
      <c r="B2382" s="130" t="s">
        <v>1163</v>
      </c>
      <c r="C2382" s="31"/>
      <c r="D2382" s="31"/>
      <c r="E2382" s="31"/>
      <c r="F2382" s="31"/>
      <c r="G2382" s="31"/>
    </row>
    <row r="2383" spans="1:7" x14ac:dyDescent="0.3">
      <c r="A2383" s="131" t="s">
        <v>3542</v>
      </c>
      <c r="B2383" s="130">
        <v>186</v>
      </c>
      <c r="C2383" s="31"/>
      <c r="D2383" s="31"/>
      <c r="E2383" s="31"/>
      <c r="F2383" s="31"/>
      <c r="G2383" s="31"/>
    </row>
    <row r="2384" spans="1:7" x14ac:dyDescent="0.3">
      <c r="A2384" s="131" t="s">
        <v>3543</v>
      </c>
      <c r="B2384" s="130">
        <v>150</v>
      </c>
      <c r="C2384" s="31"/>
      <c r="D2384" s="31"/>
      <c r="E2384" s="31"/>
      <c r="F2384" s="31"/>
      <c r="G2384" s="31"/>
    </row>
    <row r="2385" spans="1:7" x14ac:dyDescent="0.3">
      <c r="A2385" s="131" t="s">
        <v>3544</v>
      </c>
      <c r="B2385" s="130">
        <v>194</v>
      </c>
      <c r="C2385" s="31"/>
      <c r="D2385" s="31"/>
      <c r="E2385" s="31"/>
      <c r="F2385" s="31"/>
      <c r="G2385" s="31"/>
    </row>
    <row r="2386" spans="1:7" x14ac:dyDescent="0.3">
      <c r="A2386" s="131" t="s">
        <v>3545</v>
      </c>
      <c r="B2386" s="130">
        <v>206</v>
      </c>
      <c r="C2386" s="31"/>
      <c r="D2386" s="31"/>
      <c r="E2386" s="31"/>
      <c r="F2386" s="31"/>
      <c r="G2386" s="31"/>
    </row>
    <row r="2387" spans="1:7" x14ac:dyDescent="0.3">
      <c r="A2387" s="131" t="s">
        <v>3546</v>
      </c>
      <c r="B2387" s="130">
        <v>99</v>
      </c>
      <c r="C2387" s="31"/>
      <c r="D2387" s="31"/>
      <c r="E2387" s="31"/>
      <c r="F2387" s="31"/>
      <c r="G2387" s="31"/>
    </row>
    <row r="2388" spans="1:7" x14ac:dyDescent="0.3">
      <c r="A2388" s="131" t="s">
        <v>3547</v>
      </c>
      <c r="B2388" s="130">
        <v>59</v>
      </c>
      <c r="C2388" s="31"/>
      <c r="D2388" s="31"/>
      <c r="E2388" s="31"/>
      <c r="F2388" s="31"/>
      <c r="G2388" s="31"/>
    </row>
    <row r="2389" spans="1:7" x14ac:dyDescent="0.3">
      <c r="A2389" s="131" t="s">
        <v>3548</v>
      </c>
      <c r="B2389" s="130">
        <v>0</v>
      </c>
      <c r="C2389" s="31"/>
      <c r="D2389" s="31"/>
      <c r="E2389" s="31"/>
      <c r="F2389" s="31"/>
      <c r="G2389" s="31"/>
    </row>
    <row r="2390" spans="1:7" x14ac:dyDescent="0.3">
      <c r="A2390" s="131" t="s">
        <v>3549</v>
      </c>
      <c r="B2390" s="130">
        <v>82</v>
      </c>
      <c r="C2390" s="31"/>
      <c r="D2390" s="31"/>
      <c r="E2390" s="31"/>
      <c r="F2390" s="31"/>
      <c r="G2390" s="31"/>
    </row>
    <row r="2391" spans="1:7" x14ac:dyDescent="0.3">
      <c r="A2391" s="131" t="s">
        <v>3550</v>
      </c>
      <c r="B2391" s="130">
        <v>225</v>
      </c>
      <c r="C2391" s="31"/>
      <c r="D2391" s="31"/>
      <c r="E2391" s="31"/>
      <c r="F2391" s="31"/>
      <c r="G2391" s="31"/>
    </row>
    <row r="2392" spans="1:7" x14ac:dyDescent="0.3">
      <c r="A2392" s="131" t="s">
        <v>3551</v>
      </c>
      <c r="B2392" s="130">
        <v>244</v>
      </c>
      <c r="C2392" s="31"/>
      <c r="D2392" s="31"/>
      <c r="E2392" s="31"/>
      <c r="F2392" s="31"/>
      <c r="G2392" s="31"/>
    </row>
    <row r="2393" spans="1:7" x14ac:dyDescent="0.3">
      <c r="A2393" s="131" t="s">
        <v>3552</v>
      </c>
      <c r="B2393" s="130">
        <v>77</v>
      </c>
      <c r="C2393" s="31"/>
      <c r="D2393" s="31"/>
      <c r="E2393" s="31"/>
      <c r="F2393" s="31"/>
      <c r="G2393" s="31"/>
    </row>
    <row r="2394" spans="1:7" x14ac:dyDescent="0.3">
      <c r="A2394" s="131" t="s">
        <v>3553</v>
      </c>
      <c r="B2394" s="130">
        <v>68</v>
      </c>
      <c r="C2394" s="31"/>
      <c r="D2394" s="31"/>
      <c r="E2394" s="31"/>
      <c r="F2394" s="31"/>
      <c r="G2394" s="31"/>
    </row>
    <row r="2395" spans="1:7" x14ac:dyDescent="0.3">
      <c r="A2395" s="131" t="s">
        <v>3554</v>
      </c>
      <c r="B2395" s="130">
        <v>197</v>
      </c>
      <c r="C2395" s="31"/>
      <c r="D2395" s="31"/>
      <c r="E2395" s="31"/>
      <c r="F2395" s="31"/>
      <c r="G2395" s="31"/>
    </row>
    <row r="2396" spans="1:7" x14ac:dyDescent="0.3">
      <c r="A2396" s="131" t="s">
        <v>3555</v>
      </c>
      <c r="B2396" s="130">
        <v>108</v>
      </c>
      <c r="C2396" s="31"/>
      <c r="D2396" s="31"/>
      <c r="E2396" s="31"/>
      <c r="F2396" s="31"/>
      <c r="G2396" s="31"/>
    </row>
    <row r="2397" spans="1:7" x14ac:dyDescent="0.3">
      <c r="A2397" s="131" t="s">
        <v>3556</v>
      </c>
      <c r="B2397" s="130">
        <v>61</v>
      </c>
      <c r="C2397" s="31"/>
      <c r="D2397" s="31"/>
      <c r="E2397" s="31"/>
      <c r="F2397" s="31"/>
      <c r="G2397" s="31"/>
    </row>
    <row r="2398" spans="1:7" x14ac:dyDescent="0.3">
      <c r="A2398" s="131" t="s">
        <v>3557</v>
      </c>
      <c r="B2398" s="130">
        <v>253</v>
      </c>
      <c r="C2398" s="31"/>
      <c r="D2398" s="31"/>
      <c r="E2398" s="31"/>
      <c r="F2398" s="31"/>
      <c r="G2398" s="31"/>
    </row>
    <row r="2399" spans="1:7" x14ac:dyDescent="0.3">
      <c r="A2399" s="131" t="s">
        <v>3558</v>
      </c>
      <c r="B2399" s="130">
        <v>0</v>
      </c>
      <c r="C2399" s="31"/>
      <c r="D2399" s="31"/>
      <c r="E2399" s="31"/>
      <c r="F2399" s="31"/>
      <c r="G2399" s="31"/>
    </row>
    <row r="2400" spans="1:7" x14ac:dyDescent="0.3">
      <c r="A2400" s="131" t="s">
        <v>3559</v>
      </c>
      <c r="B2400" s="130">
        <v>147</v>
      </c>
      <c r="C2400" s="31"/>
      <c r="D2400" s="31"/>
      <c r="E2400" s="31"/>
      <c r="F2400" s="31"/>
      <c r="G2400" s="31"/>
    </row>
    <row r="2401" spans="1:7" x14ac:dyDescent="0.3">
      <c r="A2401" s="131" t="s">
        <v>3560</v>
      </c>
      <c r="B2401" s="130">
        <v>118</v>
      </c>
      <c r="C2401" s="31"/>
      <c r="D2401" s="31"/>
      <c r="E2401" s="31"/>
      <c r="F2401" s="31"/>
      <c r="G2401" s="31"/>
    </row>
    <row r="2402" spans="1:7" x14ac:dyDescent="0.3">
      <c r="A2402" s="131" t="s">
        <v>3561</v>
      </c>
      <c r="B2402" s="130">
        <v>164</v>
      </c>
      <c r="C2402" s="31"/>
      <c r="D2402" s="31"/>
      <c r="E2402" s="31"/>
      <c r="F2402" s="31"/>
      <c r="G2402" s="31"/>
    </row>
    <row r="2403" spans="1:7" x14ac:dyDescent="0.3">
      <c r="A2403" s="131" t="s">
        <v>3562</v>
      </c>
      <c r="B2403" s="130">
        <v>101</v>
      </c>
      <c r="C2403" s="31"/>
      <c r="D2403" s="31"/>
      <c r="E2403" s="31"/>
      <c r="F2403" s="31"/>
      <c r="G2403" s="31"/>
    </row>
    <row r="2404" spans="1:7" x14ac:dyDescent="0.3">
      <c r="A2404" s="131" t="s">
        <v>3563</v>
      </c>
      <c r="B2404" s="130">
        <v>96</v>
      </c>
      <c r="C2404" s="31"/>
      <c r="D2404" s="31"/>
      <c r="E2404" s="31"/>
      <c r="F2404" s="31"/>
      <c r="G2404" s="31"/>
    </row>
    <row r="2405" spans="1:7" x14ac:dyDescent="0.3">
      <c r="A2405" s="131" t="s">
        <v>3564</v>
      </c>
      <c r="B2405" s="130">
        <v>75</v>
      </c>
      <c r="C2405" s="31"/>
      <c r="D2405" s="31"/>
      <c r="E2405" s="31"/>
      <c r="F2405" s="31"/>
      <c r="G2405" s="31"/>
    </row>
    <row r="2406" spans="1:7" x14ac:dyDescent="0.3">
      <c r="A2406" s="131" t="s">
        <v>3565</v>
      </c>
      <c r="B2406" s="130">
        <v>398</v>
      </c>
      <c r="C2406" s="31"/>
      <c r="D2406" s="31"/>
      <c r="E2406" s="31"/>
      <c r="F2406" s="31"/>
      <c r="G2406" s="31"/>
    </row>
    <row r="2407" spans="1:7" x14ac:dyDescent="0.3">
      <c r="A2407" s="131" t="s">
        <v>3566</v>
      </c>
      <c r="B2407" s="130">
        <v>175</v>
      </c>
      <c r="C2407" s="31"/>
      <c r="D2407" s="31"/>
      <c r="E2407" s="31"/>
      <c r="F2407" s="31"/>
      <c r="G2407" s="31"/>
    </row>
    <row r="2408" spans="1:7" x14ac:dyDescent="0.3">
      <c r="A2408" s="131" t="s">
        <v>3567</v>
      </c>
      <c r="B2408" s="130">
        <v>119</v>
      </c>
      <c r="C2408" s="31"/>
      <c r="D2408" s="31"/>
      <c r="E2408" s="31"/>
      <c r="F2408" s="31"/>
      <c r="G2408" s="31"/>
    </row>
    <row r="2409" spans="1:7" x14ac:dyDescent="0.3">
      <c r="A2409" s="131" t="s">
        <v>3568</v>
      </c>
      <c r="B2409" s="130">
        <v>228</v>
      </c>
      <c r="C2409" s="31"/>
      <c r="D2409" s="31"/>
      <c r="E2409" s="31"/>
      <c r="F2409" s="31"/>
      <c r="G2409" s="31"/>
    </row>
    <row r="2410" spans="1:7" x14ac:dyDescent="0.3">
      <c r="A2410" s="131" t="s">
        <v>3569</v>
      </c>
      <c r="B2410" s="130">
        <v>27</v>
      </c>
      <c r="C2410" s="31"/>
      <c r="D2410" s="31"/>
      <c r="E2410" s="31"/>
      <c r="F2410" s="31"/>
      <c r="G2410" s="31"/>
    </row>
    <row r="2411" spans="1:7" x14ac:dyDescent="0.3">
      <c r="A2411" s="131" t="s">
        <v>3570</v>
      </c>
      <c r="B2411" s="130">
        <v>0</v>
      </c>
      <c r="C2411" s="31"/>
      <c r="D2411" s="31"/>
      <c r="E2411" s="31"/>
      <c r="F2411" s="31"/>
      <c r="G2411" s="31"/>
    </row>
    <row r="2412" spans="1:7" x14ac:dyDescent="0.3">
      <c r="A2412" s="131" t="s">
        <v>3571</v>
      </c>
      <c r="B2412" s="130">
        <v>0</v>
      </c>
      <c r="C2412" s="31"/>
      <c r="D2412" s="31"/>
      <c r="E2412" s="31"/>
      <c r="F2412" s="31"/>
      <c r="G2412" s="31"/>
    </row>
    <row r="2413" spans="1:7" x14ac:dyDescent="0.3">
      <c r="A2413" s="131" t="s">
        <v>3572</v>
      </c>
      <c r="B2413" s="130">
        <v>0</v>
      </c>
      <c r="C2413" s="31"/>
      <c r="D2413" s="31"/>
      <c r="E2413" s="31"/>
      <c r="F2413" s="31"/>
      <c r="G2413" s="31"/>
    </row>
    <row r="2414" spans="1:7" x14ac:dyDescent="0.3">
      <c r="A2414" s="131" t="s">
        <v>3573</v>
      </c>
      <c r="B2414" s="130">
        <v>0</v>
      </c>
      <c r="C2414" s="31"/>
      <c r="D2414" s="31"/>
      <c r="E2414" s="31"/>
      <c r="F2414" s="31"/>
      <c r="G2414" s="31"/>
    </row>
    <row r="2415" spans="1:7" x14ac:dyDescent="0.3">
      <c r="A2415" s="131" t="s">
        <v>3574</v>
      </c>
      <c r="B2415" s="130">
        <v>0</v>
      </c>
      <c r="C2415" s="31"/>
      <c r="D2415" s="31"/>
      <c r="E2415" s="31"/>
      <c r="F2415" s="31"/>
      <c r="G2415" s="31"/>
    </row>
    <row r="2416" spans="1:7" x14ac:dyDescent="0.3">
      <c r="A2416" s="131" t="s">
        <v>3575</v>
      </c>
      <c r="B2416" s="130">
        <v>0</v>
      </c>
      <c r="C2416" s="31"/>
      <c r="D2416" s="31"/>
      <c r="E2416" s="31"/>
      <c r="F2416" s="31"/>
      <c r="G2416" s="31"/>
    </row>
    <row r="2417" spans="1:7" x14ac:dyDescent="0.3">
      <c r="A2417" s="131" t="s">
        <v>3576</v>
      </c>
      <c r="B2417" s="130">
        <v>53</v>
      </c>
      <c r="C2417" s="31"/>
      <c r="D2417" s="31"/>
      <c r="E2417" s="31"/>
      <c r="F2417" s="31"/>
      <c r="G2417" s="31"/>
    </row>
    <row r="2418" spans="1:7" x14ac:dyDescent="0.3">
      <c r="A2418" s="131" t="s">
        <v>3577</v>
      </c>
      <c r="B2418" s="130">
        <v>158</v>
      </c>
      <c r="C2418" s="31"/>
      <c r="D2418" s="31"/>
      <c r="E2418" s="31"/>
      <c r="F2418" s="31"/>
      <c r="G2418" s="31"/>
    </row>
    <row r="2419" spans="1:7" x14ac:dyDescent="0.3">
      <c r="A2419" s="131" t="s">
        <v>3578</v>
      </c>
      <c r="B2419" s="130">
        <v>75</v>
      </c>
      <c r="C2419" s="31"/>
      <c r="D2419" s="31"/>
      <c r="E2419" s="31"/>
      <c r="F2419" s="31"/>
      <c r="G2419" s="31"/>
    </row>
    <row r="2420" spans="1:7" x14ac:dyDescent="0.3">
      <c r="A2420" s="131" t="s">
        <v>3579</v>
      </c>
      <c r="B2420" s="130">
        <v>97</v>
      </c>
      <c r="C2420" s="31"/>
      <c r="D2420" s="31"/>
      <c r="E2420" s="31"/>
      <c r="F2420" s="31"/>
      <c r="G2420" s="31"/>
    </row>
    <row r="2421" spans="1:7" x14ac:dyDescent="0.3">
      <c r="A2421" s="131" t="s">
        <v>3580</v>
      </c>
      <c r="B2421" s="130">
        <v>74</v>
      </c>
      <c r="C2421" s="31"/>
      <c r="D2421" s="31"/>
      <c r="E2421" s="31"/>
      <c r="F2421" s="31"/>
      <c r="G2421" s="31"/>
    </row>
    <row r="2422" spans="1:7" x14ac:dyDescent="0.3">
      <c r="A2422" s="131" t="s">
        <v>3581</v>
      </c>
      <c r="B2422" s="130">
        <v>181</v>
      </c>
      <c r="C2422" s="31"/>
      <c r="D2422" s="31"/>
      <c r="E2422" s="31"/>
      <c r="F2422" s="31"/>
      <c r="G2422" s="31"/>
    </row>
    <row r="2423" spans="1:7" x14ac:dyDescent="0.3">
      <c r="A2423" s="131" t="s">
        <v>3582</v>
      </c>
      <c r="B2423" s="130">
        <v>103</v>
      </c>
      <c r="C2423" s="31"/>
      <c r="D2423" s="31"/>
      <c r="E2423" s="31"/>
      <c r="F2423" s="31"/>
      <c r="G2423" s="31"/>
    </row>
    <row r="2424" spans="1:7" x14ac:dyDescent="0.3">
      <c r="A2424" s="131" t="s">
        <v>3583</v>
      </c>
      <c r="B2424" s="130">
        <v>36</v>
      </c>
      <c r="C2424" s="31"/>
      <c r="D2424" s="31"/>
      <c r="E2424" s="31"/>
      <c r="F2424" s="31"/>
      <c r="G2424" s="31"/>
    </row>
    <row r="2425" spans="1:7" x14ac:dyDescent="0.3">
      <c r="A2425" s="131" t="s">
        <v>3584</v>
      </c>
      <c r="B2425" s="130">
        <v>45</v>
      </c>
      <c r="C2425" s="31"/>
      <c r="D2425" s="31"/>
      <c r="E2425" s="31"/>
      <c r="F2425" s="31"/>
      <c r="G2425" s="31"/>
    </row>
    <row r="2426" spans="1:7" x14ac:dyDescent="0.3">
      <c r="A2426" s="131" t="s">
        <v>3585</v>
      </c>
      <c r="B2426" s="130">
        <v>112</v>
      </c>
      <c r="C2426" s="31"/>
      <c r="D2426" s="31"/>
      <c r="E2426" s="31"/>
      <c r="F2426" s="31"/>
      <c r="G2426" s="31"/>
    </row>
    <row r="2427" spans="1:7" x14ac:dyDescent="0.3">
      <c r="A2427" s="131" t="s">
        <v>3586</v>
      </c>
      <c r="B2427" s="130">
        <v>47</v>
      </c>
      <c r="C2427" s="31"/>
      <c r="D2427" s="31"/>
      <c r="E2427" s="31"/>
      <c r="F2427" s="31"/>
      <c r="G2427" s="31"/>
    </row>
    <row r="2428" spans="1:7" x14ac:dyDescent="0.3">
      <c r="A2428" s="131" t="s">
        <v>3587</v>
      </c>
      <c r="B2428" s="130">
        <v>205</v>
      </c>
      <c r="C2428" s="31"/>
      <c r="D2428" s="31"/>
      <c r="E2428" s="31"/>
      <c r="F2428" s="31"/>
      <c r="G2428" s="31"/>
    </row>
    <row r="2429" spans="1:7" x14ac:dyDescent="0.3">
      <c r="A2429" s="131" t="s">
        <v>3588</v>
      </c>
      <c r="B2429" s="130" t="s">
        <v>1163</v>
      </c>
      <c r="C2429" s="31"/>
      <c r="D2429" s="31"/>
      <c r="E2429" s="31"/>
      <c r="F2429" s="31"/>
      <c r="G2429" s="31"/>
    </row>
    <row r="2430" spans="1:7" x14ac:dyDescent="0.3">
      <c r="A2430" s="131" t="s">
        <v>3589</v>
      </c>
      <c r="B2430" s="130">
        <v>268</v>
      </c>
      <c r="C2430" s="31"/>
      <c r="D2430" s="31"/>
      <c r="E2430" s="31"/>
      <c r="F2430" s="31"/>
      <c r="G2430" s="31"/>
    </row>
    <row r="2431" spans="1:7" x14ac:dyDescent="0.3">
      <c r="A2431" s="131" t="s">
        <v>3590</v>
      </c>
      <c r="B2431" s="130">
        <v>66</v>
      </c>
      <c r="C2431" s="31"/>
      <c r="D2431" s="31"/>
      <c r="E2431" s="31"/>
      <c r="F2431" s="31"/>
      <c r="G2431" s="31"/>
    </row>
    <row r="2432" spans="1:7" x14ac:dyDescent="0.3">
      <c r="A2432" s="131" t="s">
        <v>3591</v>
      </c>
      <c r="B2432" s="130">
        <v>43</v>
      </c>
      <c r="C2432" s="31"/>
      <c r="D2432" s="31"/>
      <c r="E2432" s="31"/>
      <c r="F2432" s="31"/>
      <c r="G2432" s="31"/>
    </row>
    <row r="2433" spans="1:7" x14ac:dyDescent="0.3">
      <c r="A2433" s="131" t="s">
        <v>3592</v>
      </c>
      <c r="B2433" s="130">
        <v>42</v>
      </c>
      <c r="C2433" s="31"/>
      <c r="D2433" s="31"/>
      <c r="E2433" s="31"/>
      <c r="F2433" s="31"/>
      <c r="G2433" s="31"/>
    </row>
    <row r="2434" spans="1:7" x14ac:dyDescent="0.3">
      <c r="A2434" s="131" t="s">
        <v>3593</v>
      </c>
      <c r="B2434" s="130">
        <v>18</v>
      </c>
      <c r="C2434" s="31"/>
      <c r="D2434" s="31"/>
      <c r="E2434" s="31"/>
      <c r="F2434" s="31"/>
      <c r="G2434" s="31"/>
    </row>
    <row r="2435" spans="1:7" x14ac:dyDescent="0.3">
      <c r="A2435" s="131" t="s">
        <v>3594</v>
      </c>
      <c r="B2435" s="130" t="s">
        <v>1163</v>
      </c>
      <c r="C2435" s="31"/>
      <c r="D2435" s="31"/>
      <c r="E2435" s="31"/>
      <c r="F2435" s="31"/>
      <c r="G2435" s="31"/>
    </row>
    <row r="2436" spans="1:7" x14ac:dyDescent="0.3">
      <c r="A2436" s="131" t="s">
        <v>3595</v>
      </c>
      <c r="B2436" s="130" t="s">
        <v>1163</v>
      </c>
      <c r="C2436" s="31"/>
      <c r="D2436" s="31"/>
      <c r="E2436" s="31"/>
      <c r="F2436" s="31"/>
      <c r="G2436" s="31"/>
    </row>
    <row r="2437" spans="1:7" x14ac:dyDescent="0.3">
      <c r="A2437" s="131" t="s">
        <v>3596</v>
      </c>
      <c r="B2437" s="130" t="s">
        <v>1163</v>
      </c>
      <c r="C2437" s="31"/>
      <c r="D2437" s="31"/>
      <c r="E2437" s="31"/>
      <c r="F2437" s="31"/>
      <c r="G2437" s="31"/>
    </row>
    <row r="2438" spans="1:7" x14ac:dyDescent="0.3">
      <c r="A2438" s="131" t="s">
        <v>3597</v>
      </c>
      <c r="B2438" s="130">
        <v>17</v>
      </c>
      <c r="C2438" s="31"/>
      <c r="D2438" s="31"/>
      <c r="E2438" s="31"/>
      <c r="F2438" s="31"/>
      <c r="G2438" s="31"/>
    </row>
    <row r="2439" spans="1:7" x14ac:dyDescent="0.3">
      <c r="A2439" s="131" t="s">
        <v>3598</v>
      </c>
      <c r="B2439" s="130" t="s">
        <v>1163</v>
      </c>
      <c r="C2439" s="31"/>
      <c r="D2439" s="31"/>
      <c r="E2439" s="31"/>
      <c r="F2439" s="31"/>
      <c r="G2439" s="31"/>
    </row>
    <row r="2440" spans="1:7" x14ac:dyDescent="0.3">
      <c r="A2440" s="131" t="s">
        <v>3599</v>
      </c>
      <c r="B2440" s="130">
        <v>284</v>
      </c>
      <c r="C2440" s="31"/>
      <c r="D2440" s="31"/>
      <c r="E2440" s="31"/>
      <c r="F2440" s="31"/>
      <c r="G2440" s="31"/>
    </row>
    <row r="2441" spans="1:7" x14ac:dyDescent="0.3">
      <c r="A2441" s="131" t="s">
        <v>3600</v>
      </c>
      <c r="B2441" s="130" t="s">
        <v>1163</v>
      </c>
      <c r="C2441" s="31"/>
      <c r="D2441" s="31"/>
      <c r="E2441" s="31"/>
      <c r="F2441" s="31"/>
      <c r="G2441" s="31"/>
    </row>
    <row r="2442" spans="1:7" x14ac:dyDescent="0.3">
      <c r="A2442" s="131" t="s">
        <v>3601</v>
      </c>
      <c r="B2442" s="130" t="s">
        <v>1163</v>
      </c>
      <c r="C2442" s="31"/>
      <c r="D2442" s="31"/>
      <c r="E2442" s="31"/>
      <c r="F2442" s="31"/>
      <c r="G2442" s="31"/>
    </row>
    <row r="2443" spans="1:7" x14ac:dyDescent="0.3">
      <c r="A2443" s="131" t="s">
        <v>3602</v>
      </c>
      <c r="B2443" s="130" t="s">
        <v>1163</v>
      </c>
      <c r="C2443" s="31"/>
      <c r="D2443" s="31"/>
      <c r="E2443" s="31"/>
      <c r="F2443" s="31"/>
      <c r="G2443" s="31"/>
    </row>
    <row r="2444" spans="1:7" x14ac:dyDescent="0.3">
      <c r="A2444" s="131" t="s">
        <v>3603</v>
      </c>
      <c r="B2444" s="130">
        <v>29</v>
      </c>
      <c r="C2444" s="31"/>
      <c r="D2444" s="31"/>
      <c r="E2444" s="31"/>
      <c r="F2444" s="31"/>
      <c r="G2444" s="31"/>
    </row>
    <row r="2445" spans="1:7" x14ac:dyDescent="0.3">
      <c r="A2445" s="131" t="s">
        <v>3604</v>
      </c>
      <c r="B2445" s="130">
        <v>33</v>
      </c>
      <c r="C2445" s="31"/>
      <c r="D2445" s="31"/>
      <c r="E2445" s="31"/>
      <c r="F2445" s="31"/>
      <c r="G2445" s="31"/>
    </row>
    <row r="2446" spans="1:7" x14ac:dyDescent="0.3">
      <c r="A2446" s="131" t="s">
        <v>3605</v>
      </c>
      <c r="B2446" s="130" t="s">
        <v>1163</v>
      </c>
      <c r="C2446" s="31"/>
      <c r="D2446" s="31"/>
      <c r="E2446" s="31"/>
      <c r="F2446" s="31"/>
      <c r="G2446" s="31"/>
    </row>
    <row r="2447" spans="1:7" x14ac:dyDescent="0.3">
      <c r="A2447" s="131" t="s">
        <v>3606</v>
      </c>
      <c r="B2447" s="130" t="s">
        <v>1163</v>
      </c>
      <c r="C2447" s="31"/>
      <c r="D2447" s="31"/>
      <c r="E2447" s="31"/>
      <c r="F2447" s="31"/>
      <c r="G2447" s="31"/>
    </row>
    <row r="2448" spans="1:7" x14ac:dyDescent="0.3">
      <c r="A2448" s="131" t="s">
        <v>3607</v>
      </c>
      <c r="B2448" s="130" t="s">
        <v>1163</v>
      </c>
      <c r="C2448" s="31"/>
      <c r="D2448" s="31"/>
      <c r="E2448" s="31"/>
      <c r="F2448" s="31"/>
      <c r="G2448" s="31"/>
    </row>
    <row r="2449" spans="1:7" x14ac:dyDescent="0.3">
      <c r="A2449" s="131" t="s">
        <v>3608</v>
      </c>
      <c r="B2449" s="130">
        <v>15</v>
      </c>
      <c r="C2449" s="31"/>
      <c r="D2449" s="31"/>
      <c r="E2449" s="31"/>
      <c r="F2449" s="31"/>
      <c r="G2449" s="31"/>
    </row>
    <row r="2450" spans="1:7" x14ac:dyDescent="0.3">
      <c r="A2450" s="131" t="s">
        <v>3609</v>
      </c>
      <c r="B2450" s="130">
        <v>68</v>
      </c>
      <c r="C2450" s="31"/>
      <c r="D2450" s="31"/>
      <c r="E2450" s="31"/>
      <c r="F2450" s="31"/>
      <c r="G2450" s="31"/>
    </row>
    <row r="2451" spans="1:7" x14ac:dyDescent="0.3">
      <c r="A2451" s="131" t="s">
        <v>3610</v>
      </c>
      <c r="B2451" s="130">
        <v>101</v>
      </c>
      <c r="C2451" s="31"/>
      <c r="D2451" s="31"/>
      <c r="E2451" s="31"/>
      <c r="F2451" s="31"/>
      <c r="G2451" s="31"/>
    </row>
    <row r="2452" spans="1:7" x14ac:dyDescent="0.3">
      <c r="A2452" s="131" t="s">
        <v>3611</v>
      </c>
      <c r="B2452" s="130">
        <v>26</v>
      </c>
      <c r="C2452" s="31"/>
      <c r="D2452" s="31"/>
      <c r="E2452" s="31"/>
      <c r="F2452" s="31"/>
      <c r="G2452" s="31"/>
    </row>
    <row r="2453" spans="1:7" x14ac:dyDescent="0.3">
      <c r="A2453" s="131" t="s">
        <v>3612</v>
      </c>
      <c r="B2453" s="130">
        <v>79</v>
      </c>
      <c r="C2453" s="31"/>
      <c r="D2453" s="31"/>
      <c r="E2453" s="31"/>
      <c r="F2453" s="31"/>
      <c r="G2453" s="31"/>
    </row>
    <row r="2454" spans="1:7" x14ac:dyDescent="0.3">
      <c r="A2454" s="131" t="s">
        <v>3613</v>
      </c>
      <c r="B2454" s="130" t="s">
        <v>1163</v>
      </c>
      <c r="C2454" s="31"/>
      <c r="D2454" s="31"/>
      <c r="E2454" s="31"/>
      <c r="F2454" s="31"/>
      <c r="G2454" s="31"/>
    </row>
    <row r="2455" spans="1:7" x14ac:dyDescent="0.3">
      <c r="A2455" s="131" t="s">
        <v>3614</v>
      </c>
      <c r="B2455" s="130" t="s">
        <v>1163</v>
      </c>
      <c r="C2455" s="31"/>
      <c r="D2455" s="31"/>
      <c r="E2455" s="31"/>
      <c r="F2455" s="31"/>
      <c r="G2455" s="31"/>
    </row>
    <row r="2456" spans="1:7" x14ac:dyDescent="0.3">
      <c r="A2456" s="131" t="s">
        <v>3615</v>
      </c>
      <c r="B2456" s="130" t="s">
        <v>1163</v>
      </c>
      <c r="C2456" s="31"/>
      <c r="D2456" s="31"/>
      <c r="E2456" s="31"/>
      <c r="F2456" s="31"/>
      <c r="G2456" s="31"/>
    </row>
    <row r="2457" spans="1:7" x14ac:dyDescent="0.3">
      <c r="A2457" s="131" t="s">
        <v>3616</v>
      </c>
      <c r="B2457" s="130">
        <v>18</v>
      </c>
      <c r="C2457" s="31"/>
      <c r="D2457" s="31"/>
      <c r="E2457" s="31"/>
      <c r="F2457" s="31"/>
      <c r="G2457" s="31"/>
    </row>
    <row r="2458" spans="1:7" x14ac:dyDescent="0.3">
      <c r="A2458" s="131" t="s">
        <v>3617</v>
      </c>
      <c r="B2458" s="130">
        <v>28</v>
      </c>
      <c r="C2458" s="31"/>
      <c r="D2458" s="31"/>
      <c r="E2458" s="31"/>
      <c r="F2458" s="31"/>
      <c r="G2458" s="31"/>
    </row>
    <row r="2459" spans="1:7" x14ac:dyDescent="0.3">
      <c r="A2459" s="131" t="s">
        <v>3618</v>
      </c>
      <c r="B2459" s="130">
        <v>13</v>
      </c>
      <c r="C2459" s="31"/>
      <c r="D2459" s="31"/>
      <c r="E2459" s="31"/>
      <c r="F2459" s="31"/>
      <c r="G2459" s="31"/>
    </row>
    <row r="2460" spans="1:7" x14ac:dyDescent="0.3">
      <c r="A2460" s="131" t="s">
        <v>3619</v>
      </c>
      <c r="B2460" s="130">
        <v>21</v>
      </c>
      <c r="C2460" s="31"/>
      <c r="D2460" s="31"/>
      <c r="E2460" s="31"/>
      <c r="F2460" s="31"/>
      <c r="G2460" s="31"/>
    </row>
    <row r="2461" spans="1:7" x14ac:dyDescent="0.3">
      <c r="A2461" s="131" t="s">
        <v>3620</v>
      </c>
      <c r="B2461" s="130">
        <v>76</v>
      </c>
      <c r="C2461" s="31"/>
      <c r="D2461" s="31"/>
      <c r="E2461" s="31"/>
      <c r="F2461" s="31"/>
      <c r="G2461" s="31"/>
    </row>
    <row r="2462" spans="1:7" x14ac:dyDescent="0.3">
      <c r="A2462" s="131" t="s">
        <v>3621</v>
      </c>
      <c r="B2462" s="130">
        <v>29</v>
      </c>
      <c r="C2462" s="31"/>
      <c r="D2462" s="31"/>
      <c r="E2462" s="31"/>
      <c r="F2462" s="31"/>
      <c r="G2462" s="31"/>
    </row>
    <row r="2463" spans="1:7" x14ac:dyDescent="0.3">
      <c r="A2463" s="131" t="s">
        <v>3622</v>
      </c>
      <c r="B2463" s="130">
        <v>23</v>
      </c>
      <c r="C2463" s="31"/>
      <c r="D2463" s="31"/>
      <c r="E2463" s="31"/>
      <c r="F2463" s="31"/>
      <c r="G2463" s="31"/>
    </row>
    <row r="2464" spans="1:7" x14ac:dyDescent="0.3">
      <c r="A2464" s="131" t="s">
        <v>3623</v>
      </c>
      <c r="B2464" s="130">
        <v>15</v>
      </c>
      <c r="C2464" s="31"/>
      <c r="D2464" s="31"/>
      <c r="E2464" s="31"/>
      <c r="F2464" s="31"/>
      <c r="G2464" s="31"/>
    </row>
    <row r="2465" spans="1:7" x14ac:dyDescent="0.3">
      <c r="A2465" s="131" t="s">
        <v>3624</v>
      </c>
      <c r="B2465" s="130">
        <v>39</v>
      </c>
      <c r="C2465" s="31"/>
      <c r="D2465" s="31"/>
      <c r="E2465" s="31"/>
      <c r="F2465" s="31"/>
      <c r="G2465" s="31"/>
    </row>
    <row r="2466" spans="1:7" x14ac:dyDescent="0.3">
      <c r="A2466" s="131" t="s">
        <v>3625</v>
      </c>
      <c r="B2466" s="130">
        <v>71</v>
      </c>
      <c r="C2466" s="31"/>
      <c r="D2466" s="31"/>
      <c r="E2466" s="31"/>
      <c r="F2466" s="31"/>
      <c r="G2466" s="31"/>
    </row>
    <row r="2467" spans="1:7" x14ac:dyDescent="0.3">
      <c r="A2467" s="131" t="s">
        <v>3626</v>
      </c>
      <c r="B2467" s="130">
        <v>0</v>
      </c>
      <c r="C2467" s="31"/>
      <c r="D2467" s="31"/>
      <c r="E2467" s="31"/>
      <c r="F2467" s="31"/>
      <c r="G2467" s="31"/>
    </row>
    <row r="2468" spans="1:7" x14ac:dyDescent="0.3">
      <c r="A2468" s="131" t="s">
        <v>3627</v>
      </c>
      <c r="B2468" s="130">
        <v>51</v>
      </c>
      <c r="C2468" s="31"/>
      <c r="D2468" s="31"/>
      <c r="E2468" s="31"/>
      <c r="F2468" s="31"/>
      <c r="G2468" s="31"/>
    </row>
    <row r="2469" spans="1:7" x14ac:dyDescent="0.3">
      <c r="A2469" s="131" t="s">
        <v>3628</v>
      </c>
      <c r="B2469" s="130">
        <v>0</v>
      </c>
      <c r="C2469" s="31"/>
      <c r="D2469" s="31"/>
      <c r="E2469" s="31"/>
      <c r="F2469" s="31"/>
      <c r="G2469" s="31"/>
    </row>
    <row r="2470" spans="1:7" x14ac:dyDescent="0.3">
      <c r="A2470" s="131" t="s">
        <v>3629</v>
      </c>
      <c r="B2470" s="130">
        <v>28</v>
      </c>
      <c r="C2470" s="31"/>
      <c r="D2470" s="31"/>
      <c r="E2470" s="31"/>
      <c r="F2470" s="31"/>
      <c r="G2470" s="31"/>
    </row>
    <row r="2471" spans="1:7" x14ac:dyDescent="0.3">
      <c r="A2471" s="131" t="s">
        <v>3630</v>
      </c>
      <c r="B2471" s="130">
        <v>20</v>
      </c>
      <c r="C2471" s="31"/>
      <c r="D2471" s="31"/>
      <c r="E2471" s="31"/>
      <c r="F2471" s="31"/>
      <c r="G2471" s="31"/>
    </row>
    <row r="2472" spans="1:7" x14ac:dyDescent="0.3">
      <c r="A2472" s="131" t="s">
        <v>3631</v>
      </c>
      <c r="B2472" s="130" t="s">
        <v>1163</v>
      </c>
      <c r="C2472" s="31"/>
      <c r="D2472" s="31"/>
      <c r="E2472" s="31"/>
      <c r="F2472" s="31"/>
      <c r="G2472" s="31"/>
    </row>
    <row r="2473" spans="1:7" x14ac:dyDescent="0.3">
      <c r="A2473" s="131" t="s">
        <v>3632</v>
      </c>
      <c r="B2473" s="130">
        <v>104</v>
      </c>
      <c r="C2473" s="31"/>
      <c r="D2473" s="31"/>
      <c r="E2473" s="31"/>
      <c r="F2473" s="31"/>
      <c r="G2473" s="31"/>
    </row>
    <row r="2474" spans="1:7" x14ac:dyDescent="0.3">
      <c r="A2474" s="131" t="s">
        <v>3633</v>
      </c>
      <c r="B2474" s="130">
        <v>36</v>
      </c>
      <c r="C2474" s="31"/>
      <c r="D2474" s="31"/>
      <c r="E2474" s="31"/>
      <c r="F2474" s="31"/>
      <c r="G2474" s="31"/>
    </row>
    <row r="2475" spans="1:7" x14ac:dyDescent="0.3">
      <c r="A2475" s="131" t="s">
        <v>3634</v>
      </c>
      <c r="B2475" s="130">
        <v>14</v>
      </c>
      <c r="C2475" s="31"/>
      <c r="D2475" s="31"/>
      <c r="E2475" s="31"/>
      <c r="F2475" s="31"/>
      <c r="G2475" s="31"/>
    </row>
    <row r="2476" spans="1:7" x14ac:dyDescent="0.3">
      <c r="A2476" s="131" t="s">
        <v>3635</v>
      </c>
      <c r="B2476" s="130">
        <v>33</v>
      </c>
      <c r="C2476" s="31"/>
      <c r="D2476" s="31"/>
      <c r="E2476" s="31"/>
      <c r="F2476" s="31"/>
      <c r="G2476" s="31"/>
    </row>
    <row r="2477" spans="1:7" x14ac:dyDescent="0.3">
      <c r="A2477" s="131" t="s">
        <v>3636</v>
      </c>
      <c r="B2477" s="130">
        <v>41</v>
      </c>
      <c r="C2477" s="31"/>
      <c r="D2477" s="31"/>
      <c r="E2477" s="31"/>
      <c r="F2477" s="31"/>
      <c r="G2477" s="31"/>
    </row>
    <row r="2478" spans="1:7" x14ac:dyDescent="0.3">
      <c r="A2478" s="131" t="s">
        <v>3637</v>
      </c>
      <c r="B2478" s="130" t="s">
        <v>1163</v>
      </c>
      <c r="C2478" s="31"/>
      <c r="D2478" s="31"/>
      <c r="E2478" s="31"/>
      <c r="F2478" s="31"/>
      <c r="G2478" s="31"/>
    </row>
    <row r="2479" spans="1:7" x14ac:dyDescent="0.3">
      <c r="A2479" s="131" t="s">
        <v>3638</v>
      </c>
      <c r="B2479" s="130">
        <v>51</v>
      </c>
      <c r="C2479" s="31"/>
      <c r="D2479" s="31"/>
      <c r="E2479" s="31"/>
      <c r="F2479" s="31"/>
      <c r="G2479" s="31"/>
    </row>
    <row r="2480" spans="1:7" x14ac:dyDescent="0.3">
      <c r="A2480" s="131" t="s">
        <v>3639</v>
      </c>
      <c r="B2480" s="130">
        <v>82</v>
      </c>
      <c r="C2480" s="31"/>
      <c r="D2480" s="31"/>
      <c r="E2480" s="31"/>
      <c r="F2480" s="31"/>
      <c r="G2480" s="31"/>
    </row>
    <row r="2481" spans="1:7" x14ac:dyDescent="0.3">
      <c r="A2481" s="131" t="s">
        <v>3640</v>
      </c>
      <c r="B2481" s="130">
        <v>0</v>
      </c>
      <c r="C2481" s="31"/>
      <c r="D2481" s="31"/>
      <c r="E2481" s="31"/>
      <c r="F2481" s="31"/>
      <c r="G2481" s="31"/>
    </row>
    <row r="2482" spans="1:7" x14ac:dyDescent="0.3">
      <c r="A2482" s="131" t="s">
        <v>3641</v>
      </c>
      <c r="B2482" s="130">
        <v>34</v>
      </c>
      <c r="C2482" s="31"/>
      <c r="D2482" s="31"/>
      <c r="E2482" s="31"/>
      <c r="F2482" s="31"/>
      <c r="G2482" s="31"/>
    </row>
    <row r="2483" spans="1:7" x14ac:dyDescent="0.3">
      <c r="A2483" s="131" t="s">
        <v>3642</v>
      </c>
      <c r="B2483" s="130">
        <v>24</v>
      </c>
      <c r="C2483" s="31"/>
      <c r="D2483" s="31"/>
      <c r="E2483" s="31"/>
      <c r="F2483" s="31"/>
      <c r="G2483" s="31"/>
    </row>
    <row r="2484" spans="1:7" x14ac:dyDescent="0.3">
      <c r="A2484" s="131" t="s">
        <v>3643</v>
      </c>
      <c r="B2484" s="130">
        <v>161</v>
      </c>
      <c r="C2484" s="31"/>
      <c r="D2484" s="31"/>
      <c r="E2484" s="31"/>
      <c r="F2484" s="31"/>
      <c r="G2484" s="31"/>
    </row>
    <row r="2485" spans="1:7" x14ac:dyDescent="0.3">
      <c r="A2485" s="131" t="s">
        <v>3644</v>
      </c>
      <c r="B2485" s="130">
        <v>102</v>
      </c>
      <c r="C2485" s="31"/>
      <c r="D2485" s="31"/>
      <c r="E2485" s="31"/>
      <c r="F2485" s="31"/>
      <c r="G2485" s="31"/>
    </row>
    <row r="2486" spans="1:7" x14ac:dyDescent="0.3">
      <c r="A2486" s="131" t="s">
        <v>3645</v>
      </c>
      <c r="B2486" s="130">
        <v>112</v>
      </c>
      <c r="C2486" s="31"/>
      <c r="D2486" s="31"/>
      <c r="E2486" s="31"/>
      <c r="F2486" s="31"/>
      <c r="G2486" s="31"/>
    </row>
    <row r="2487" spans="1:7" x14ac:dyDescent="0.3">
      <c r="A2487" s="131" t="s">
        <v>3646</v>
      </c>
      <c r="B2487" s="130">
        <v>44</v>
      </c>
      <c r="C2487" s="31"/>
      <c r="D2487" s="31"/>
      <c r="E2487" s="31"/>
      <c r="F2487" s="31"/>
      <c r="G2487" s="31"/>
    </row>
    <row r="2488" spans="1:7" x14ac:dyDescent="0.3">
      <c r="A2488" s="131" t="s">
        <v>3647</v>
      </c>
      <c r="B2488" s="130">
        <v>38</v>
      </c>
      <c r="C2488" s="31"/>
      <c r="D2488" s="31"/>
      <c r="E2488" s="31"/>
      <c r="F2488" s="31"/>
      <c r="G2488" s="31"/>
    </row>
    <row r="2489" spans="1:7" x14ac:dyDescent="0.3">
      <c r="A2489" s="131" t="s">
        <v>3648</v>
      </c>
      <c r="B2489" s="130">
        <v>64</v>
      </c>
      <c r="C2489" s="31"/>
      <c r="D2489" s="31"/>
      <c r="E2489" s="31"/>
      <c r="F2489" s="31"/>
      <c r="G2489" s="31"/>
    </row>
    <row r="2490" spans="1:7" x14ac:dyDescent="0.3">
      <c r="A2490" s="131" t="s">
        <v>3649</v>
      </c>
      <c r="B2490" s="130">
        <v>39</v>
      </c>
      <c r="C2490" s="31"/>
      <c r="D2490" s="31"/>
      <c r="E2490" s="31"/>
      <c r="F2490" s="31"/>
      <c r="G2490" s="31"/>
    </row>
    <row r="2491" spans="1:7" x14ac:dyDescent="0.3">
      <c r="A2491" s="131" t="s">
        <v>3650</v>
      </c>
      <c r="B2491" s="130">
        <v>51</v>
      </c>
      <c r="C2491" s="31"/>
      <c r="D2491" s="31"/>
      <c r="E2491" s="31"/>
      <c r="F2491" s="31"/>
      <c r="G2491" s="31"/>
    </row>
    <row r="2492" spans="1:7" x14ac:dyDescent="0.3">
      <c r="A2492" s="131" t="s">
        <v>3651</v>
      </c>
      <c r="B2492" s="130">
        <v>184</v>
      </c>
      <c r="C2492" s="31"/>
      <c r="D2492" s="31"/>
      <c r="E2492" s="31"/>
      <c r="F2492" s="31"/>
      <c r="G2492" s="31"/>
    </row>
    <row r="2493" spans="1:7" x14ac:dyDescent="0.3">
      <c r="A2493" s="131" t="s">
        <v>3652</v>
      </c>
      <c r="B2493" s="130">
        <v>30</v>
      </c>
      <c r="C2493" s="31"/>
      <c r="D2493" s="31"/>
      <c r="E2493" s="31"/>
      <c r="F2493" s="31"/>
      <c r="G2493" s="31"/>
    </row>
    <row r="2494" spans="1:7" x14ac:dyDescent="0.3">
      <c r="A2494" s="131" t="s">
        <v>3653</v>
      </c>
      <c r="B2494" s="130">
        <v>33</v>
      </c>
      <c r="C2494" s="31"/>
      <c r="D2494" s="31"/>
      <c r="E2494" s="31"/>
      <c r="F2494" s="31"/>
      <c r="G2494" s="31"/>
    </row>
    <row r="2495" spans="1:7" x14ac:dyDescent="0.3">
      <c r="A2495" s="131" t="s">
        <v>3654</v>
      </c>
      <c r="B2495" s="130">
        <v>107</v>
      </c>
      <c r="C2495" s="31"/>
      <c r="D2495" s="31"/>
      <c r="E2495" s="31"/>
      <c r="F2495" s="31"/>
      <c r="G2495" s="31"/>
    </row>
    <row r="2496" spans="1:7" x14ac:dyDescent="0.3">
      <c r="A2496" s="131" t="s">
        <v>3655</v>
      </c>
      <c r="B2496" s="130">
        <v>32</v>
      </c>
      <c r="C2496" s="31"/>
      <c r="D2496" s="31"/>
      <c r="E2496" s="31"/>
      <c r="F2496" s="31"/>
      <c r="G2496" s="31"/>
    </row>
    <row r="2497" spans="1:7" x14ac:dyDescent="0.3">
      <c r="A2497" s="131" t="s">
        <v>3656</v>
      </c>
      <c r="B2497" s="130" t="s">
        <v>1163</v>
      </c>
      <c r="C2497" s="31"/>
      <c r="D2497" s="31"/>
      <c r="E2497" s="31"/>
      <c r="F2497" s="31"/>
      <c r="G2497" s="31"/>
    </row>
    <row r="2498" spans="1:7" x14ac:dyDescent="0.3">
      <c r="A2498" s="131" t="s">
        <v>3657</v>
      </c>
      <c r="B2498" s="130">
        <v>303</v>
      </c>
      <c r="C2498" s="31"/>
      <c r="D2498" s="31"/>
      <c r="E2498" s="31"/>
      <c r="F2498" s="31"/>
      <c r="G2498" s="31"/>
    </row>
    <row r="2499" spans="1:7" x14ac:dyDescent="0.3">
      <c r="A2499" s="131" t="s">
        <v>3658</v>
      </c>
      <c r="B2499" s="130">
        <v>0</v>
      </c>
      <c r="C2499" s="31"/>
      <c r="D2499" s="31"/>
      <c r="E2499" s="31"/>
      <c r="F2499" s="31"/>
      <c r="G2499" s="31"/>
    </row>
    <row r="2500" spans="1:7" x14ac:dyDescent="0.3">
      <c r="A2500" s="131" t="s">
        <v>3659</v>
      </c>
      <c r="B2500" s="130">
        <v>208</v>
      </c>
      <c r="C2500" s="31"/>
      <c r="D2500" s="31"/>
      <c r="E2500" s="31"/>
      <c r="F2500" s="31"/>
      <c r="G2500" s="31"/>
    </row>
    <row r="2501" spans="1:7" x14ac:dyDescent="0.3">
      <c r="A2501" s="131" t="s">
        <v>3660</v>
      </c>
      <c r="B2501" s="130">
        <v>29</v>
      </c>
      <c r="C2501" s="31"/>
      <c r="D2501" s="31"/>
      <c r="E2501" s="31"/>
      <c r="F2501" s="31"/>
      <c r="G2501" s="31"/>
    </row>
    <row r="2502" spans="1:7" x14ac:dyDescent="0.3">
      <c r="A2502" s="131" t="s">
        <v>3661</v>
      </c>
      <c r="B2502" s="130">
        <v>95</v>
      </c>
      <c r="C2502" s="31"/>
      <c r="D2502" s="31"/>
      <c r="E2502" s="31"/>
      <c r="F2502" s="31"/>
      <c r="G2502" s="31"/>
    </row>
    <row r="2503" spans="1:7" x14ac:dyDescent="0.3">
      <c r="A2503" s="131" t="s">
        <v>3662</v>
      </c>
      <c r="B2503" s="130">
        <v>223</v>
      </c>
      <c r="C2503" s="31"/>
      <c r="D2503" s="31"/>
      <c r="E2503" s="31"/>
      <c r="F2503" s="31"/>
      <c r="G2503" s="31"/>
    </row>
    <row r="2504" spans="1:7" x14ac:dyDescent="0.3">
      <c r="A2504" s="131" t="s">
        <v>3663</v>
      </c>
      <c r="B2504" s="130">
        <v>155</v>
      </c>
      <c r="C2504" s="31"/>
      <c r="D2504" s="31"/>
      <c r="E2504" s="31"/>
      <c r="F2504" s="31"/>
      <c r="G2504" s="31"/>
    </row>
    <row r="2505" spans="1:7" x14ac:dyDescent="0.3">
      <c r="A2505" s="131" t="s">
        <v>3664</v>
      </c>
      <c r="B2505" s="130">
        <v>180</v>
      </c>
      <c r="C2505" s="31"/>
      <c r="D2505" s="31"/>
      <c r="E2505" s="31"/>
      <c r="F2505" s="31"/>
      <c r="G2505" s="31"/>
    </row>
    <row r="2506" spans="1:7" x14ac:dyDescent="0.3">
      <c r="A2506" s="131" t="s">
        <v>3665</v>
      </c>
      <c r="B2506" s="130">
        <v>34</v>
      </c>
      <c r="C2506" s="31"/>
      <c r="D2506" s="31"/>
      <c r="E2506" s="31"/>
      <c r="F2506" s="31"/>
      <c r="G2506" s="31"/>
    </row>
    <row r="2507" spans="1:7" x14ac:dyDescent="0.3">
      <c r="A2507" s="131" t="s">
        <v>3666</v>
      </c>
      <c r="B2507" s="130">
        <v>59</v>
      </c>
      <c r="C2507" s="31"/>
      <c r="D2507" s="31"/>
      <c r="E2507" s="31"/>
      <c r="F2507" s="31"/>
      <c r="G2507" s="31"/>
    </row>
    <row r="2508" spans="1:7" x14ac:dyDescent="0.3">
      <c r="A2508" s="131" t="s">
        <v>3667</v>
      </c>
      <c r="B2508" s="130">
        <v>122</v>
      </c>
      <c r="C2508" s="31"/>
      <c r="D2508" s="31"/>
      <c r="E2508" s="31"/>
      <c r="F2508" s="31"/>
      <c r="G2508" s="31"/>
    </row>
    <row r="2509" spans="1:7" x14ac:dyDescent="0.3">
      <c r="A2509" s="131" t="s">
        <v>3668</v>
      </c>
      <c r="B2509" s="130">
        <v>255</v>
      </c>
      <c r="C2509" s="31"/>
      <c r="D2509" s="31"/>
      <c r="E2509" s="31"/>
      <c r="F2509" s="31"/>
      <c r="G2509" s="31"/>
    </row>
    <row r="2510" spans="1:7" x14ac:dyDescent="0.3">
      <c r="A2510" s="131" t="s">
        <v>3669</v>
      </c>
      <c r="B2510" s="130">
        <v>230</v>
      </c>
      <c r="C2510" s="31"/>
      <c r="D2510" s="31"/>
      <c r="E2510" s="31"/>
      <c r="F2510" s="31"/>
      <c r="G2510" s="31"/>
    </row>
    <row r="2511" spans="1:7" x14ac:dyDescent="0.3">
      <c r="A2511" s="131" t="s">
        <v>3670</v>
      </c>
      <c r="B2511" s="130">
        <v>191</v>
      </c>
      <c r="C2511" s="31"/>
      <c r="D2511" s="31"/>
      <c r="E2511" s="31"/>
      <c r="F2511" s="31"/>
      <c r="G2511" s="31"/>
    </row>
    <row r="2512" spans="1:7" x14ac:dyDescent="0.3">
      <c r="A2512" s="131" t="s">
        <v>3671</v>
      </c>
      <c r="B2512" s="130">
        <v>79</v>
      </c>
      <c r="C2512" s="31"/>
      <c r="D2512" s="31"/>
      <c r="E2512" s="31"/>
      <c r="F2512" s="31"/>
      <c r="G2512" s="31"/>
    </row>
    <row r="2513" spans="1:7" x14ac:dyDescent="0.3">
      <c r="A2513" s="131" t="s">
        <v>3672</v>
      </c>
      <c r="B2513" s="130">
        <v>299</v>
      </c>
      <c r="C2513" s="31"/>
      <c r="D2513" s="31"/>
      <c r="E2513" s="31"/>
      <c r="F2513" s="31"/>
      <c r="G2513" s="31"/>
    </row>
    <row r="2514" spans="1:7" x14ac:dyDescent="0.3">
      <c r="A2514" s="131" t="s">
        <v>3673</v>
      </c>
      <c r="B2514" s="130">
        <v>325</v>
      </c>
      <c r="C2514" s="31"/>
      <c r="D2514" s="31"/>
      <c r="E2514" s="31"/>
      <c r="F2514" s="31"/>
      <c r="G2514" s="31"/>
    </row>
    <row r="2515" spans="1:7" x14ac:dyDescent="0.3">
      <c r="A2515" s="131" t="s">
        <v>3674</v>
      </c>
      <c r="B2515" s="130">
        <v>223</v>
      </c>
      <c r="C2515" s="31"/>
      <c r="D2515" s="31"/>
      <c r="E2515" s="31"/>
      <c r="F2515" s="31"/>
      <c r="G2515" s="31"/>
    </row>
    <row r="2516" spans="1:7" x14ac:dyDescent="0.3">
      <c r="A2516" s="131" t="s">
        <v>3675</v>
      </c>
      <c r="B2516" s="130">
        <v>97</v>
      </c>
      <c r="C2516" s="31"/>
      <c r="D2516" s="31"/>
      <c r="E2516" s="31"/>
      <c r="F2516" s="31"/>
      <c r="G2516" s="31"/>
    </row>
    <row r="2517" spans="1:7" x14ac:dyDescent="0.3">
      <c r="A2517" s="131" t="s">
        <v>3676</v>
      </c>
      <c r="B2517" s="130">
        <v>421</v>
      </c>
      <c r="C2517" s="31"/>
      <c r="D2517" s="31"/>
      <c r="E2517" s="31"/>
      <c r="F2517" s="31"/>
      <c r="G2517" s="31"/>
    </row>
    <row r="2518" spans="1:7" x14ac:dyDescent="0.3">
      <c r="A2518" s="131" t="s">
        <v>3677</v>
      </c>
      <c r="B2518" s="130">
        <v>140</v>
      </c>
      <c r="C2518" s="31"/>
      <c r="D2518" s="31"/>
      <c r="E2518" s="31"/>
      <c r="F2518" s="31"/>
      <c r="G2518" s="31"/>
    </row>
    <row r="2519" spans="1:7" x14ac:dyDescent="0.3">
      <c r="A2519" s="131" t="s">
        <v>3678</v>
      </c>
      <c r="B2519" s="130">
        <v>24</v>
      </c>
      <c r="C2519" s="31"/>
      <c r="D2519" s="31"/>
      <c r="E2519" s="31"/>
      <c r="F2519" s="31"/>
      <c r="G2519" s="31"/>
    </row>
    <row r="2520" spans="1:7" x14ac:dyDescent="0.3">
      <c r="A2520" s="131" t="s">
        <v>3679</v>
      </c>
      <c r="B2520" s="130">
        <v>535</v>
      </c>
      <c r="C2520" s="31"/>
      <c r="D2520" s="31"/>
      <c r="E2520" s="31"/>
      <c r="F2520" s="31"/>
      <c r="G2520" s="31"/>
    </row>
    <row r="2521" spans="1:7" x14ac:dyDescent="0.3">
      <c r="A2521" s="131" t="s">
        <v>3680</v>
      </c>
      <c r="B2521" s="130">
        <v>276</v>
      </c>
      <c r="C2521" s="31"/>
      <c r="D2521" s="31"/>
      <c r="E2521" s="31"/>
      <c r="F2521" s="31"/>
      <c r="G2521" s="31"/>
    </row>
    <row r="2522" spans="1:7" x14ac:dyDescent="0.3">
      <c r="A2522" s="131" t="s">
        <v>3681</v>
      </c>
      <c r="B2522" s="130">
        <v>222</v>
      </c>
      <c r="C2522" s="31"/>
      <c r="D2522" s="31"/>
      <c r="E2522" s="31"/>
      <c r="F2522" s="31"/>
      <c r="G2522" s="31"/>
    </row>
    <row r="2523" spans="1:7" x14ac:dyDescent="0.3">
      <c r="A2523" s="131" t="s">
        <v>3682</v>
      </c>
      <c r="B2523" s="130">
        <v>189</v>
      </c>
      <c r="C2523" s="31"/>
      <c r="D2523" s="31"/>
      <c r="E2523" s="31"/>
      <c r="F2523" s="31"/>
      <c r="G2523" s="31"/>
    </row>
    <row r="2524" spans="1:7" x14ac:dyDescent="0.3">
      <c r="A2524" s="131" t="s">
        <v>3683</v>
      </c>
      <c r="B2524" s="130">
        <v>197</v>
      </c>
      <c r="C2524" s="31"/>
      <c r="D2524" s="31"/>
      <c r="E2524" s="31"/>
      <c r="F2524" s="31"/>
      <c r="G2524" s="31"/>
    </row>
    <row r="2525" spans="1:7" x14ac:dyDescent="0.3">
      <c r="A2525" s="131" t="s">
        <v>3684</v>
      </c>
      <c r="B2525" s="130">
        <v>145</v>
      </c>
      <c r="C2525" s="31"/>
      <c r="D2525" s="31"/>
      <c r="E2525" s="31"/>
      <c r="F2525" s="31"/>
      <c r="G2525" s="31"/>
    </row>
    <row r="2526" spans="1:7" x14ac:dyDescent="0.3">
      <c r="A2526" s="131" t="s">
        <v>3685</v>
      </c>
      <c r="B2526" s="130">
        <v>52</v>
      </c>
      <c r="C2526" s="31"/>
      <c r="D2526" s="31"/>
      <c r="E2526" s="31"/>
      <c r="F2526" s="31"/>
      <c r="G2526" s="31"/>
    </row>
    <row r="2527" spans="1:7" x14ac:dyDescent="0.3">
      <c r="A2527" s="131" t="s">
        <v>3686</v>
      </c>
      <c r="B2527" s="130">
        <v>145</v>
      </c>
      <c r="C2527" s="31"/>
      <c r="D2527" s="31"/>
      <c r="E2527" s="31"/>
      <c r="F2527" s="31"/>
      <c r="G2527" s="31"/>
    </row>
    <row r="2528" spans="1:7" x14ac:dyDescent="0.3">
      <c r="A2528" s="131" t="s">
        <v>3687</v>
      </c>
      <c r="B2528" s="130">
        <v>174</v>
      </c>
      <c r="C2528" s="31"/>
      <c r="D2528" s="31"/>
      <c r="E2528" s="31"/>
      <c r="F2528" s="31"/>
      <c r="G2528" s="31"/>
    </row>
    <row r="2529" spans="1:7" x14ac:dyDescent="0.3">
      <c r="A2529" s="131" t="s">
        <v>3688</v>
      </c>
      <c r="B2529" s="130">
        <v>68</v>
      </c>
      <c r="C2529" s="31"/>
      <c r="D2529" s="31"/>
      <c r="E2529" s="31"/>
      <c r="F2529" s="31"/>
      <c r="G2529" s="31"/>
    </row>
    <row r="2530" spans="1:7" x14ac:dyDescent="0.3">
      <c r="A2530" s="131" t="s">
        <v>3689</v>
      </c>
      <c r="B2530" s="130">
        <v>157</v>
      </c>
      <c r="C2530" s="31"/>
      <c r="D2530" s="31"/>
      <c r="E2530" s="31"/>
      <c r="F2530" s="31"/>
      <c r="G2530" s="31"/>
    </row>
    <row r="2531" spans="1:7" x14ac:dyDescent="0.3">
      <c r="A2531" s="131" t="s">
        <v>3690</v>
      </c>
      <c r="B2531" s="130">
        <v>107</v>
      </c>
      <c r="C2531" s="31"/>
      <c r="D2531" s="31"/>
      <c r="E2531" s="31"/>
      <c r="F2531" s="31"/>
      <c r="G2531" s="31"/>
    </row>
    <row r="2532" spans="1:7" x14ac:dyDescent="0.3">
      <c r="A2532" s="131" t="s">
        <v>3691</v>
      </c>
      <c r="B2532" s="130">
        <v>285</v>
      </c>
      <c r="C2532" s="31"/>
      <c r="D2532" s="31"/>
      <c r="E2532" s="31"/>
      <c r="F2532" s="31"/>
      <c r="G2532" s="31"/>
    </row>
    <row r="2533" spans="1:7" x14ac:dyDescent="0.3">
      <c r="A2533" s="131" t="s">
        <v>3692</v>
      </c>
      <c r="B2533" s="130">
        <v>68</v>
      </c>
      <c r="C2533" s="31"/>
      <c r="D2533" s="31"/>
      <c r="E2533" s="31"/>
      <c r="F2533" s="31"/>
      <c r="G2533" s="31"/>
    </row>
    <row r="2534" spans="1:7" x14ac:dyDescent="0.3">
      <c r="A2534" s="131" t="s">
        <v>3693</v>
      </c>
      <c r="B2534" s="130">
        <v>416</v>
      </c>
      <c r="C2534" s="31"/>
      <c r="D2534" s="31"/>
      <c r="E2534" s="31"/>
      <c r="F2534" s="31"/>
      <c r="G2534" s="31"/>
    </row>
    <row r="2535" spans="1:7" x14ac:dyDescent="0.3">
      <c r="A2535" s="131" t="s">
        <v>3694</v>
      </c>
      <c r="B2535" s="130">
        <v>505</v>
      </c>
      <c r="C2535" s="31"/>
      <c r="D2535" s="31"/>
      <c r="E2535" s="31"/>
      <c r="F2535" s="31"/>
      <c r="G2535" s="31"/>
    </row>
    <row r="2536" spans="1:7" x14ac:dyDescent="0.3">
      <c r="A2536" s="131" t="s">
        <v>3695</v>
      </c>
      <c r="B2536" s="130">
        <v>592</v>
      </c>
      <c r="C2536" s="31"/>
      <c r="D2536" s="31"/>
      <c r="E2536" s="31"/>
      <c r="F2536" s="31"/>
      <c r="G2536" s="31"/>
    </row>
    <row r="2537" spans="1:7" x14ac:dyDescent="0.3">
      <c r="A2537" s="131" t="s">
        <v>3696</v>
      </c>
      <c r="B2537" s="130">
        <v>595</v>
      </c>
      <c r="C2537" s="31"/>
      <c r="D2537" s="31"/>
      <c r="E2537" s="31"/>
      <c r="F2537" s="31"/>
      <c r="G2537" s="31"/>
    </row>
    <row r="2538" spans="1:7" x14ac:dyDescent="0.3">
      <c r="A2538" s="131" t="s">
        <v>3697</v>
      </c>
      <c r="B2538" s="130">
        <v>91</v>
      </c>
      <c r="C2538" s="31"/>
      <c r="D2538" s="31"/>
      <c r="E2538" s="31"/>
      <c r="F2538" s="31"/>
      <c r="G2538" s="31"/>
    </row>
    <row r="2539" spans="1:7" x14ac:dyDescent="0.3">
      <c r="A2539" s="131" t="s">
        <v>3698</v>
      </c>
      <c r="B2539" s="130">
        <v>219</v>
      </c>
      <c r="C2539" s="31"/>
      <c r="D2539" s="31"/>
      <c r="E2539" s="31"/>
      <c r="F2539" s="31"/>
      <c r="G2539" s="31"/>
    </row>
    <row r="2540" spans="1:7" x14ac:dyDescent="0.3">
      <c r="A2540" s="131" t="s">
        <v>3699</v>
      </c>
      <c r="B2540" s="130">
        <v>268</v>
      </c>
      <c r="C2540" s="31"/>
      <c r="D2540" s="31"/>
      <c r="E2540" s="31"/>
      <c r="F2540" s="31"/>
      <c r="G2540" s="31"/>
    </row>
    <row r="2541" spans="1:7" x14ac:dyDescent="0.3">
      <c r="A2541" s="131" t="s">
        <v>3700</v>
      </c>
      <c r="B2541" s="130">
        <v>199</v>
      </c>
      <c r="C2541" s="31"/>
      <c r="D2541" s="31"/>
      <c r="E2541" s="31"/>
      <c r="F2541" s="31"/>
      <c r="G2541" s="31"/>
    </row>
    <row r="2542" spans="1:7" x14ac:dyDescent="0.3">
      <c r="A2542" s="131" t="s">
        <v>3701</v>
      </c>
      <c r="B2542" s="130">
        <v>299</v>
      </c>
      <c r="C2542" s="31"/>
      <c r="D2542" s="31"/>
      <c r="E2542" s="31"/>
      <c r="F2542" s="31"/>
      <c r="G2542" s="31"/>
    </row>
    <row r="2543" spans="1:7" x14ac:dyDescent="0.3">
      <c r="A2543" s="131" t="s">
        <v>3702</v>
      </c>
      <c r="B2543" s="130">
        <v>316</v>
      </c>
      <c r="C2543" s="31"/>
      <c r="D2543" s="31"/>
      <c r="E2543" s="31"/>
      <c r="F2543" s="31"/>
      <c r="G2543" s="31"/>
    </row>
    <row r="2544" spans="1:7" x14ac:dyDescent="0.3">
      <c r="A2544" s="131" t="s">
        <v>3703</v>
      </c>
      <c r="B2544" s="130">
        <v>770</v>
      </c>
      <c r="C2544" s="31"/>
      <c r="D2544" s="31"/>
      <c r="E2544" s="31"/>
      <c r="F2544" s="31"/>
      <c r="G2544" s="31"/>
    </row>
    <row r="2545" spans="1:7" x14ac:dyDescent="0.3">
      <c r="A2545" s="131" t="s">
        <v>3704</v>
      </c>
      <c r="B2545" s="130">
        <v>0</v>
      </c>
      <c r="C2545" s="31"/>
      <c r="D2545" s="31"/>
      <c r="E2545" s="31"/>
      <c r="F2545" s="31"/>
      <c r="G2545" s="31"/>
    </row>
    <row r="2546" spans="1:7" x14ac:dyDescent="0.3">
      <c r="A2546" s="131" t="s">
        <v>3705</v>
      </c>
      <c r="B2546" s="130">
        <v>300</v>
      </c>
      <c r="C2546" s="31"/>
      <c r="D2546" s="31"/>
      <c r="E2546" s="31"/>
      <c r="F2546" s="31"/>
      <c r="G2546" s="31"/>
    </row>
    <row r="2547" spans="1:7" x14ac:dyDescent="0.3">
      <c r="A2547" s="131" t="s">
        <v>3706</v>
      </c>
      <c r="B2547" s="130">
        <v>96</v>
      </c>
      <c r="C2547" s="31"/>
      <c r="D2547" s="31"/>
      <c r="E2547" s="31"/>
      <c r="F2547" s="31"/>
      <c r="G2547" s="31"/>
    </row>
    <row r="2548" spans="1:7" x14ac:dyDescent="0.3">
      <c r="A2548" s="131" t="s">
        <v>3707</v>
      </c>
      <c r="B2548" s="130">
        <v>402</v>
      </c>
      <c r="C2548" s="31"/>
      <c r="D2548" s="31"/>
      <c r="E2548" s="31"/>
      <c r="F2548" s="31"/>
      <c r="G2548" s="31"/>
    </row>
    <row r="2549" spans="1:7" x14ac:dyDescent="0.3">
      <c r="A2549" s="131" t="s">
        <v>3708</v>
      </c>
      <c r="B2549" s="130">
        <v>0</v>
      </c>
      <c r="C2549" s="31"/>
      <c r="D2549" s="31"/>
      <c r="E2549" s="31"/>
      <c r="F2549" s="31"/>
      <c r="G2549" s="31"/>
    </row>
    <row r="2550" spans="1:7" x14ac:dyDescent="0.3">
      <c r="A2550" s="131" t="s">
        <v>3709</v>
      </c>
      <c r="B2550" s="130">
        <v>134</v>
      </c>
      <c r="C2550" s="31"/>
      <c r="D2550" s="31"/>
      <c r="E2550" s="31"/>
      <c r="F2550" s="31"/>
      <c r="G2550" s="31"/>
    </row>
    <row r="2551" spans="1:7" x14ac:dyDescent="0.3">
      <c r="A2551" s="131" t="s">
        <v>3710</v>
      </c>
      <c r="B2551" s="130">
        <v>207</v>
      </c>
      <c r="C2551" s="31"/>
      <c r="D2551" s="31"/>
      <c r="E2551" s="31"/>
      <c r="F2551" s="31"/>
      <c r="G2551" s="31"/>
    </row>
    <row r="2552" spans="1:7" x14ac:dyDescent="0.3">
      <c r="A2552" s="131" t="s">
        <v>3711</v>
      </c>
      <c r="B2552" s="130">
        <v>130</v>
      </c>
      <c r="C2552" s="31"/>
      <c r="D2552" s="31"/>
      <c r="E2552" s="31"/>
      <c r="F2552" s="31"/>
      <c r="G2552" s="31"/>
    </row>
    <row r="2553" spans="1:7" x14ac:dyDescent="0.3">
      <c r="A2553" s="131" t="s">
        <v>3712</v>
      </c>
      <c r="B2553" s="130">
        <v>122</v>
      </c>
      <c r="C2553" s="31"/>
      <c r="D2553" s="31"/>
      <c r="E2553" s="31"/>
      <c r="F2553" s="31"/>
      <c r="G2553" s="31"/>
    </row>
    <row r="2554" spans="1:7" x14ac:dyDescent="0.3">
      <c r="A2554" s="131" t="s">
        <v>3713</v>
      </c>
      <c r="B2554" s="130">
        <v>182</v>
      </c>
      <c r="C2554" s="31"/>
      <c r="D2554" s="31"/>
      <c r="E2554" s="31"/>
      <c r="F2554" s="31"/>
      <c r="G2554" s="31"/>
    </row>
    <row r="2555" spans="1:7" x14ac:dyDescent="0.3">
      <c r="A2555" s="131" t="s">
        <v>3714</v>
      </c>
      <c r="B2555" s="130">
        <v>144</v>
      </c>
      <c r="C2555" s="31"/>
      <c r="D2555" s="31"/>
      <c r="E2555" s="31"/>
      <c r="F2555" s="31"/>
      <c r="G2555" s="31"/>
    </row>
    <row r="2556" spans="1:7" x14ac:dyDescent="0.3">
      <c r="A2556" s="131" t="s">
        <v>3715</v>
      </c>
      <c r="B2556" s="130">
        <v>174</v>
      </c>
      <c r="C2556" s="31"/>
      <c r="D2556" s="31"/>
      <c r="E2556" s="31"/>
      <c r="F2556" s="31"/>
      <c r="G2556" s="31"/>
    </row>
    <row r="2557" spans="1:7" x14ac:dyDescent="0.3">
      <c r="A2557" s="131" t="s">
        <v>3716</v>
      </c>
      <c r="B2557" s="130">
        <v>103</v>
      </c>
      <c r="C2557" s="31"/>
      <c r="D2557" s="31"/>
      <c r="E2557" s="31"/>
      <c r="F2557" s="31"/>
      <c r="G2557" s="31"/>
    </row>
    <row r="2558" spans="1:7" x14ac:dyDescent="0.3">
      <c r="A2558" s="131" t="s">
        <v>3717</v>
      </c>
      <c r="B2558" s="130">
        <v>205</v>
      </c>
      <c r="C2558" s="31"/>
      <c r="D2558" s="31"/>
      <c r="E2558" s="31"/>
      <c r="F2558" s="31"/>
      <c r="G2558" s="31"/>
    </row>
    <row r="2559" spans="1:7" x14ac:dyDescent="0.3">
      <c r="A2559" s="131" t="s">
        <v>3718</v>
      </c>
      <c r="B2559" s="130">
        <v>215</v>
      </c>
      <c r="C2559" s="31"/>
      <c r="D2559" s="31"/>
      <c r="E2559" s="31"/>
      <c r="F2559" s="31"/>
      <c r="G2559" s="31"/>
    </row>
    <row r="2560" spans="1:7" x14ac:dyDescent="0.3">
      <c r="A2560" s="131" t="s">
        <v>3719</v>
      </c>
      <c r="B2560" s="130">
        <v>175</v>
      </c>
      <c r="C2560" s="31"/>
      <c r="D2560" s="31"/>
      <c r="E2560" s="31"/>
      <c r="F2560" s="31"/>
      <c r="G2560" s="31"/>
    </row>
    <row r="2561" spans="1:23" x14ac:dyDescent="0.3">
      <c r="A2561" s="131" t="s">
        <v>3720</v>
      </c>
      <c r="B2561" s="130">
        <v>179</v>
      </c>
      <c r="C2561" s="31"/>
      <c r="D2561" s="31"/>
      <c r="E2561" s="31"/>
      <c r="F2561" s="31"/>
      <c r="G2561" s="31"/>
    </row>
    <row r="2562" spans="1:23" x14ac:dyDescent="0.3">
      <c r="A2562" s="131" t="s">
        <v>3721</v>
      </c>
      <c r="B2562" s="130">
        <v>258</v>
      </c>
      <c r="C2562" s="31"/>
      <c r="D2562" s="31"/>
      <c r="E2562" s="31"/>
      <c r="F2562" s="31"/>
      <c r="G2562" s="31"/>
    </row>
    <row r="2563" spans="1:23" x14ac:dyDescent="0.3">
      <c r="A2563" s="131" t="s">
        <v>3722</v>
      </c>
      <c r="B2563" s="130">
        <v>301</v>
      </c>
      <c r="C2563" s="31"/>
      <c r="D2563" s="31"/>
      <c r="E2563" s="31"/>
      <c r="F2563" s="31"/>
      <c r="G2563" s="31"/>
    </row>
    <row r="2564" spans="1:23" x14ac:dyDescent="0.3">
      <c r="A2564" s="131" t="s">
        <v>3723</v>
      </c>
      <c r="B2564" s="130">
        <v>175</v>
      </c>
      <c r="C2564" s="31"/>
      <c r="D2564" s="31"/>
      <c r="E2564" s="31"/>
      <c r="F2564" s="31"/>
      <c r="G2564" s="31"/>
    </row>
    <row r="2565" spans="1:23" x14ac:dyDescent="0.3">
      <c r="A2565" s="131" t="s">
        <v>3724</v>
      </c>
      <c r="B2565" s="130">
        <v>0</v>
      </c>
      <c r="C2565" s="31"/>
      <c r="D2565" s="31"/>
      <c r="E2565" s="31"/>
      <c r="F2565" s="31"/>
      <c r="G2565" s="31"/>
    </row>
    <row r="2566" spans="1:23" x14ac:dyDescent="0.3">
      <c r="A2566" s="131" t="s">
        <v>3725</v>
      </c>
      <c r="B2566" s="130">
        <v>89</v>
      </c>
      <c r="C2566" s="31"/>
      <c r="D2566" s="31"/>
      <c r="E2566" s="31"/>
      <c r="F2566" s="31"/>
      <c r="G2566" s="31"/>
    </row>
    <row r="2567" spans="1:23" x14ac:dyDescent="0.3">
      <c r="A2567" s="131" t="s">
        <v>3726</v>
      </c>
      <c r="B2567" s="130">
        <v>357</v>
      </c>
      <c r="C2567" s="31"/>
      <c r="D2567" s="31"/>
      <c r="E2567" s="31"/>
      <c r="F2567" s="31"/>
      <c r="G2567" s="31"/>
    </row>
    <row r="2568" spans="1:23" x14ac:dyDescent="0.3">
      <c r="A2568" s="131" t="s">
        <v>3727</v>
      </c>
      <c r="B2568" s="130">
        <v>41</v>
      </c>
      <c r="C2568" s="31"/>
      <c r="D2568" s="31"/>
      <c r="E2568" s="31"/>
      <c r="F2568" s="31"/>
      <c r="G2568" s="31"/>
    </row>
    <row r="2569" spans="1:23" x14ac:dyDescent="0.3">
      <c r="A2569" s="131" t="s">
        <v>3728</v>
      </c>
      <c r="B2569" s="130">
        <v>215</v>
      </c>
      <c r="C2569" s="31"/>
      <c r="D2569" s="31"/>
      <c r="E2569" s="31"/>
      <c r="F2569" s="31"/>
      <c r="G2569" s="31"/>
    </row>
    <row r="2570" spans="1:23" x14ac:dyDescent="0.3">
      <c r="A2570" s="131" t="s">
        <v>3729</v>
      </c>
      <c r="B2570" s="130">
        <v>0</v>
      </c>
      <c r="C2570" s="31"/>
      <c r="D2570" s="31"/>
      <c r="E2570" s="31"/>
      <c r="F2570" s="31"/>
      <c r="G2570" s="31"/>
    </row>
    <row r="2571" spans="1:23" x14ac:dyDescent="0.3">
      <c r="A2571" s="36" t="s">
        <v>3730</v>
      </c>
      <c r="B2571" s="130">
        <v>272</v>
      </c>
      <c r="C2571" s="31"/>
      <c r="D2571" s="31"/>
      <c r="E2571" s="31"/>
      <c r="F2571" s="31"/>
      <c r="G2571" s="31"/>
    </row>
    <row r="2572" spans="1:23" x14ac:dyDescent="0.3">
      <c r="A2572" s="36" t="s">
        <v>3731</v>
      </c>
      <c r="B2572" s="130">
        <v>0</v>
      </c>
      <c r="C2572" s="31"/>
      <c r="D2572" s="31"/>
      <c r="E2572" s="31"/>
      <c r="F2572" s="31"/>
      <c r="G2572" s="31"/>
    </row>
    <row r="2573" spans="1:23" x14ac:dyDescent="0.3">
      <c r="A2573" s="36" t="s">
        <v>3732</v>
      </c>
      <c r="B2573" s="130">
        <v>232</v>
      </c>
      <c r="C2573" s="132"/>
      <c r="D2573" s="132"/>
      <c r="E2573" s="132"/>
      <c r="F2573" s="132"/>
      <c r="G2573" s="132"/>
      <c r="H2573" s="133"/>
      <c r="I2573" s="133"/>
      <c r="J2573" s="133"/>
      <c r="K2573" s="133"/>
      <c r="L2573" s="133"/>
      <c r="M2573" s="133"/>
      <c r="N2573" s="133"/>
      <c r="O2573" s="133"/>
      <c r="P2573" s="133"/>
      <c r="Q2573" s="133"/>
      <c r="R2573" s="133"/>
      <c r="S2573" s="133"/>
      <c r="T2573" s="133"/>
      <c r="U2573" s="133"/>
      <c r="V2573" s="133"/>
      <c r="W2573" s="133"/>
    </row>
    <row r="2574" spans="1:23" x14ac:dyDescent="0.3">
      <c r="A2574" s="36" t="s">
        <v>3733</v>
      </c>
      <c r="B2574" s="130">
        <v>184</v>
      </c>
    </row>
    <row r="2575" spans="1:23" x14ac:dyDescent="0.3">
      <c r="A2575" s="36" t="s">
        <v>3734</v>
      </c>
      <c r="B2575" s="130">
        <v>138</v>
      </c>
    </row>
    <row r="2576" spans="1:23" x14ac:dyDescent="0.3">
      <c r="A2576" s="36" t="s">
        <v>3735</v>
      </c>
      <c r="B2576" s="130">
        <v>256</v>
      </c>
    </row>
    <row r="2577" spans="1:2" x14ac:dyDescent="0.3">
      <c r="A2577" s="36" t="s">
        <v>3736</v>
      </c>
      <c r="B2577" s="130">
        <v>0</v>
      </c>
    </row>
    <row r="2578" spans="1:2" x14ac:dyDescent="0.3">
      <c r="A2578" s="36" t="s">
        <v>3737</v>
      </c>
      <c r="B2578" s="130">
        <v>68</v>
      </c>
    </row>
    <row r="2579" spans="1:2" x14ac:dyDescent="0.3">
      <c r="A2579" s="36" t="s">
        <v>3738</v>
      </c>
      <c r="B2579" s="130">
        <v>0</v>
      </c>
    </row>
    <row r="2580" spans="1:2" x14ac:dyDescent="0.3">
      <c r="A2580" s="36" t="s">
        <v>3739</v>
      </c>
      <c r="B2580" s="130">
        <v>0</v>
      </c>
    </row>
    <row r="2581" spans="1:2" x14ac:dyDescent="0.3">
      <c r="A2581" s="36" t="s">
        <v>3740</v>
      </c>
      <c r="B2581" s="130">
        <v>16</v>
      </c>
    </row>
    <row r="2582" spans="1:2" x14ac:dyDescent="0.3">
      <c r="A2582" s="36" t="s">
        <v>3741</v>
      </c>
      <c r="B2582" s="130">
        <v>104</v>
      </c>
    </row>
    <row r="2583" spans="1:2" x14ac:dyDescent="0.3">
      <c r="A2583" s="36" t="s">
        <v>3742</v>
      </c>
      <c r="B2583" s="130">
        <v>217</v>
      </c>
    </row>
    <row r="2584" spans="1:2" x14ac:dyDescent="0.3">
      <c r="A2584" s="36" t="s">
        <v>3743</v>
      </c>
      <c r="B2584" s="130">
        <v>43</v>
      </c>
    </row>
    <row r="2585" spans="1:2" x14ac:dyDescent="0.3">
      <c r="A2585" s="36" t="s">
        <v>3744</v>
      </c>
      <c r="B2585" s="130">
        <v>125</v>
      </c>
    </row>
    <row r="2586" spans="1:2" x14ac:dyDescent="0.3">
      <c r="A2586" s="36" t="s">
        <v>3745</v>
      </c>
      <c r="B2586" s="130">
        <v>153</v>
      </c>
    </row>
    <row r="2587" spans="1:2" x14ac:dyDescent="0.3">
      <c r="A2587" s="36" t="s">
        <v>3746</v>
      </c>
      <c r="B2587" s="130">
        <v>0</v>
      </c>
    </row>
    <row r="2588" spans="1:2" x14ac:dyDescent="0.3">
      <c r="A2588" s="36" t="s">
        <v>3747</v>
      </c>
      <c r="B2588" s="130">
        <v>90</v>
      </c>
    </row>
    <row r="2589" spans="1:2" x14ac:dyDescent="0.3">
      <c r="A2589" s="36" t="s">
        <v>3748</v>
      </c>
      <c r="B2589" s="130">
        <v>280</v>
      </c>
    </row>
    <row r="2590" spans="1:2" x14ac:dyDescent="0.3">
      <c r="A2590" s="36" t="s">
        <v>3749</v>
      </c>
      <c r="B2590" s="130">
        <v>265</v>
      </c>
    </row>
    <row r="2591" spans="1:2" x14ac:dyDescent="0.3">
      <c r="A2591" s="36" t="s">
        <v>3750</v>
      </c>
      <c r="B2591" s="130">
        <v>143</v>
      </c>
    </row>
    <row r="2592" spans="1:2" x14ac:dyDescent="0.3">
      <c r="A2592" s="36" t="s">
        <v>3751</v>
      </c>
      <c r="B2592" s="130">
        <v>148</v>
      </c>
    </row>
    <row r="2593" spans="1:2" x14ac:dyDescent="0.3">
      <c r="A2593" s="36" t="s">
        <v>3752</v>
      </c>
      <c r="B2593" s="130">
        <v>0</v>
      </c>
    </row>
    <row r="2594" spans="1:2" x14ac:dyDescent="0.3">
      <c r="A2594" s="36" t="s">
        <v>3753</v>
      </c>
      <c r="B2594" s="130">
        <v>0</v>
      </c>
    </row>
    <row r="2595" spans="1:2" x14ac:dyDescent="0.3">
      <c r="A2595" s="36" t="s">
        <v>3754</v>
      </c>
      <c r="B2595" s="130">
        <v>230</v>
      </c>
    </row>
    <row r="2596" spans="1:2" x14ac:dyDescent="0.3">
      <c r="A2596" s="36" t="s">
        <v>3755</v>
      </c>
      <c r="B2596" s="130">
        <v>399</v>
      </c>
    </row>
    <row r="2597" spans="1:2" x14ac:dyDescent="0.3">
      <c r="A2597" s="36" t="s">
        <v>3756</v>
      </c>
      <c r="B2597" s="130">
        <v>335</v>
      </c>
    </row>
    <row r="2598" spans="1:2" x14ac:dyDescent="0.3">
      <c r="A2598" s="36" t="s">
        <v>3757</v>
      </c>
      <c r="B2598" s="130" t="s">
        <v>1163</v>
      </c>
    </row>
    <row r="2599" spans="1:2" x14ac:dyDescent="0.3">
      <c r="A2599" s="36" t="s">
        <v>3758</v>
      </c>
      <c r="B2599" s="130">
        <v>216</v>
      </c>
    </row>
    <row r="2600" spans="1:2" x14ac:dyDescent="0.3">
      <c r="A2600" s="36" t="s">
        <v>3759</v>
      </c>
      <c r="B2600" s="130">
        <v>284</v>
      </c>
    </row>
    <row r="2601" spans="1:2" x14ac:dyDescent="0.3">
      <c r="A2601" s="36" t="s">
        <v>3760</v>
      </c>
      <c r="B2601" s="130">
        <v>62</v>
      </c>
    </row>
    <row r="2602" spans="1:2" x14ac:dyDescent="0.3">
      <c r="A2602" s="36" t="s">
        <v>3761</v>
      </c>
      <c r="B2602" s="130">
        <v>42</v>
      </c>
    </row>
    <row r="2603" spans="1:2" x14ac:dyDescent="0.3">
      <c r="A2603" s="134" t="s">
        <v>3762</v>
      </c>
      <c r="B2603" s="130">
        <v>201</v>
      </c>
    </row>
    <row r="2604" spans="1:2" x14ac:dyDescent="0.3">
      <c r="A2604" s="36" t="s">
        <v>3763</v>
      </c>
      <c r="B2604" s="130" t="s">
        <v>1163</v>
      </c>
    </row>
    <row r="2605" spans="1:2" x14ac:dyDescent="0.3">
      <c r="A2605" s="36" t="s">
        <v>3764</v>
      </c>
      <c r="B2605" s="130">
        <v>283</v>
      </c>
    </row>
    <row r="2606" spans="1:2" x14ac:dyDescent="0.3">
      <c r="A2606" s="36" t="s">
        <v>3765</v>
      </c>
      <c r="B2606" s="130">
        <v>328</v>
      </c>
    </row>
    <row r="2607" spans="1:2" x14ac:dyDescent="0.3">
      <c r="A2607" s="36" t="s">
        <v>3766</v>
      </c>
      <c r="B2607" s="130">
        <v>45</v>
      </c>
    </row>
    <row r="2608" spans="1:2" x14ac:dyDescent="0.3">
      <c r="A2608" s="36" t="s">
        <v>3767</v>
      </c>
      <c r="B2608" s="130">
        <v>311</v>
      </c>
    </row>
    <row r="2609" spans="1:2" x14ac:dyDescent="0.3">
      <c r="A2609" s="36" t="s">
        <v>3768</v>
      </c>
      <c r="B2609" s="130">
        <v>0</v>
      </c>
    </row>
    <row r="2610" spans="1:2" x14ac:dyDescent="0.3">
      <c r="A2610" s="36" t="s">
        <v>3769</v>
      </c>
      <c r="B2610" s="130">
        <v>0</v>
      </c>
    </row>
    <row r="2611" spans="1:2" x14ac:dyDescent="0.3">
      <c r="A2611" s="36" t="s">
        <v>3770</v>
      </c>
      <c r="B2611" s="130">
        <v>128</v>
      </c>
    </row>
    <row r="2612" spans="1:2" x14ac:dyDescent="0.3">
      <c r="A2612" s="36" t="s">
        <v>3771</v>
      </c>
      <c r="B2612" s="130">
        <v>167</v>
      </c>
    </row>
    <row r="2613" spans="1:2" x14ac:dyDescent="0.3">
      <c r="A2613" s="36" t="s">
        <v>3772</v>
      </c>
      <c r="B2613" s="130">
        <v>291</v>
      </c>
    </row>
    <row r="2614" spans="1:2" x14ac:dyDescent="0.3">
      <c r="A2614" s="36" t="s">
        <v>3773</v>
      </c>
      <c r="B2614" s="130">
        <v>102</v>
      </c>
    </row>
    <row r="2615" spans="1:2" x14ac:dyDescent="0.3">
      <c r="A2615" s="36" t="s">
        <v>3774</v>
      </c>
      <c r="B2615" s="130">
        <v>89</v>
      </c>
    </row>
    <row r="2616" spans="1:2" x14ac:dyDescent="0.3">
      <c r="A2616" s="36" t="s">
        <v>3775</v>
      </c>
      <c r="B2616" s="130">
        <v>192</v>
      </c>
    </row>
    <row r="2617" spans="1:2" x14ac:dyDescent="0.3">
      <c r="A2617" s="36" t="s">
        <v>3776</v>
      </c>
      <c r="B2617" s="130">
        <v>265</v>
      </c>
    </row>
    <row r="2618" spans="1:2" x14ac:dyDescent="0.3">
      <c r="A2618" s="36" t="s">
        <v>3777</v>
      </c>
      <c r="B2618" s="130">
        <v>114</v>
      </c>
    </row>
    <row r="2619" spans="1:2" x14ac:dyDescent="0.3">
      <c r="A2619" s="36" t="s">
        <v>3778</v>
      </c>
      <c r="B2619" s="130">
        <v>85</v>
      </c>
    </row>
    <row r="2620" spans="1:2" x14ac:dyDescent="0.3">
      <c r="A2620" s="36" t="s">
        <v>3779</v>
      </c>
      <c r="B2620" s="130">
        <v>70</v>
      </c>
    </row>
    <row r="2621" spans="1:2" x14ac:dyDescent="0.3">
      <c r="A2621" s="36" t="s">
        <v>3780</v>
      </c>
      <c r="B2621" s="130">
        <v>29</v>
      </c>
    </row>
    <row r="2622" spans="1:2" x14ac:dyDescent="0.3">
      <c r="A2622" s="36" t="s">
        <v>3781</v>
      </c>
      <c r="B2622" s="130" t="s">
        <v>1163</v>
      </c>
    </row>
    <row r="2623" spans="1:2" x14ac:dyDescent="0.3">
      <c r="A2623" s="36" t="s">
        <v>3782</v>
      </c>
      <c r="B2623" s="130">
        <v>123</v>
      </c>
    </row>
    <row r="2624" spans="1:2" x14ac:dyDescent="0.3">
      <c r="A2624" s="36" t="s">
        <v>3783</v>
      </c>
      <c r="B2624" s="130">
        <v>152</v>
      </c>
    </row>
    <row r="2625" spans="1:2" x14ac:dyDescent="0.3">
      <c r="A2625" s="36" t="s">
        <v>3784</v>
      </c>
      <c r="B2625" s="130">
        <v>91</v>
      </c>
    </row>
    <row r="2626" spans="1:2" x14ac:dyDescent="0.3">
      <c r="A2626" s="36" t="s">
        <v>3785</v>
      </c>
      <c r="B2626" s="130">
        <v>0</v>
      </c>
    </row>
    <row r="2627" spans="1:2" x14ac:dyDescent="0.3">
      <c r="A2627" s="36" t="s">
        <v>3786</v>
      </c>
      <c r="B2627" s="130">
        <v>67</v>
      </c>
    </row>
    <row r="2628" spans="1:2" x14ac:dyDescent="0.3">
      <c r="A2628" s="36" t="s">
        <v>3787</v>
      </c>
      <c r="B2628" s="130">
        <v>222</v>
      </c>
    </row>
    <row r="2629" spans="1:2" x14ac:dyDescent="0.3">
      <c r="A2629" s="36" t="s">
        <v>3788</v>
      </c>
      <c r="B2629" s="130">
        <v>115</v>
      </c>
    </row>
    <row r="2630" spans="1:2" x14ac:dyDescent="0.3">
      <c r="A2630" s="36" t="s">
        <v>3789</v>
      </c>
      <c r="B2630" s="130">
        <v>95</v>
      </c>
    </row>
    <row r="2631" spans="1:2" x14ac:dyDescent="0.3">
      <c r="A2631" s="36" t="s">
        <v>3790</v>
      </c>
      <c r="B2631" s="130">
        <v>0</v>
      </c>
    </row>
    <row r="2632" spans="1:2" x14ac:dyDescent="0.3">
      <c r="A2632" s="36" t="s">
        <v>3791</v>
      </c>
      <c r="B2632" s="130">
        <v>0</v>
      </c>
    </row>
    <row r="2633" spans="1:2" x14ac:dyDescent="0.3">
      <c r="A2633" s="36" t="s">
        <v>3792</v>
      </c>
      <c r="B2633" s="130">
        <v>137</v>
      </c>
    </row>
    <row r="2634" spans="1:2" x14ac:dyDescent="0.3">
      <c r="A2634" s="36" t="s">
        <v>3793</v>
      </c>
      <c r="B2634" s="130">
        <v>110</v>
      </c>
    </row>
    <row r="2635" spans="1:2" x14ac:dyDescent="0.3">
      <c r="A2635" s="36" t="s">
        <v>3794</v>
      </c>
      <c r="B2635" s="130">
        <v>90</v>
      </c>
    </row>
    <row r="2636" spans="1:2" x14ac:dyDescent="0.3">
      <c r="A2636" s="36" t="s">
        <v>3795</v>
      </c>
      <c r="B2636" s="130">
        <v>96</v>
      </c>
    </row>
    <row r="2637" spans="1:2" x14ac:dyDescent="0.3">
      <c r="A2637" s="36" t="s">
        <v>3796</v>
      </c>
      <c r="B2637" s="130">
        <v>37</v>
      </c>
    </row>
    <row r="2638" spans="1:2" x14ac:dyDescent="0.3">
      <c r="A2638" s="36" t="s">
        <v>3797</v>
      </c>
      <c r="B2638" s="130">
        <v>45</v>
      </c>
    </row>
    <row r="2639" spans="1:2" x14ac:dyDescent="0.3">
      <c r="A2639" s="36" t="s">
        <v>3798</v>
      </c>
      <c r="B2639" s="130">
        <v>108</v>
      </c>
    </row>
    <row r="2640" spans="1:2" x14ac:dyDescent="0.3">
      <c r="A2640" s="36" t="s">
        <v>3799</v>
      </c>
      <c r="B2640" s="130">
        <v>119</v>
      </c>
    </row>
    <row r="2641" spans="1:2" x14ac:dyDescent="0.3">
      <c r="A2641" s="36" t="s">
        <v>3800</v>
      </c>
      <c r="B2641" s="130">
        <v>141</v>
      </c>
    </row>
    <row r="2642" spans="1:2" x14ac:dyDescent="0.3">
      <c r="A2642" s="36" t="s">
        <v>3801</v>
      </c>
      <c r="B2642" s="130">
        <v>78</v>
      </c>
    </row>
    <row r="2643" spans="1:2" x14ac:dyDescent="0.3">
      <c r="A2643" s="36" t="s">
        <v>3802</v>
      </c>
      <c r="B2643" s="130">
        <v>0</v>
      </c>
    </row>
    <row r="2644" spans="1:2" x14ac:dyDescent="0.3">
      <c r="A2644" s="36" t="s">
        <v>3803</v>
      </c>
      <c r="B2644" s="130">
        <v>125</v>
      </c>
    </row>
    <row r="2645" spans="1:2" x14ac:dyDescent="0.3">
      <c r="A2645" s="36" t="s">
        <v>3804</v>
      </c>
      <c r="B2645" s="130">
        <v>112</v>
      </c>
    </row>
    <row r="2646" spans="1:2" x14ac:dyDescent="0.3">
      <c r="A2646" s="36" t="s">
        <v>3805</v>
      </c>
      <c r="B2646" s="130">
        <v>180</v>
      </c>
    </row>
    <row r="2647" spans="1:2" x14ac:dyDescent="0.3">
      <c r="A2647" s="36" t="s">
        <v>3806</v>
      </c>
      <c r="B2647" s="130">
        <v>205</v>
      </c>
    </row>
    <row r="2648" spans="1:2" x14ac:dyDescent="0.3">
      <c r="A2648" s="36" t="s">
        <v>3807</v>
      </c>
      <c r="B2648" s="130">
        <v>289</v>
      </c>
    </row>
    <row r="2649" spans="1:2" x14ac:dyDescent="0.3">
      <c r="A2649" s="36" t="s">
        <v>3808</v>
      </c>
      <c r="B2649" s="130">
        <v>114</v>
      </c>
    </row>
    <row r="2650" spans="1:2" x14ac:dyDescent="0.3">
      <c r="A2650" s="36" t="s">
        <v>3809</v>
      </c>
      <c r="B2650" s="130">
        <v>277</v>
      </c>
    </row>
    <row r="2651" spans="1:2" x14ac:dyDescent="0.3">
      <c r="A2651" s="36" t="s">
        <v>3810</v>
      </c>
      <c r="B2651" s="130">
        <v>0</v>
      </c>
    </row>
    <row r="2652" spans="1:2" x14ac:dyDescent="0.3">
      <c r="A2652" s="36" t="s">
        <v>3811</v>
      </c>
      <c r="B2652" s="130">
        <v>47</v>
      </c>
    </row>
    <row r="2653" spans="1:2" x14ac:dyDescent="0.3">
      <c r="A2653" s="36" t="s">
        <v>3812</v>
      </c>
      <c r="B2653" s="130">
        <v>131</v>
      </c>
    </row>
    <row r="2654" spans="1:2" x14ac:dyDescent="0.3">
      <c r="A2654" s="36" t="s">
        <v>3813</v>
      </c>
      <c r="B2654" s="130">
        <v>60</v>
      </c>
    </row>
    <row r="2655" spans="1:2" x14ac:dyDescent="0.3">
      <c r="A2655" s="36" t="s">
        <v>3814</v>
      </c>
      <c r="B2655" s="130">
        <v>54</v>
      </c>
    </row>
    <row r="2656" spans="1:2" x14ac:dyDescent="0.3">
      <c r="A2656" s="36" t="s">
        <v>3815</v>
      </c>
      <c r="B2656" s="130">
        <v>133</v>
      </c>
    </row>
    <row r="2657" spans="1:2" x14ac:dyDescent="0.3">
      <c r="A2657" s="36" t="s">
        <v>3816</v>
      </c>
      <c r="B2657" s="130">
        <v>137</v>
      </c>
    </row>
    <row r="2658" spans="1:2" x14ac:dyDescent="0.3">
      <c r="A2658" s="36" t="s">
        <v>3817</v>
      </c>
      <c r="B2658" s="130">
        <v>217</v>
      </c>
    </row>
    <row r="2659" spans="1:2" x14ac:dyDescent="0.3">
      <c r="A2659" s="36" t="s">
        <v>3818</v>
      </c>
      <c r="B2659" s="130">
        <v>156</v>
      </c>
    </row>
    <row r="2660" spans="1:2" x14ac:dyDescent="0.3">
      <c r="A2660" s="36" t="s">
        <v>3819</v>
      </c>
      <c r="B2660" s="130">
        <v>230</v>
      </c>
    </row>
    <row r="2661" spans="1:2" x14ac:dyDescent="0.3">
      <c r="A2661" s="36" t="s">
        <v>3820</v>
      </c>
      <c r="B2661" s="130">
        <v>192</v>
      </c>
    </row>
    <row r="2662" spans="1:2" x14ac:dyDescent="0.3">
      <c r="A2662" s="36" t="s">
        <v>3821</v>
      </c>
      <c r="B2662" s="130">
        <v>140</v>
      </c>
    </row>
    <row r="2663" spans="1:2" x14ac:dyDescent="0.3">
      <c r="A2663" s="36" t="s">
        <v>3822</v>
      </c>
      <c r="B2663" s="130">
        <v>81</v>
      </c>
    </row>
    <row r="2664" spans="1:2" x14ac:dyDescent="0.3">
      <c r="A2664" s="36" t="s">
        <v>3823</v>
      </c>
      <c r="B2664" s="130">
        <v>54</v>
      </c>
    </row>
    <row r="2665" spans="1:2" x14ac:dyDescent="0.3">
      <c r="A2665" s="36" t="s">
        <v>3824</v>
      </c>
      <c r="B2665" s="130">
        <v>71</v>
      </c>
    </row>
    <row r="2666" spans="1:2" x14ac:dyDescent="0.3">
      <c r="A2666" s="36" t="s">
        <v>3825</v>
      </c>
      <c r="B2666" s="130">
        <v>216</v>
      </c>
    </row>
    <row r="2667" spans="1:2" x14ac:dyDescent="0.3">
      <c r="A2667" s="36" t="s">
        <v>3826</v>
      </c>
      <c r="B2667" s="130">
        <v>177</v>
      </c>
    </row>
    <row r="2668" spans="1:2" x14ac:dyDescent="0.3">
      <c r="A2668" s="36" t="s">
        <v>3827</v>
      </c>
      <c r="B2668" s="130">
        <v>377</v>
      </c>
    </row>
    <row r="2669" spans="1:2" x14ac:dyDescent="0.3">
      <c r="A2669" s="36" t="s">
        <v>3828</v>
      </c>
      <c r="B2669" s="130">
        <v>0</v>
      </c>
    </row>
    <row r="2670" spans="1:2" x14ac:dyDescent="0.3">
      <c r="A2670" s="36" t="s">
        <v>3829</v>
      </c>
      <c r="B2670" s="130">
        <v>155</v>
      </c>
    </row>
    <row r="2671" spans="1:2" x14ac:dyDescent="0.3">
      <c r="A2671" s="36" t="s">
        <v>3830</v>
      </c>
      <c r="B2671" s="130">
        <v>309</v>
      </c>
    </row>
    <row r="2672" spans="1:2" x14ac:dyDescent="0.3">
      <c r="A2672" s="36" t="s">
        <v>3831</v>
      </c>
      <c r="B2672" s="130">
        <v>96</v>
      </c>
    </row>
    <row r="2673" spans="1:2" x14ac:dyDescent="0.3">
      <c r="A2673" s="36" t="s">
        <v>3832</v>
      </c>
      <c r="B2673" s="130">
        <v>79</v>
      </c>
    </row>
    <row r="2674" spans="1:2" x14ac:dyDescent="0.3">
      <c r="A2674" s="36" t="s">
        <v>3833</v>
      </c>
      <c r="B2674" s="130">
        <v>24</v>
      </c>
    </row>
    <row r="2675" spans="1:2" x14ac:dyDescent="0.3">
      <c r="A2675" s="36" t="s">
        <v>3834</v>
      </c>
      <c r="B2675" s="130">
        <v>50</v>
      </c>
    </row>
    <row r="2676" spans="1:2" x14ac:dyDescent="0.3">
      <c r="A2676" s="36" t="s">
        <v>3835</v>
      </c>
      <c r="B2676" s="130">
        <v>54</v>
      </c>
    </row>
    <row r="2677" spans="1:2" x14ac:dyDescent="0.3">
      <c r="A2677" s="36" t="s">
        <v>3836</v>
      </c>
      <c r="B2677" s="130">
        <v>123</v>
      </c>
    </row>
    <row r="2678" spans="1:2" x14ac:dyDescent="0.3">
      <c r="A2678" s="36" t="s">
        <v>3837</v>
      </c>
      <c r="B2678" s="130">
        <v>120</v>
      </c>
    </row>
    <row r="2679" spans="1:2" x14ac:dyDescent="0.3">
      <c r="A2679" s="36" t="s">
        <v>3838</v>
      </c>
      <c r="B2679" s="130">
        <v>217</v>
      </c>
    </row>
    <row r="2680" spans="1:2" x14ac:dyDescent="0.3">
      <c r="A2680" s="36" t="s">
        <v>3839</v>
      </c>
      <c r="B2680" s="130">
        <v>206</v>
      </c>
    </row>
    <row r="2681" spans="1:2" x14ac:dyDescent="0.3">
      <c r="A2681" s="36" t="s">
        <v>3840</v>
      </c>
      <c r="B2681" s="130">
        <v>48</v>
      </c>
    </row>
    <row r="2682" spans="1:2" x14ac:dyDescent="0.3">
      <c r="A2682" s="36" t="s">
        <v>3841</v>
      </c>
      <c r="B2682" s="130">
        <v>175</v>
      </c>
    </row>
    <row r="2683" spans="1:2" x14ac:dyDescent="0.3">
      <c r="A2683" s="36" t="s">
        <v>3842</v>
      </c>
      <c r="B2683" s="130">
        <v>325</v>
      </c>
    </row>
    <row r="2684" spans="1:2" x14ac:dyDescent="0.3">
      <c r="A2684" s="36" t="s">
        <v>3843</v>
      </c>
      <c r="B2684" s="130" t="s">
        <v>1163</v>
      </c>
    </row>
    <row r="2685" spans="1:2" x14ac:dyDescent="0.3">
      <c r="A2685" s="36" t="s">
        <v>3844</v>
      </c>
      <c r="B2685" s="130">
        <v>0</v>
      </c>
    </row>
    <row r="2686" spans="1:2" x14ac:dyDescent="0.3">
      <c r="A2686" s="36" t="s">
        <v>3845</v>
      </c>
      <c r="B2686" s="130">
        <v>0</v>
      </c>
    </row>
    <row r="2687" spans="1:2" x14ac:dyDescent="0.3">
      <c r="A2687" s="36" t="s">
        <v>3846</v>
      </c>
      <c r="B2687" s="130" t="s">
        <v>1163</v>
      </c>
    </row>
    <row r="2688" spans="1:2" x14ac:dyDescent="0.3">
      <c r="A2688" s="36" t="s">
        <v>3847</v>
      </c>
      <c r="B2688" s="130" t="s">
        <v>1163</v>
      </c>
    </row>
    <row r="2689" spans="1:2" x14ac:dyDescent="0.3">
      <c r="A2689" s="36" t="s">
        <v>3848</v>
      </c>
      <c r="B2689" s="130" t="s">
        <v>1163</v>
      </c>
    </row>
    <row r="2690" spans="1:2" x14ac:dyDescent="0.3">
      <c r="A2690" s="36" t="s">
        <v>3849</v>
      </c>
      <c r="B2690" s="130">
        <v>13</v>
      </c>
    </row>
    <row r="2691" spans="1:2" x14ac:dyDescent="0.3">
      <c r="A2691" s="36" t="s">
        <v>3850</v>
      </c>
      <c r="B2691" s="130">
        <v>0</v>
      </c>
    </row>
    <row r="2692" spans="1:2" x14ac:dyDescent="0.3">
      <c r="A2692" s="36" t="s">
        <v>3851</v>
      </c>
      <c r="B2692" s="130">
        <v>47</v>
      </c>
    </row>
    <row r="2693" spans="1:2" x14ac:dyDescent="0.3">
      <c r="A2693" s="36" t="s">
        <v>3852</v>
      </c>
      <c r="B2693" s="130">
        <v>203</v>
      </c>
    </row>
    <row r="2694" spans="1:2" x14ac:dyDescent="0.3">
      <c r="A2694" s="36" t="s">
        <v>3853</v>
      </c>
      <c r="B2694" s="130">
        <v>23</v>
      </c>
    </row>
    <row r="2695" spans="1:2" x14ac:dyDescent="0.3">
      <c r="A2695" s="36" t="s">
        <v>3854</v>
      </c>
      <c r="B2695" s="130">
        <v>76</v>
      </c>
    </row>
    <row r="2696" spans="1:2" x14ac:dyDescent="0.3">
      <c r="A2696" s="36" t="s">
        <v>3855</v>
      </c>
      <c r="B2696" s="130" t="s">
        <v>1163</v>
      </c>
    </row>
    <row r="2697" spans="1:2" x14ac:dyDescent="0.3">
      <c r="A2697" s="36" t="s">
        <v>3856</v>
      </c>
      <c r="B2697" s="130">
        <v>36</v>
      </c>
    </row>
    <row r="2698" spans="1:2" x14ac:dyDescent="0.3">
      <c r="A2698" s="36" t="s">
        <v>3857</v>
      </c>
      <c r="B2698" s="130">
        <v>19</v>
      </c>
    </row>
    <row r="2699" spans="1:2" x14ac:dyDescent="0.3">
      <c r="A2699" s="36" t="s">
        <v>3858</v>
      </c>
      <c r="B2699" s="130">
        <v>11</v>
      </c>
    </row>
    <row r="2700" spans="1:2" x14ac:dyDescent="0.3">
      <c r="A2700" s="36" t="s">
        <v>3859</v>
      </c>
      <c r="B2700" s="130">
        <v>21</v>
      </c>
    </row>
    <row r="2701" spans="1:2" x14ac:dyDescent="0.3">
      <c r="A2701" s="36" t="s">
        <v>3860</v>
      </c>
      <c r="B2701" s="130">
        <v>0</v>
      </c>
    </row>
    <row r="2702" spans="1:2" x14ac:dyDescent="0.3">
      <c r="A2702" s="36" t="s">
        <v>3861</v>
      </c>
      <c r="B2702" s="130">
        <v>0</v>
      </c>
    </row>
    <row r="2703" spans="1:2" x14ac:dyDescent="0.3">
      <c r="A2703" s="36" t="s">
        <v>3862</v>
      </c>
      <c r="B2703" s="130">
        <v>78</v>
      </c>
    </row>
    <row r="2704" spans="1:2" x14ac:dyDescent="0.3">
      <c r="A2704" s="36" t="s">
        <v>3863</v>
      </c>
      <c r="B2704" s="130">
        <v>106</v>
      </c>
    </row>
    <row r="2705" spans="1:2" x14ac:dyDescent="0.3">
      <c r="A2705" s="36" t="s">
        <v>3864</v>
      </c>
      <c r="B2705" s="130">
        <v>103</v>
      </c>
    </row>
    <row r="2706" spans="1:2" x14ac:dyDescent="0.3">
      <c r="A2706" s="36" t="s">
        <v>3865</v>
      </c>
      <c r="B2706" s="130">
        <v>56</v>
      </c>
    </row>
    <row r="2707" spans="1:2" x14ac:dyDescent="0.3">
      <c r="A2707" s="36" t="s">
        <v>3866</v>
      </c>
      <c r="B2707" s="130">
        <v>128</v>
      </c>
    </row>
    <row r="2708" spans="1:2" x14ac:dyDescent="0.3">
      <c r="A2708" s="36" t="s">
        <v>3867</v>
      </c>
      <c r="B2708" s="130">
        <v>72</v>
      </c>
    </row>
    <row r="2709" spans="1:2" x14ac:dyDescent="0.3">
      <c r="A2709" s="36" t="s">
        <v>3868</v>
      </c>
      <c r="B2709" s="130">
        <v>29</v>
      </c>
    </row>
    <row r="2710" spans="1:2" x14ac:dyDescent="0.3">
      <c r="A2710" s="36" t="s">
        <v>3869</v>
      </c>
      <c r="B2710" s="130">
        <v>43</v>
      </c>
    </row>
    <row r="2711" spans="1:2" x14ac:dyDescent="0.3">
      <c r="A2711" s="36" t="s">
        <v>3870</v>
      </c>
      <c r="B2711" s="130">
        <v>15</v>
      </c>
    </row>
    <row r="2712" spans="1:2" x14ac:dyDescent="0.3">
      <c r="A2712" s="36" t="s">
        <v>3871</v>
      </c>
      <c r="B2712" s="130">
        <v>15</v>
      </c>
    </row>
    <row r="2713" spans="1:2" x14ac:dyDescent="0.3">
      <c r="A2713" s="36" t="s">
        <v>3872</v>
      </c>
      <c r="B2713" s="130" t="s">
        <v>1163</v>
      </c>
    </row>
    <row r="2714" spans="1:2" x14ac:dyDescent="0.3">
      <c r="A2714" s="36" t="s">
        <v>3873</v>
      </c>
      <c r="B2714" s="130">
        <v>100</v>
      </c>
    </row>
    <row r="2715" spans="1:2" x14ac:dyDescent="0.3">
      <c r="A2715" s="36" t="s">
        <v>3874</v>
      </c>
      <c r="B2715" s="130">
        <v>18</v>
      </c>
    </row>
    <row r="2716" spans="1:2" x14ac:dyDescent="0.3">
      <c r="A2716" s="36" t="s">
        <v>3875</v>
      </c>
      <c r="B2716" s="130">
        <v>61</v>
      </c>
    </row>
    <row r="2717" spans="1:2" x14ac:dyDescent="0.3">
      <c r="A2717" s="36" t="s">
        <v>3876</v>
      </c>
      <c r="B2717" s="130">
        <v>41</v>
      </c>
    </row>
    <row r="2718" spans="1:2" x14ac:dyDescent="0.3">
      <c r="A2718" s="36" t="s">
        <v>3877</v>
      </c>
      <c r="B2718" s="130">
        <v>64</v>
      </c>
    </row>
    <row r="2719" spans="1:2" x14ac:dyDescent="0.3">
      <c r="A2719" s="36" t="s">
        <v>3878</v>
      </c>
      <c r="B2719" s="130">
        <v>13</v>
      </c>
    </row>
    <row r="2720" spans="1:2" x14ac:dyDescent="0.3">
      <c r="A2720" s="36" t="s">
        <v>3879</v>
      </c>
      <c r="B2720" s="130">
        <v>16</v>
      </c>
    </row>
    <row r="2721" spans="1:2" x14ac:dyDescent="0.3">
      <c r="A2721" s="36" t="s">
        <v>3880</v>
      </c>
      <c r="B2721" s="130">
        <v>239</v>
      </c>
    </row>
    <row r="2722" spans="1:2" x14ac:dyDescent="0.3">
      <c r="A2722" s="36" t="s">
        <v>3881</v>
      </c>
      <c r="B2722" s="130">
        <v>213</v>
      </c>
    </row>
    <row r="2723" spans="1:2" x14ac:dyDescent="0.3">
      <c r="A2723" s="36" t="s">
        <v>3882</v>
      </c>
      <c r="B2723" s="130">
        <v>179</v>
      </c>
    </row>
    <row r="2724" spans="1:2" x14ac:dyDescent="0.3">
      <c r="A2724" s="36" t="s">
        <v>3883</v>
      </c>
      <c r="B2724" s="130">
        <v>53</v>
      </c>
    </row>
    <row r="2725" spans="1:2" x14ac:dyDescent="0.3">
      <c r="A2725" s="36" t="s">
        <v>3884</v>
      </c>
      <c r="B2725" s="130">
        <v>51</v>
      </c>
    </row>
    <row r="2726" spans="1:2" x14ac:dyDescent="0.3">
      <c r="A2726" s="36" t="s">
        <v>3885</v>
      </c>
      <c r="B2726" s="130">
        <v>80</v>
      </c>
    </row>
    <row r="2727" spans="1:2" x14ac:dyDescent="0.3">
      <c r="A2727" s="36" t="s">
        <v>3886</v>
      </c>
      <c r="B2727" s="130">
        <v>15</v>
      </c>
    </row>
    <row r="2728" spans="1:2" x14ac:dyDescent="0.3">
      <c r="A2728" s="36" t="s">
        <v>3887</v>
      </c>
      <c r="B2728" s="130">
        <v>0</v>
      </c>
    </row>
    <row r="2729" spans="1:2" x14ac:dyDescent="0.3">
      <c r="A2729" s="36" t="s">
        <v>3888</v>
      </c>
      <c r="B2729" s="130">
        <v>129</v>
      </c>
    </row>
    <row r="2730" spans="1:2" x14ac:dyDescent="0.3">
      <c r="A2730" s="36" t="s">
        <v>3889</v>
      </c>
      <c r="B2730" s="130">
        <v>66</v>
      </c>
    </row>
    <row r="2731" spans="1:2" x14ac:dyDescent="0.3">
      <c r="A2731" s="36" t="s">
        <v>3890</v>
      </c>
      <c r="B2731" s="130">
        <v>66</v>
      </c>
    </row>
    <row r="2732" spans="1:2" x14ac:dyDescent="0.3">
      <c r="A2732" s="36" t="s">
        <v>3891</v>
      </c>
      <c r="B2732" s="130">
        <v>32</v>
      </c>
    </row>
    <row r="2733" spans="1:2" x14ac:dyDescent="0.3">
      <c r="A2733" s="36" t="s">
        <v>3892</v>
      </c>
      <c r="B2733" s="130">
        <v>25</v>
      </c>
    </row>
    <row r="2734" spans="1:2" x14ac:dyDescent="0.3">
      <c r="A2734" s="36" t="s">
        <v>3893</v>
      </c>
      <c r="B2734" s="130">
        <v>17</v>
      </c>
    </row>
    <row r="2735" spans="1:2" x14ac:dyDescent="0.3">
      <c r="A2735" s="36" t="s">
        <v>3894</v>
      </c>
      <c r="B2735" s="130" t="s">
        <v>1163</v>
      </c>
    </row>
    <row r="2736" spans="1:2" x14ac:dyDescent="0.3">
      <c r="A2736" s="36" t="s">
        <v>3895</v>
      </c>
      <c r="B2736" s="130">
        <v>10</v>
      </c>
    </row>
    <row r="2737" spans="1:2" x14ac:dyDescent="0.3">
      <c r="A2737" s="36" t="s">
        <v>3896</v>
      </c>
      <c r="B2737" s="130" t="s">
        <v>1163</v>
      </c>
    </row>
    <row r="2738" spans="1:2" x14ac:dyDescent="0.3">
      <c r="A2738" s="36" t="s">
        <v>3897</v>
      </c>
      <c r="B2738" s="130">
        <v>34</v>
      </c>
    </row>
    <row r="2739" spans="1:2" x14ac:dyDescent="0.3">
      <c r="A2739" s="36" t="s">
        <v>3898</v>
      </c>
      <c r="B2739" s="130">
        <v>63</v>
      </c>
    </row>
    <row r="2740" spans="1:2" x14ac:dyDescent="0.3">
      <c r="A2740" s="36" t="s">
        <v>3899</v>
      </c>
      <c r="B2740" s="130">
        <v>150</v>
      </c>
    </row>
    <row r="2741" spans="1:2" x14ac:dyDescent="0.3">
      <c r="A2741" s="36" t="s">
        <v>3900</v>
      </c>
      <c r="B2741" s="130">
        <v>74</v>
      </c>
    </row>
    <row r="2742" spans="1:2" x14ac:dyDescent="0.3">
      <c r="A2742" s="36" t="s">
        <v>3901</v>
      </c>
      <c r="B2742" s="130">
        <v>109</v>
      </c>
    </row>
    <row r="2743" spans="1:2" x14ac:dyDescent="0.3">
      <c r="A2743" s="36" t="s">
        <v>3902</v>
      </c>
      <c r="B2743" s="130" t="s">
        <v>1163</v>
      </c>
    </row>
    <row r="2744" spans="1:2" x14ac:dyDescent="0.3">
      <c r="A2744" s="36" t="s">
        <v>3903</v>
      </c>
      <c r="B2744" s="130">
        <v>12</v>
      </c>
    </row>
    <row r="2745" spans="1:2" x14ac:dyDescent="0.3">
      <c r="A2745" s="36" t="s">
        <v>3904</v>
      </c>
      <c r="B2745" s="130">
        <v>60</v>
      </c>
    </row>
    <row r="2746" spans="1:2" x14ac:dyDescent="0.3">
      <c r="A2746" s="36" t="s">
        <v>3905</v>
      </c>
      <c r="B2746" s="130">
        <v>136</v>
      </c>
    </row>
    <row r="2747" spans="1:2" x14ac:dyDescent="0.3">
      <c r="A2747" s="36" t="s">
        <v>3906</v>
      </c>
      <c r="B2747" s="130">
        <v>129</v>
      </c>
    </row>
    <row r="2748" spans="1:2" x14ac:dyDescent="0.3">
      <c r="A2748" s="36" t="s">
        <v>3907</v>
      </c>
      <c r="B2748" s="130">
        <v>53</v>
      </c>
    </row>
    <row r="2749" spans="1:2" x14ac:dyDescent="0.3">
      <c r="A2749" s="36" t="s">
        <v>3908</v>
      </c>
      <c r="B2749" s="130">
        <v>116</v>
      </c>
    </row>
    <row r="2750" spans="1:2" x14ac:dyDescent="0.3">
      <c r="A2750" s="36" t="s">
        <v>3909</v>
      </c>
      <c r="B2750" s="130">
        <v>120</v>
      </c>
    </row>
    <row r="2751" spans="1:2" x14ac:dyDescent="0.3">
      <c r="A2751" s="36" t="s">
        <v>3910</v>
      </c>
      <c r="B2751" s="130">
        <v>86</v>
      </c>
    </row>
    <row r="2752" spans="1:2" x14ac:dyDescent="0.3">
      <c r="A2752" s="36" t="s">
        <v>3911</v>
      </c>
      <c r="B2752" s="130">
        <v>62</v>
      </c>
    </row>
    <row r="2753" spans="1:2" x14ac:dyDescent="0.3">
      <c r="A2753" s="36" t="s">
        <v>3912</v>
      </c>
      <c r="B2753" s="130">
        <v>61</v>
      </c>
    </row>
    <row r="2754" spans="1:2" x14ac:dyDescent="0.3">
      <c r="A2754" s="36" t="s">
        <v>3913</v>
      </c>
      <c r="B2754" s="130">
        <v>14</v>
      </c>
    </row>
    <row r="2755" spans="1:2" x14ac:dyDescent="0.3">
      <c r="A2755" s="36" t="s">
        <v>3914</v>
      </c>
      <c r="B2755" s="130">
        <v>56</v>
      </c>
    </row>
    <row r="2756" spans="1:2" x14ac:dyDescent="0.3">
      <c r="A2756" s="36" t="s">
        <v>3915</v>
      </c>
      <c r="B2756" s="130">
        <v>21</v>
      </c>
    </row>
    <row r="2757" spans="1:2" x14ac:dyDescent="0.3">
      <c r="A2757" s="36" t="s">
        <v>3916</v>
      </c>
      <c r="B2757" s="130">
        <v>14</v>
      </c>
    </row>
    <row r="2758" spans="1:2" x14ac:dyDescent="0.3">
      <c r="A2758" s="36" t="s">
        <v>3917</v>
      </c>
      <c r="B2758" s="130">
        <v>36</v>
      </c>
    </row>
    <row r="2759" spans="1:2" x14ac:dyDescent="0.3">
      <c r="A2759" s="36" t="s">
        <v>3918</v>
      </c>
      <c r="B2759" s="130">
        <v>70</v>
      </c>
    </row>
    <row r="2760" spans="1:2" x14ac:dyDescent="0.3">
      <c r="A2760" s="36" t="s">
        <v>3919</v>
      </c>
      <c r="B2760" s="130">
        <v>22</v>
      </c>
    </row>
    <row r="2761" spans="1:2" x14ac:dyDescent="0.3">
      <c r="A2761" s="36" t="s">
        <v>3920</v>
      </c>
      <c r="B2761" s="130" t="s">
        <v>1163</v>
      </c>
    </row>
    <row r="2762" spans="1:2" x14ac:dyDescent="0.3">
      <c r="A2762" s="36" t="s">
        <v>3921</v>
      </c>
      <c r="B2762" s="130">
        <v>13</v>
      </c>
    </row>
    <row r="2763" spans="1:2" x14ac:dyDescent="0.3">
      <c r="A2763" s="36" t="s">
        <v>3922</v>
      </c>
      <c r="B2763" s="130">
        <v>54</v>
      </c>
    </row>
    <row r="2764" spans="1:2" x14ac:dyDescent="0.3">
      <c r="A2764" s="36" t="s">
        <v>3923</v>
      </c>
      <c r="B2764" s="130">
        <v>58</v>
      </c>
    </row>
    <row r="2765" spans="1:2" x14ac:dyDescent="0.3">
      <c r="A2765" s="36" t="s">
        <v>3924</v>
      </c>
      <c r="B2765" s="130">
        <v>26</v>
      </c>
    </row>
    <row r="2766" spans="1:2" x14ac:dyDescent="0.3">
      <c r="A2766" s="36" t="s">
        <v>3925</v>
      </c>
      <c r="B2766" s="130">
        <v>20</v>
      </c>
    </row>
    <row r="2767" spans="1:2" x14ac:dyDescent="0.3">
      <c r="A2767" s="36" t="s">
        <v>3926</v>
      </c>
      <c r="B2767" s="130">
        <v>28</v>
      </c>
    </row>
    <row r="2768" spans="1:2" x14ac:dyDescent="0.3">
      <c r="A2768" s="36" t="s">
        <v>3927</v>
      </c>
      <c r="B2768" s="130">
        <v>164</v>
      </c>
    </row>
    <row r="2769" spans="1:2" x14ac:dyDescent="0.3">
      <c r="A2769" s="36" t="s">
        <v>3928</v>
      </c>
      <c r="B2769" s="130">
        <v>206</v>
      </c>
    </row>
    <row r="2770" spans="1:2" x14ac:dyDescent="0.3">
      <c r="A2770" s="36" t="s">
        <v>3929</v>
      </c>
      <c r="B2770" s="130">
        <v>136</v>
      </c>
    </row>
    <row r="2771" spans="1:2" x14ac:dyDescent="0.3">
      <c r="A2771" s="36" t="s">
        <v>3930</v>
      </c>
      <c r="B2771" s="130">
        <v>43</v>
      </c>
    </row>
    <row r="2772" spans="1:2" x14ac:dyDescent="0.3">
      <c r="A2772" s="36" t="s">
        <v>3931</v>
      </c>
      <c r="B2772" s="130">
        <v>35</v>
      </c>
    </row>
    <row r="2773" spans="1:2" x14ac:dyDescent="0.3">
      <c r="A2773" s="36" t="s">
        <v>3932</v>
      </c>
      <c r="B2773" s="130">
        <v>190</v>
      </c>
    </row>
    <row r="2774" spans="1:2" x14ac:dyDescent="0.3">
      <c r="A2774" s="36" t="s">
        <v>3933</v>
      </c>
      <c r="B2774" s="130">
        <v>99</v>
      </c>
    </row>
    <row r="2775" spans="1:2" x14ac:dyDescent="0.3">
      <c r="A2775" s="36" t="s">
        <v>3934</v>
      </c>
      <c r="B2775" s="130">
        <v>132</v>
      </c>
    </row>
    <row r="2776" spans="1:2" x14ac:dyDescent="0.3">
      <c r="A2776" s="36" t="s">
        <v>3935</v>
      </c>
      <c r="B2776" s="130">
        <v>33</v>
      </c>
    </row>
    <row r="2777" spans="1:2" x14ac:dyDescent="0.3">
      <c r="A2777" s="36" t="s">
        <v>3936</v>
      </c>
      <c r="B2777" s="130">
        <v>52</v>
      </c>
    </row>
    <row r="2778" spans="1:2" x14ac:dyDescent="0.3">
      <c r="A2778" s="36" t="s">
        <v>3937</v>
      </c>
      <c r="B2778" s="130">
        <v>45</v>
      </c>
    </row>
    <row r="2779" spans="1:2" x14ac:dyDescent="0.3">
      <c r="A2779" s="36" t="s">
        <v>3938</v>
      </c>
      <c r="B2779" s="130">
        <v>21</v>
      </c>
    </row>
    <row r="2780" spans="1:2" x14ac:dyDescent="0.3">
      <c r="A2780" s="36" t="s">
        <v>3939</v>
      </c>
      <c r="B2780" s="130">
        <v>179</v>
      </c>
    </row>
    <row r="2781" spans="1:2" x14ac:dyDescent="0.3">
      <c r="A2781" s="36" t="s">
        <v>3940</v>
      </c>
      <c r="B2781" s="130">
        <v>39</v>
      </c>
    </row>
    <row r="2782" spans="1:2" x14ac:dyDescent="0.3">
      <c r="A2782" s="36" t="s">
        <v>3941</v>
      </c>
      <c r="B2782" s="130">
        <v>93</v>
      </c>
    </row>
    <row r="2783" spans="1:2" x14ac:dyDescent="0.3">
      <c r="A2783" s="36" t="s">
        <v>3942</v>
      </c>
      <c r="B2783" s="130">
        <v>156</v>
      </c>
    </row>
    <row r="2784" spans="1:2" x14ac:dyDescent="0.3">
      <c r="A2784" s="36" t="s">
        <v>3943</v>
      </c>
      <c r="B2784" s="130">
        <v>261</v>
      </c>
    </row>
    <row r="2785" spans="1:2" x14ac:dyDescent="0.3">
      <c r="A2785" s="36" t="s">
        <v>3944</v>
      </c>
      <c r="B2785" s="130">
        <v>304</v>
      </c>
    </row>
    <row r="2786" spans="1:2" x14ac:dyDescent="0.3">
      <c r="A2786" s="36" t="s">
        <v>3945</v>
      </c>
      <c r="B2786" s="130">
        <v>179</v>
      </c>
    </row>
    <row r="2787" spans="1:2" x14ac:dyDescent="0.3">
      <c r="A2787" s="36" t="s">
        <v>3946</v>
      </c>
      <c r="B2787" s="130">
        <v>287</v>
      </c>
    </row>
    <row r="2788" spans="1:2" x14ac:dyDescent="0.3">
      <c r="A2788" s="36" t="s">
        <v>3947</v>
      </c>
      <c r="B2788" s="130">
        <v>167</v>
      </c>
    </row>
    <row r="2789" spans="1:2" x14ac:dyDescent="0.3">
      <c r="A2789" s="36" t="s">
        <v>3948</v>
      </c>
      <c r="B2789" s="130">
        <v>109</v>
      </c>
    </row>
    <row r="2790" spans="1:2" x14ac:dyDescent="0.3">
      <c r="A2790" s="36" t="s">
        <v>3949</v>
      </c>
      <c r="B2790" s="130">
        <v>69</v>
      </c>
    </row>
    <row r="2791" spans="1:2" x14ac:dyDescent="0.3">
      <c r="A2791" s="36" t="s">
        <v>3950</v>
      </c>
      <c r="B2791" s="130">
        <v>49</v>
      </c>
    </row>
    <row r="2792" spans="1:2" x14ac:dyDescent="0.3">
      <c r="A2792" s="36" t="s">
        <v>3951</v>
      </c>
      <c r="B2792" s="130">
        <v>236</v>
      </c>
    </row>
    <row r="2793" spans="1:2" x14ac:dyDescent="0.3">
      <c r="A2793" s="36" t="s">
        <v>3952</v>
      </c>
      <c r="B2793" s="130">
        <v>43</v>
      </c>
    </row>
    <row r="2794" spans="1:2" x14ac:dyDescent="0.3">
      <c r="A2794" s="36" t="s">
        <v>3953</v>
      </c>
      <c r="B2794" s="130">
        <v>133</v>
      </c>
    </row>
    <row r="2795" spans="1:2" x14ac:dyDescent="0.3">
      <c r="A2795" s="36" t="s">
        <v>3954</v>
      </c>
      <c r="B2795" s="130">
        <v>264</v>
      </c>
    </row>
    <row r="2796" spans="1:2" x14ac:dyDescent="0.3">
      <c r="A2796" s="36" t="s">
        <v>3955</v>
      </c>
      <c r="B2796" s="130">
        <v>199</v>
      </c>
    </row>
    <row r="2797" spans="1:2" x14ac:dyDescent="0.3">
      <c r="A2797" s="36" t="s">
        <v>3956</v>
      </c>
      <c r="B2797" s="130">
        <v>160</v>
      </c>
    </row>
    <row r="2798" spans="1:2" x14ac:dyDescent="0.3">
      <c r="A2798" s="36" t="s">
        <v>3957</v>
      </c>
      <c r="B2798" s="130">
        <v>230</v>
      </c>
    </row>
    <row r="2799" spans="1:2" x14ac:dyDescent="0.3">
      <c r="A2799" s="36" t="s">
        <v>3958</v>
      </c>
      <c r="B2799" s="130">
        <v>93</v>
      </c>
    </row>
    <row r="2800" spans="1:2" x14ac:dyDescent="0.3">
      <c r="A2800" s="36" t="s">
        <v>3959</v>
      </c>
      <c r="B2800" s="130">
        <v>135</v>
      </c>
    </row>
    <row r="2801" spans="1:2" x14ac:dyDescent="0.3">
      <c r="A2801" s="36" t="s">
        <v>3960</v>
      </c>
      <c r="B2801" s="130">
        <v>36</v>
      </c>
    </row>
    <row r="2802" spans="1:2" x14ac:dyDescent="0.3">
      <c r="A2802" s="36" t="s">
        <v>3961</v>
      </c>
      <c r="B2802" s="130">
        <v>53</v>
      </c>
    </row>
    <row r="2803" spans="1:2" x14ac:dyDescent="0.3">
      <c r="A2803" s="36" t="s">
        <v>3962</v>
      </c>
      <c r="B2803" s="130">
        <v>182</v>
      </c>
    </row>
    <row r="2804" spans="1:2" x14ac:dyDescent="0.3">
      <c r="A2804" s="36" t="s">
        <v>3963</v>
      </c>
      <c r="B2804" s="130">
        <v>73</v>
      </c>
    </row>
    <row r="2805" spans="1:2" x14ac:dyDescent="0.3">
      <c r="A2805" s="36" t="s">
        <v>3964</v>
      </c>
      <c r="B2805" s="130">
        <v>101</v>
      </c>
    </row>
    <row r="2806" spans="1:2" x14ac:dyDescent="0.3">
      <c r="A2806" s="36" t="s">
        <v>3965</v>
      </c>
      <c r="B2806" s="130">
        <v>26</v>
      </c>
    </row>
    <row r="2807" spans="1:2" x14ac:dyDescent="0.3">
      <c r="A2807" s="36" t="s">
        <v>3966</v>
      </c>
      <c r="B2807" s="130">
        <v>76</v>
      </c>
    </row>
    <row r="2808" spans="1:2" x14ac:dyDescent="0.3">
      <c r="A2808" s="36" t="s">
        <v>3967</v>
      </c>
      <c r="B2808" s="130">
        <v>68</v>
      </c>
    </row>
    <row r="2809" spans="1:2" x14ac:dyDescent="0.3">
      <c r="A2809" s="36" t="s">
        <v>3968</v>
      </c>
      <c r="B2809" s="130">
        <v>59</v>
      </c>
    </row>
    <row r="2810" spans="1:2" x14ac:dyDescent="0.3">
      <c r="A2810" s="36" t="s">
        <v>3969</v>
      </c>
      <c r="B2810" s="130" t="s">
        <v>1163</v>
      </c>
    </row>
    <row r="2811" spans="1:2" x14ac:dyDescent="0.3">
      <c r="A2811" s="36" t="s">
        <v>3970</v>
      </c>
      <c r="B2811" s="130">
        <v>51</v>
      </c>
    </row>
    <row r="2812" spans="1:2" x14ac:dyDescent="0.3">
      <c r="A2812" s="36" t="s">
        <v>3971</v>
      </c>
      <c r="B2812" s="130">
        <v>70</v>
      </c>
    </row>
    <row r="2813" spans="1:2" x14ac:dyDescent="0.3">
      <c r="A2813" s="36" t="s">
        <v>3972</v>
      </c>
      <c r="B2813" s="130">
        <v>143</v>
      </c>
    </row>
    <row r="2814" spans="1:2" x14ac:dyDescent="0.3">
      <c r="A2814" s="36" t="s">
        <v>3973</v>
      </c>
      <c r="B2814" s="130">
        <v>223</v>
      </c>
    </row>
    <row r="2815" spans="1:2" x14ac:dyDescent="0.3">
      <c r="A2815" s="36" t="s">
        <v>3974</v>
      </c>
      <c r="B2815" s="130">
        <v>39</v>
      </c>
    </row>
    <row r="2816" spans="1:2" x14ac:dyDescent="0.3">
      <c r="A2816" s="36" t="s">
        <v>3975</v>
      </c>
      <c r="B2816" s="130">
        <v>89</v>
      </c>
    </row>
    <row r="2817" spans="1:2" x14ac:dyDescent="0.3">
      <c r="A2817" s="36" t="s">
        <v>3976</v>
      </c>
      <c r="B2817" s="130">
        <v>249</v>
      </c>
    </row>
    <row r="2818" spans="1:2" x14ac:dyDescent="0.3">
      <c r="A2818" s="36" t="s">
        <v>3977</v>
      </c>
      <c r="B2818" s="130">
        <v>27</v>
      </c>
    </row>
    <row r="2819" spans="1:2" x14ac:dyDescent="0.3">
      <c r="A2819" s="36" t="s">
        <v>3978</v>
      </c>
      <c r="B2819" s="130">
        <v>121</v>
      </c>
    </row>
    <row r="2820" spans="1:2" x14ac:dyDescent="0.3">
      <c r="A2820" s="36" t="s">
        <v>3979</v>
      </c>
      <c r="B2820" s="130">
        <v>79</v>
      </c>
    </row>
    <row r="2821" spans="1:2" x14ac:dyDescent="0.3">
      <c r="A2821" s="36" t="s">
        <v>3980</v>
      </c>
      <c r="B2821" s="130">
        <v>80</v>
      </c>
    </row>
    <row r="2822" spans="1:2" x14ac:dyDescent="0.3">
      <c r="A2822" s="36" t="s">
        <v>3981</v>
      </c>
      <c r="B2822" s="130">
        <v>30</v>
      </c>
    </row>
    <row r="2823" spans="1:2" x14ac:dyDescent="0.3">
      <c r="A2823" s="36" t="s">
        <v>3982</v>
      </c>
      <c r="B2823" s="130">
        <v>20</v>
      </c>
    </row>
    <row r="2824" spans="1:2" x14ac:dyDescent="0.3">
      <c r="A2824" s="36" t="s">
        <v>3983</v>
      </c>
      <c r="B2824" s="130">
        <v>279</v>
      </c>
    </row>
    <row r="2825" spans="1:2" x14ac:dyDescent="0.3">
      <c r="A2825" s="36" t="s">
        <v>3984</v>
      </c>
      <c r="B2825" s="130">
        <v>181</v>
      </c>
    </row>
    <row r="2826" spans="1:2" x14ac:dyDescent="0.3">
      <c r="A2826" s="36" t="s">
        <v>3985</v>
      </c>
      <c r="B2826" s="130">
        <v>107</v>
      </c>
    </row>
    <row r="2827" spans="1:2" x14ac:dyDescent="0.3">
      <c r="A2827" s="36" t="s">
        <v>3986</v>
      </c>
      <c r="B2827" s="130">
        <v>126</v>
      </c>
    </row>
    <row r="2828" spans="1:2" x14ac:dyDescent="0.3">
      <c r="A2828" s="36" t="s">
        <v>3987</v>
      </c>
      <c r="B2828" s="130">
        <v>96</v>
      </c>
    </row>
    <row r="2829" spans="1:2" x14ac:dyDescent="0.3">
      <c r="A2829" s="36" t="s">
        <v>3988</v>
      </c>
      <c r="B2829" s="130">
        <v>63</v>
      </c>
    </row>
    <row r="2830" spans="1:2" x14ac:dyDescent="0.3">
      <c r="A2830" s="36" t="s">
        <v>3989</v>
      </c>
      <c r="B2830" s="130">
        <v>72</v>
      </c>
    </row>
    <row r="2831" spans="1:2" x14ac:dyDescent="0.3">
      <c r="A2831" s="36" t="s">
        <v>3990</v>
      </c>
      <c r="B2831" s="130">
        <v>41</v>
      </c>
    </row>
    <row r="2832" spans="1:2" x14ac:dyDescent="0.3">
      <c r="A2832" s="36" t="s">
        <v>3991</v>
      </c>
      <c r="B2832" s="130">
        <v>90</v>
      </c>
    </row>
    <row r="2833" spans="1:2" x14ac:dyDescent="0.3">
      <c r="A2833" s="36" t="s">
        <v>3992</v>
      </c>
      <c r="B2833" s="130">
        <v>10</v>
      </c>
    </row>
    <row r="2834" spans="1:2" x14ac:dyDescent="0.3">
      <c r="A2834" s="36" t="s">
        <v>3993</v>
      </c>
      <c r="B2834" s="130">
        <v>126</v>
      </c>
    </row>
    <row r="2835" spans="1:2" x14ac:dyDescent="0.3">
      <c r="A2835" s="36" t="s">
        <v>3994</v>
      </c>
      <c r="B2835" s="130">
        <v>132</v>
      </c>
    </row>
    <row r="2836" spans="1:2" x14ac:dyDescent="0.3">
      <c r="A2836" s="36" t="s">
        <v>3995</v>
      </c>
      <c r="B2836" s="130">
        <v>45</v>
      </c>
    </row>
    <row r="2837" spans="1:2" x14ac:dyDescent="0.3">
      <c r="A2837" s="36" t="s">
        <v>3996</v>
      </c>
      <c r="B2837" s="130">
        <v>128</v>
      </c>
    </row>
    <row r="2838" spans="1:2" x14ac:dyDescent="0.3">
      <c r="A2838" s="36" t="s">
        <v>3997</v>
      </c>
      <c r="B2838" s="130">
        <v>45</v>
      </c>
    </row>
    <row r="2839" spans="1:2" x14ac:dyDescent="0.3">
      <c r="A2839" s="36" t="s">
        <v>3998</v>
      </c>
      <c r="B2839" s="130">
        <v>52</v>
      </c>
    </row>
    <row r="2840" spans="1:2" x14ac:dyDescent="0.3">
      <c r="A2840" s="36" t="s">
        <v>3999</v>
      </c>
      <c r="B2840" s="130">
        <v>73</v>
      </c>
    </row>
    <row r="2841" spans="1:2" x14ac:dyDescent="0.3">
      <c r="A2841" s="36" t="s">
        <v>4000</v>
      </c>
      <c r="B2841" s="130">
        <v>51</v>
      </c>
    </row>
    <row r="2842" spans="1:2" x14ac:dyDescent="0.3">
      <c r="A2842" s="36" t="s">
        <v>4001</v>
      </c>
      <c r="B2842" s="130">
        <v>56</v>
      </c>
    </row>
    <row r="2843" spans="1:2" x14ac:dyDescent="0.3">
      <c r="A2843" s="36" t="s">
        <v>4002</v>
      </c>
      <c r="B2843" s="130">
        <v>10</v>
      </c>
    </row>
    <row r="2844" spans="1:2" x14ac:dyDescent="0.3">
      <c r="A2844" s="36" t="s">
        <v>4003</v>
      </c>
      <c r="B2844" s="130">
        <v>26</v>
      </c>
    </row>
    <row r="2845" spans="1:2" x14ac:dyDescent="0.3">
      <c r="A2845" s="36" t="s">
        <v>4004</v>
      </c>
      <c r="B2845" s="130">
        <v>43</v>
      </c>
    </row>
    <row r="2846" spans="1:2" x14ac:dyDescent="0.3">
      <c r="A2846" s="36" t="s">
        <v>4005</v>
      </c>
      <c r="B2846" s="130">
        <v>65</v>
      </c>
    </row>
    <row r="2847" spans="1:2" x14ac:dyDescent="0.3">
      <c r="A2847" s="36" t="s">
        <v>4006</v>
      </c>
      <c r="B2847" s="130">
        <v>39</v>
      </c>
    </row>
    <row r="2848" spans="1:2" x14ac:dyDescent="0.3">
      <c r="A2848" s="36" t="s">
        <v>4007</v>
      </c>
      <c r="B2848" s="130">
        <v>0</v>
      </c>
    </row>
    <row r="2849" spans="1:2" x14ac:dyDescent="0.3">
      <c r="A2849" s="36" t="s">
        <v>4008</v>
      </c>
      <c r="B2849" s="130">
        <v>0</v>
      </c>
    </row>
    <row r="2850" spans="1:2" x14ac:dyDescent="0.3">
      <c r="A2850" s="36" t="s">
        <v>4009</v>
      </c>
      <c r="B2850" s="130">
        <v>0</v>
      </c>
    </row>
    <row r="2851" spans="1:2" x14ac:dyDescent="0.3">
      <c r="A2851" s="36" t="s">
        <v>4010</v>
      </c>
      <c r="B2851" s="130">
        <v>0</v>
      </c>
    </row>
    <row r="2852" spans="1:2" x14ac:dyDescent="0.3">
      <c r="A2852" s="36" t="s">
        <v>4011</v>
      </c>
      <c r="B2852" s="130">
        <v>0</v>
      </c>
    </row>
    <row r="2853" spans="1:2" x14ac:dyDescent="0.3">
      <c r="A2853" s="36" t="s">
        <v>4012</v>
      </c>
      <c r="B2853" s="130">
        <v>35</v>
      </c>
    </row>
    <row r="2854" spans="1:2" x14ac:dyDescent="0.3">
      <c r="A2854" s="36" t="s">
        <v>4013</v>
      </c>
      <c r="B2854" s="130">
        <v>57</v>
      </c>
    </row>
    <row r="2855" spans="1:2" x14ac:dyDescent="0.3">
      <c r="A2855" s="36" t="s">
        <v>4014</v>
      </c>
      <c r="B2855" s="130">
        <v>126</v>
      </c>
    </row>
    <row r="2856" spans="1:2" x14ac:dyDescent="0.3">
      <c r="A2856" s="36" t="s">
        <v>4015</v>
      </c>
      <c r="B2856" s="130">
        <v>72</v>
      </c>
    </row>
    <row r="2857" spans="1:2" x14ac:dyDescent="0.3">
      <c r="A2857" s="36" t="s">
        <v>4016</v>
      </c>
      <c r="B2857" s="130">
        <v>31</v>
      </c>
    </row>
    <row r="2858" spans="1:2" x14ac:dyDescent="0.3">
      <c r="A2858" s="36" t="s">
        <v>4017</v>
      </c>
      <c r="B2858" s="130">
        <v>24</v>
      </c>
    </row>
    <row r="2859" spans="1:2" x14ac:dyDescent="0.3">
      <c r="A2859" s="36" t="s">
        <v>4018</v>
      </c>
      <c r="B2859" s="130">
        <v>64</v>
      </c>
    </row>
    <row r="2860" spans="1:2" x14ac:dyDescent="0.3">
      <c r="A2860" s="36" t="s">
        <v>4019</v>
      </c>
      <c r="B2860" s="130">
        <v>69</v>
      </c>
    </row>
    <row r="2861" spans="1:2" x14ac:dyDescent="0.3">
      <c r="A2861" s="36" t="s">
        <v>4020</v>
      </c>
      <c r="B2861" s="130">
        <v>36</v>
      </c>
    </row>
    <row r="2862" spans="1:2" x14ac:dyDescent="0.3">
      <c r="A2862" s="36" t="s">
        <v>4021</v>
      </c>
      <c r="B2862" s="130">
        <v>0</v>
      </c>
    </row>
    <row r="2863" spans="1:2" x14ac:dyDescent="0.3">
      <c r="A2863" s="36" t="s">
        <v>4022</v>
      </c>
      <c r="B2863" s="130" t="s">
        <v>1163</v>
      </c>
    </row>
    <row r="2864" spans="1:2" x14ac:dyDescent="0.3">
      <c r="A2864" s="36" t="s">
        <v>4023</v>
      </c>
      <c r="B2864" s="130">
        <v>107</v>
      </c>
    </row>
    <row r="2865" spans="1:2" x14ac:dyDescent="0.3">
      <c r="A2865" s="36" t="s">
        <v>4024</v>
      </c>
      <c r="B2865" s="130">
        <v>49</v>
      </c>
    </row>
    <row r="2866" spans="1:2" x14ac:dyDescent="0.3">
      <c r="A2866" s="36" t="s">
        <v>4025</v>
      </c>
      <c r="B2866" s="130">
        <v>83</v>
      </c>
    </row>
    <row r="2867" spans="1:2" x14ac:dyDescent="0.3">
      <c r="A2867" s="36" t="s">
        <v>4026</v>
      </c>
      <c r="B2867" s="130">
        <v>18</v>
      </c>
    </row>
    <row r="2868" spans="1:2" x14ac:dyDescent="0.3">
      <c r="A2868" s="36" t="s">
        <v>4027</v>
      </c>
      <c r="B2868" s="130">
        <v>106</v>
      </c>
    </row>
    <row r="2869" spans="1:2" x14ac:dyDescent="0.3">
      <c r="A2869" s="36" t="s">
        <v>4028</v>
      </c>
      <c r="B2869" s="130">
        <v>209</v>
      </c>
    </row>
    <row r="2870" spans="1:2" x14ac:dyDescent="0.3">
      <c r="A2870" s="36" t="s">
        <v>4029</v>
      </c>
      <c r="B2870" s="130">
        <v>109</v>
      </c>
    </row>
    <row r="2871" spans="1:2" x14ac:dyDescent="0.3">
      <c r="A2871" s="36" t="s">
        <v>4030</v>
      </c>
      <c r="B2871" s="130">
        <v>287</v>
      </c>
    </row>
    <row r="2872" spans="1:2" x14ac:dyDescent="0.3">
      <c r="A2872" s="36" t="s">
        <v>4031</v>
      </c>
      <c r="B2872" s="130">
        <v>126</v>
      </c>
    </row>
    <row r="2873" spans="1:2" x14ac:dyDescent="0.3">
      <c r="A2873" s="36" t="s">
        <v>4032</v>
      </c>
      <c r="B2873" s="130">
        <v>109</v>
      </c>
    </row>
    <row r="2874" spans="1:2" x14ac:dyDescent="0.3">
      <c r="A2874" s="36" t="s">
        <v>4033</v>
      </c>
      <c r="B2874" s="130" t="s">
        <v>1163</v>
      </c>
    </row>
    <row r="2875" spans="1:2" x14ac:dyDescent="0.3">
      <c r="A2875" s="36" t="s">
        <v>4034</v>
      </c>
      <c r="B2875" s="130">
        <v>67</v>
      </c>
    </row>
    <row r="2876" spans="1:2" x14ac:dyDescent="0.3">
      <c r="A2876" s="36" t="s">
        <v>4035</v>
      </c>
      <c r="B2876" s="130">
        <v>141</v>
      </c>
    </row>
    <row r="2877" spans="1:2" x14ac:dyDescent="0.3">
      <c r="A2877" s="36" t="s">
        <v>4036</v>
      </c>
      <c r="B2877" s="130">
        <v>195</v>
      </c>
    </row>
    <row r="2878" spans="1:2" x14ac:dyDescent="0.3">
      <c r="A2878" s="36" t="s">
        <v>4037</v>
      </c>
      <c r="B2878" s="130">
        <v>75</v>
      </c>
    </row>
    <row r="2879" spans="1:2" x14ac:dyDescent="0.3">
      <c r="A2879" s="36" t="s">
        <v>4038</v>
      </c>
      <c r="B2879" s="130">
        <v>28</v>
      </c>
    </row>
    <row r="2880" spans="1:2" x14ac:dyDescent="0.3">
      <c r="A2880" s="36" t="s">
        <v>4039</v>
      </c>
      <c r="B2880" s="130">
        <v>93</v>
      </c>
    </row>
    <row r="2881" spans="1:2" x14ac:dyDescent="0.3">
      <c r="A2881" s="36" t="s">
        <v>4040</v>
      </c>
      <c r="B2881" s="130">
        <v>162</v>
      </c>
    </row>
    <row r="2882" spans="1:2" x14ac:dyDescent="0.3">
      <c r="A2882" s="36" t="s">
        <v>4041</v>
      </c>
      <c r="B2882" s="130">
        <v>65</v>
      </c>
    </row>
    <row r="2883" spans="1:2" x14ac:dyDescent="0.3">
      <c r="A2883" s="36" t="s">
        <v>4042</v>
      </c>
      <c r="B2883" s="130">
        <v>28</v>
      </c>
    </row>
    <row r="2884" spans="1:2" x14ac:dyDescent="0.3">
      <c r="A2884" s="36" t="s">
        <v>4043</v>
      </c>
      <c r="B2884" s="130">
        <v>22</v>
      </c>
    </row>
    <row r="2885" spans="1:2" x14ac:dyDescent="0.3">
      <c r="A2885" s="36" t="s">
        <v>4044</v>
      </c>
      <c r="B2885" s="130" t="s">
        <v>1163</v>
      </c>
    </row>
    <row r="2886" spans="1:2" x14ac:dyDescent="0.3">
      <c r="A2886" s="36" t="s">
        <v>4045</v>
      </c>
      <c r="B2886" s="130">
        <v>33</v>
      </c>
    </row>
    <row r="2887" spans="1:2" x14ac:dyDescent="0.3">
      <c r="A2887" s="36" t="s">
        <v>4046</v>
      </c>
      <c r="B2887" s="130">
        <v>133</v>
      </c>
    </row>
    <row r="2888" spans="1:2" x14ac:dyDescent="0.3">
      <c r="A2888" s="36" t="s">
        <v>4047</v>
      </c>
      <c r="B2888" s="130">
        <v>64</v>
      </c>
    </row>
    <row r="2889" spans="1:2" x14ac:dyDescent="0.3">
      <c r="A2889" s="36" t="s">
        <v>4048</v>
      </c>
      <c r="B2889" s="130">
        <v>162</v>
      </c>
    </row>
    <row r="2890" spans="1:2" x14ac:dyDescent="0.3">
      <c r="A2890" s="36" t="s">
        <v>4049</v>
      </c>
      <c r="B2890" s="130">
        <v>107</v>
      </c>
    </row>
    <row r="2891" spans="1:2" x14ac:dyDescent="0.3">
      <c r="A2891" s="36" t="s">
        <v>4050</v>
      </c>
      <c r="B2891" s="130">
        <v>131</v>
      </c>
    </row>
    <row r="2892" spans="1:2" x14ac:dyDescent="0.3">
      <c r="A2892" s="36" t="s">
        <v>4051</v>
      </c>
      <c r="B2892" s="130">
        <v>0</v>
      </c>
    </row>
    <row r="2893" spans="1:2" x14ac:dyDescent="0.3">
      <c r="A2893" s="36" t="s">
        <v>4052</v>
      </c>
      <c r="B2893" s="130">
        <v>172</v>
      </c>
    </row>
    <row r="2894" spans="1:2" x14ac:dyDescent="0.3">
      <c r="A2894" s="36" t="s">
        <v>4053</v>
      </c>
      <c r="B2894" s="130">
        <v>182</v>
      </c>
    </row>
    <row r="2895" spans="1:2" x14ac:dyDescent="0.3">
      <c r="A2895" s="36" t="s">
        <v>4054</v>
      </c>
      <c r="B2895" s="130">
        <v>159</v>
      </c>
    </row>
    <row r="2896" spans="1:2" x14ac:dyDescent="0.3">
      <c r="A2896" s="36" t="s">
        <v>4055</v>
      </c>
      <c r="B2896" s="130">
        <v>167</v>
      </c>
    </row>
    <row r="2897" spans="1:2" x14ac:dyDescent="0.3">
      <c r="A2897" s="36" t="s">
        <v>4056</v>
      </c>
      <c r="B2897" s="130">
        <v>73</v>
      </c>
    </row>
    <row r="2898" spans="1:2" x14ac:dyDescent="0.3">
      <c r="A2898" s="36" t="s">
        <v>4057</v>
      </c>
      <c r="B2898" s="130">
        <v>55</v>
      </c>
    </row>
    <row r="2899" spans="1:2" x14ac:dyDescent="0.3">
      <c r="A2899" s="36" t="s">
        <v>4058</v>
      </c>
      <c r="B2899" s="130">
        <v>123</v>
      </c>
    </row>
    <row r="2900" spans="1:2" x14ac:dyDescent="0.3">
      <c r="A2900" s="36" t="s">
        <v>4059</v>
      </c>
      <c r="B2900" s="130">
        <v>131</v>
      </c>
    </row>
    <row r="2901" spans="1:2" x14ac:dyDescent="0.3">
      <c r="A2901" s="36" t="s">
        <v>4060</v>
      </c>
      <c r="B2901" s="130">
        <v>101</v>
      </c>
    </row>
    <row r="2902" spans="1:2" x14ac:dyDescent="0.3">
      <c r="A2902" s="36" t="s">
        <v>4061</v>
      </c>
      <c r="B2902" s="130">
        <v>134</v>
      </c>
    </row>
    <row r="2903" spans="1:2" x14ac:dyDescent="0.3">
      <c r="A2903" s="36" t="s">
        <v>4062</v>
      </c>
      <c r="B2903" s="130">
        <v>104</v>
      </c>
    </row>
    <row r="2904" spans="1:2" x14ac:dyDescent="0.3">
      <c r="A2904" s="36" t="s">
        <v>4063</v>
      </c>
      <c r="B2904" s="130">
        <v>166</v>
      </c>
    </row>
    <row r="2905" spans="1:2" x14ac:dyDescent="0.3">
      <c r="A2905" s="36" t="s">
        <v>4064</v>
      </c>
      <c r="B2905" s="130">
        <v>165</v>
      </c>
    </row>
    <row r="2906" spans="1:2" x14ac:dyDescent="0.3">
      <c r="A2906" s="36" t="s">
        <v>4065</v>
      </c>
      <c r="B2906" s="130">
        <v>81</v>
      </c>
    </row>
    <row r="2907" spans="1:2" x14ac:dyDescent="0.3">
      <c r="A2907" s="36" t="s">
        <v>4066</v>
      </c>
      <c r="B2907" s="130">
        <v>50</v>
      </c>
    </row>
    <row r="2908" spans="1:2" x14ac:dyDescent="0.3">
      <c r="A2908" s="36" t="s">
        <v>4067</v>
      </c>
      <c r="B2908" s="130">
        <v>72</v>
      </c>
    </row>
    <row r="2909" spans="1:2" x14ac:dyDescent="0.3">
      <c r="A2909" s="36" t="s">
        <v>4068</v>
      </c>
      <c r="B2909" s="130">
        <v>0</v>
      </c>
    </row>
    <row r="2910" spans="1:2" x14ac:dyDescent="0.3">
      <c r="A2910" s="36" t="s">
        <v>4069</v>
      </c>
      <c r="B2910" s="130">
        <v>159</v>
      </c>
    </row>
    <row r="2911" spans="1:2" x14ac:dyDescent="0.3">
      <c r="A2911" s="36" t="s">
        <v>4070</v>
      </c>
      <c r="B2911" s="130">
        <v>25</v>
      </c>
    </row>
    <row r="2912" spans="1:2" x14ac:dyDescent="0.3">
      <c r="A2912" s="36" t="s">
        <v>4071</v>
      </c>
      <c r="B2912" s="130">
        <v>136</v>
      </c>
    </row>
    <row r="2913" spans="1:2" x14ac:dyDescent="0.3">
      <c r="A2913" s="36" t="s">
        <v>4072</v>
      </c>
      <c r="B2913" s="130">
        <v>45</v>
      </c>
    </row>
    <row r="2914" spans="1:2" x14ac:dyDescent="0.3">
      <c r="A2914" s="36" t="s">
        <v>4073</v>
      </c>
      <c r="B2914" s="130">
        <v>255</v>
      </c>
    </row>
    <row r="2915" spans="1:2" x14ac:dyDescent="0.3">
      <c r="A2915" s="36" t="s">
        <v>4074</v>
      </c>
      <c r="B2915" s="130">
        <v>0</v>
      </c>
    </row>
    <row r="2916" spans="1:2" x14ac:dyDescent="0.3">
      <c r="A2916" s="36" t="s">
        <v>4075</v>
      </c>
      <c r="B2916" s="130">
        <v>0</v>
      </c>
    </row>
    <row r="2917" spans="1:2" x14ac:dyDescent="0.3">
      <c r="A2917" s="36" t="s">
        <v>4076</v>
      </c>
      <c r="B2917" s="130">
        <v>49</v>
      </c>
    </row>
    <row r="2918" spans="1:2" x14ac:dyDescent="0.3">
      <c r="A2918" s="36" t="s">
        <v>4077</v>
      </c>
      <c r="B2918" s="130">
        <v>74</v>
      </c>
    </row>
    <row r="2919" spans="1:2" x14ac:dyDescent="0.3">
      <c r="A2919" s="36" t="s">
        <v>4078</v>
      </c>
      <c r="B2919" s="130">
        <v>85</v>
      </c>
    </row>
    <row r="2920" spans="1:2" x14ac:dyDescent="0.3">
      <c r="A2920" s="36" t="s">
        <v>4079</v>
      </c>
      <c r="B2920" s="130">
        <v>72</v>
      </c>
    </row>
    <row r="2921" spans="1:2" x14ac:dyDescent="0.3">
      <c r="A2921" s="36" t="s">
        <v>4080</v>
      </c>
      <c r="B2921" s="130">
        <v>166</v>
      </c>
    </row>
    <row r="2922" spans="1:2" x14ac:dyDescent="0.3">
      <c r="A2922" s="36" t="s">
        <v>4081</v>
      </c>
      <c r="B2922" s="130">
        <v>82</v>
      </c>
    </row>
    <row r="2923" spans="1:2" x14ac:dyDescent="0.3">
      <c r="A2923" s="36" t="s">
        <v>4082</v>
      </c>
      <c r="B2923" s="130">
        <v>88</v>
      </c>
    </row>
    <row r="2924" spans="1:2" x14ac:dyDescent="0.3">
      <c r="A2924" s="36" t="s">
        <v>4083</v>
      </c>
      <c r="B2924" s="130">
        <v>106</v>
      </c>
    </row>
    <row r="2925" spans="1:2" x14ac:dyDescent="0.3">
      <c r="A2925" s="36" t="s">
        <v>4084</v>
      </c>
      <c r="B2925" s="130">
        <v>0</v>
      </c>
    </row>
    <row r="2926" spans="1:2" x14ac:dyDescent="0.3">
      <c r="A2926" s="36" t="s">
        <v>4085</v>
      </c>
      <c r="B2926" s="130" t="s">
        <v>1163</v>
      </c>
    </row>
    <row r="2927" spans="1:2" x14ac:dyDescent="0.3">
      <c r="A2927" s="36" t="s">
        <v>4086</v>
      </c>
      <c r="B2927" s="130">
        <v>45</v>
      </c>
    </row>
    <row r="2928" spans="1:2" x14ac:dyDescent="0.3">
      <c r="A2928" s="36" t="s">
        <v>4087</v>
      </c>
      <c r="B2928" s="130">
        <v>37</v>
      </c>
    </row>
    <row r="2929" spans="1:2" x14ac:dyDescent="0.3">
      <c r="A2929" s="36" t="s">
        <v>4088</v>
      </c>
      <c r="B2929" s="130">
        <v>154</v>
      </c>
    </row>
    <row r="2930" spans="1:2" x14ac:dyDescent="0.3">
      <c r="A2930" s="36" t="s">
        <v>4089</v>
      </c>
      <c r="B2930" s="130">
        <v>30</v>
      </c>
    </row>
    <row r="2931" spans="1:2" x14ac:dyDescent="0.3">
      <c r="A2931" s="36" t="s">
        <v>4090</v>
      </c>
      <c r="B2931" s="130">
        <v>0</v>
      </c>
    </row>
    <row r="2932" spans="1:2" x14ac:dyDescent="0.3">
      <c r="A2932" s="36" t="s">
        <v>4091</v>
      </c>
      <c r="B2932" s="130" t="s">
        <v>1163</v>
      </c>
    </row>
    <row r="2933" spans="1:2" x14ac:dyDescent="0.3">
      <c r="A2933" s="36" t="s">
        <v>4092</v>
      </c>
      <c r="B2933" s="130">
        <v>0</v>
      </c>
    </row>
    <row r="2934" spans="1:2" x14ac:dyDescent="0.3">
      <c r="A2934" s="36" t="s">
        <v>4093</v>
      </c>
      <c r="B2934" s="130">
        <v>0</v>
      </c>
    </row>
    <row r="2935" spans="1:2" x14ac:dyDescent="0.3">
      <c r="A2935" s="36" t="s">
        <v>4094</v>
      </c>
      <c r="B2935" s="130">
        <v>0</v>
      </c>
    </row>
    <row r="2936" spans="1:2" x14ac:dyDescent="0.3">
      <c r="A2936" s="36" t="s">
        <v>4095</v>
      </c>
      <c r="B2936" s="130">
        <v>0</v>
      </c>
    </row>
    <row r="2937" spans="1:2" x14ac:dyDescent="0.3">
      <c r="A2937" s="36" t="s">
        <v>4096</v>
      </c>
      <c r="B2937" s="130" t="s">
        <v>1163</v>
      </c>
    </row>
    <row r="2938" spans="1:2" x14ac:dyDescent="0.3">
      <c r="A2938" s="36" t="s">
        <v>4097</v>
      </c>
      <c r="B2938" s="130" t="s">
        <v>1163</v>
      </c>
    </row>
    <row r="2939" spans="1:2" x14ac:dyDescent="0.3">
      <c r="A2939" s="36" t="s">
        <v>4098</v>
      </c>
      <c r="B2939" s="130" t="s">
        <v>1163</v>
      </c>
    </row>
    <row r="2940" spans="1:2" x14ac:dyDescent="0.3">
      <c r="A2940" s="36" t="s">
        <v>4099</v>
      </c>
      <c r="B2940" s="130" t="s">
        <v>1163</v>
      </c>
    </row>
    <row r="2941" spans="1:2" x14ac:dyDescent="0.3">
      <c r="A2941" s="36" t="s">
        <v>4100</v>
      </c>
      <c r="B2941" s="130">
        <v>0</v>
      </c>
    </row>
    <row r="2942" spans="1:2" x14ac:dyDescent="0.3">
      <c r="A2942" s="36" t="s">
        <v>4101</v>
      </c>
      <c r="B2942" s="130">
        <v>0</v>
      </c>
    </row>
    <row r="2943" spans="1:2" x14ac:dyDescent="0.3">
      <c r="A2943" s="36" t="s">
        <v>4102</v>
      </c>
      <c r="B2943" s="130">
        <v>0</v>
      </c>
    </row>
    <row r="2944" spans="1:2" x14ac:dyDescent="0.3">
      <c r="A2944" s="36" t="s">
        <v>4103</v>
      </c>
      <c r="B2944" s="130">
        <v>0</v>
      </c>
    </row>
    <row r="2945" spans="1:2" x14ac:dyDescent="0.3">
      <c r="A2945" s="36" t="s">
        <v>4104</v>
      </c>
      <c r="B2945" s="130">
        <v>0</v>
      </c>
    </row>
    <row r="2946" spans="1:2" x14ac:dyDescent="0.3">
      <c r="A2946" s="36" t="s">
        <v>4105</v>
      </c>
      <c r="B2946" s="130" t="s">
        <v>1163</v>
      </c>
    </row>
    <row r="2947" spans="1:2" x14ac:dyDescent="0.3">
      <c r="A2947" s="36" t="s">
        <v>4106</v>
      </c>
      <c r="B2947" s="130" t="s">
        <v>1163</v>
      </c>
    </row>
    <row r="2948" spans="1:2" x14ac:dyDescent="0.3">
      <c r="A2948" s="36" t="s">
        <v>4107</v>
      </c>
      <c r="B2948" s="130" t="s">
        <v>1163</v>
      </c>
    </row>
    <row r="2949" spans="1:2" x14ac:dyDescent="0.3">
      <c r="A2949" s="36" t="s">
        <v>4108</v>
      </c>
      <c r="B2949" s="130" t="s">
        <v>1163</v>
      </c>
    </row>
    <row r="2950" spans="1:2" x14ac:dyDescent="0.3">
      <c r="A2950" s="36" t="s">
        <v>4109</v>
      </c>
      <c r="B2950" s="130">
        <v>0</v>
      </c>
    </row>
    <row r="2951" spans="1:2" x14ac:dyDescent="0.3">
      <c r="A2951" s="36" t="s">
        <v>4110</v>
      </c>
      <c r="B2951" s="130">
        <v>0</v>
      </c>
    </row>
    <row r="2952" spans="1:2" x14ac:dyDescent="0.3">
      <c r="A2952" s="36" t="s">
        <v>4111</v>
      </c>
      <c r="B2952" s="130">
        <v>41</v>
      </c>
    </row>
    <row r="2953" spans="1:2" x14ac:dyDescent="0.3">
      <c r="A2953" s="36" t="s">
        <v>4112</v>
      </c>
      <c r="B2953" s="130">
        <v>120</v>
      </c>
    </row>
    <row r="2954" spans="1:2" x14ac:dyDescent="0.3">
      <c r="A2954" s="36" t="s">
        <v>4113</v>
      </c>
      <c r="B2954" s="130">
        <v>183</v>
      </c>
    </row>
    <row r="2955" spans="1:2" x14ac:dyDescent="0.3">
      <c r="A2955" s="36" t="s">
        <v>4114</v>
      </c>
      <c r="B2955" s="130">
        <v>252</v>
      </c>
    </row>
    <row r="2956" spans="1:2" x14ac:dyDescent="0.3">
      <c r="A2956" s="36" t="s">
        <v>4115</v>
      </c>
      <c r="B2956" s="130">
        <v>34</v>
      </c>
    </row>
    <row r="2957" spans="1:2" x14ac:dyDescent="0.3">
      <c r="A2957" s="36" t="s">
        <v>4116</v>
      </c>
      <c r="B2957" s="130">
        <v>58</v>
      </c>
    </row>
    <row r="2958" spans="1:2" x14ac:dyDescent="0.3">
      <c r="A2958" s="36" t="s">
        <v>4117</v>
      </c>
      <c r="B2958" s="130">
        <v>42</v>
      </c>
    </row>
    <row r="2959" spans="1:2" x14ac:dyDescent="0.3">
      <c r="A2959" s="36" t="s">
        <v>4118</v>
      </c>
      <c r="B2959" s="130">
        <v>32</v>
      </c>
    </row>
    <row r="2960" spans="1:2" x14ac:dyDescent="0.3">
      <c r="A2960" s="36" t="s">
        <v>4119</v>
      </c>
      <c r="B2960" s="130">
        <v>102</v>
      </c>
    </row>
    <row r="2961" spans="1:2" x14ac:dyDescent="0.3">
      <c r="A2961" s="36" t="s">
        <v>4120</v>
      </c>
      <c r="B2961" s="130">
        <v>142</v>
      </c>
    </row>
    <row r="2962" spans="1:2" x14ac:dyDescent="0.3">
      <c r="A2962" s="36" t="s">
        <v>4121</v>
      </c>
      <c r="B2962" s="130">
        <v>177</v>
      </c>
    </row>
    <row r="2963" spans="1:2" x14ac:dyDescent="0.3">
      <c r="A2963" s="36" t="s">
        <v>4122</v>
      </c>
      <c r="B2963" s="130">
        <v>135</v>
      </c>
    </row>
    <row r="2964" spans="1:2" x14ac:dyDescent="0.3">
      <c r="A2964" s="36" t="s">
        <v>4123</v>
      </c>
      <c r="B2964" s="130">
        <v>235</v>
      </c>
    </row>
    <row r="2965" spans="1:2" x14ac:dyDescent="0.3">
      <c r="A2965" s="36" t="s">
        <v>4124</v>
      </c>
      <c r="B2965" s="130">
        <v>430</v>
      </c>
    </row>
    <row r="2966" spans="1:2" x14ac:dyDescent="0.3">
      <c r="A2966" s="36" t="s">
        <v>4125</v>
      </c>
      <c r="B2966" s="130">
        <v>627</v>
      </c>
    </row>
    <row r="2967" spans="1:2" x14ac:dyDescent="0.3">
      <c r="A2967" s="36" t="s">
        <v>4126</v>
      </c>
      <c r="B2967" s="130">
        <v>346</v>
      </c>
    </row>
    <row r="2968" spans="1:2" x14ac:dyDescent="0.3">
      <c r="A2968" s="36" t="s">
        <v>4127</v>
      </c>
      <c r="B2968" s="130">
        <v>139</v>
      </c>
    </row>
    <row r="2969" spans="1:2" x14ac:dyDescent="0.3">
      <c r="A2969" s="36" t="s">
        <v>4128</v>
      </c>
      <c r="B2969" s="130">
        <v>405</v>
      </c>
    </row>
    <row r="2970" spans="1:2" x14ac:dyDescent="0.3">
      <c r="A2970" s="36" t="s">
        <v>4129</v>
      </c>
      <c r="B2970" s="130">
        <v>526</v>
      </c>
    </row>
    <row r="2971" spans="1:2" x14ac:dyDescent="0.3">
      <c r="A2971" s="36" t="s">
        <v>4130</v>
      </c>
      <c r="B2971" s="130">
        <v>543</v>
      </c>
    </row>
    <row r="2972" spans="1:2" x14ac:dyDescent="0.3">
      <c r="A2972" s="36" t="s">
        <v>4131</v>
      </c>
      <c r="B2972" s="130">
        <v>0</v>
      </c>
    </row>
    <row r="2973" spans="1:2" x14ac:dyDescent="0.3">
      <c r="A2973" s="36" t="s">
        <v>4132</v>
      </c>
      <c r="B2973" s="130">
        <v>204</v>
      </c>
    </row>
    <row r="2974" spans="1:2" x14ac:dyDescent="0.3">
      <c r="A2974" s="36" t="s">
        <v>4133</v>
      </c>
      <c r="B2974" s="130">
        <v>291</v>
      </c>
    </row>
    <row r="2975" spans="1:2" x14ac:dyDescent="0.3">
      <c r="A2975" s="36" t="s">
        <v>4134</v>
      </c>
      <c r="B2975" s="130">
        <v>352</v>
      </c>
    </row>
    <row r="2976" spans="1:2" x14ac:dyDescent="0.3">
      <c r="A2976" s="36" t="s">
        <v>4135</v>
      </c>
      <c r="B2976" s="130">
        <v>0</v>
      </c>
    </row>
    <row r="2977" spans="1:2" x14ac:dyDescent="0.3">
      <c r="A2977" s="36" t="s">
        <v>4136</v>
      </c>
      <c r="B2977" s="130">
        <v>198</v>
      </c>
    </row>
    <row r="2978" spans="1:2" x14ac:dyDescent="0.3">
      <c r="A2978" s="36" t="s">
        <v>4137</v>
      </c>
      <c r="B2978" s="130">
        <v>0</v>
      </c>
    </row>
    <row r="2979" spans="1:2" x14ac:dyDescent="0.3">
      <c r="A2979" s="36" t="s">
        <v>4138</v>
      </c>
      <c r="B2979" s="130">
        <v>0</v>
      </c>
    </row>
    <row r="2980" spans="1:2" x14ac:dyDescent="0.3">
      <c r="A2980" s="36" t="s">
        <v>4139</v>
      </c>
      <c r="B2980" s="130">
        <v>0</v>
      </c>
    </row>
    <row r="2981" spans="1:2" x14ac:dyDescent="0.3">
      <c r="A2981" s="36" t="s">
        <v>4140</v>
      </c>
      <c r="B2981" s="130" t="s">
        <v>1163</v>
      </c>
    </row>
    <row r="2982" spans="1:2" x14ac:dyDescent="0.3">
      <c r="A2982" s="36" t="s">
        <v>4141</v>
      </c>
      <c r="B2982" s="130" t="s">
        <v>1163</v>
      </c>
    </row>
    <row r="2983" spans="1:2" x14ac:dyDescent="0.3">
      <c r="A2983" s="36" t="s">
        <v>4142</v>
      </c>
      <c r="B2983" s="130">
        <v>0</v>
      </c>
    </row>
    <row r="2984" spans="1:2" x14ac:dyDescent="0.3">
      <c r="A2984" s="36" t="s">
        <v>4143</v>
      </c>
      <c r="B2984" s="130">
        <v>0</v>
      </c>
    </row>
    <row r="2985" spans="1:2" x14ac:dyDescent="0.3">
      <c r="A2985" s="36" t="s">
        <v>4144</v>
      </c>
      <c r="B2985" s="130">
        <v>0</v>
      </c>
    </row>
    <row r="2986" spans="1:2" x14ac:dyDescent="0.3">
      <c r="A2986" s="36" t="s">
        <v>4145</v>
      </c>
      <c r="B2986" s="130">
        <v>0</v>
      </c>
    </row>
    <row r="2987" spans="1:2" x14ac:dyDescent="0.3">
      <c r="A2987" s="36" t="s">
        <v>4146</v>
      </c>
      <c r="B2987" s="130" t="s">
        <v>1163</v>
      </c>
    </row>
    <row r="2988" spans="1:2" x14ac:dyDescent="0.3">
      <c r="A2988" s="36" t="s">
        <v>4147</v>
      </c>
      <c r="B2988" s="130">
        <v>0</v>
      </c>
    </row>
    <row r="2989" spans="1:2" x14ac:dyDescent="0.3">
      <c r="A2989" s="36" t="s">
        <v>4148</v>
      </c>
      <c r="B2989" s="130">
        <v>0</v>
      </c>
    </row>
    <row r="2990" spans="1:2" x14ac:dyDescent="0.3">
      <c r="A2990" s="36" t="s">
        <v>4149</v>
      </c>
      <c r="B2990" s="130">
        <v>0</v>
      </c>
    </row>
    <row r="2991" spans="1:2" x14ac:dyDescent="0.3">
      <c r="A2991" s="36" t="s">
        <v>4150</v>
      </c>
      <c r="B2991" s="130">
        <v>0</v>
      </c>
    </row>
    <row r="2992" spans="1:2" x14ac:dyDescent="0.3">
      <c r="A2992" s="36" t="s">
        <v>4151</v>
      </c>
      <c r="B2992" s="130">
        <v>0</v>
      </c>
    </row>
    <row r="2993" spans="1:2" x14ac:dyDescent="0.3">
      <c r="A2993" s="36" t="s">
        <v>4152</v>
      </c>
      <c r="B2993" s="130" t="s">
        <v>1163</v>
      </c>
    </row>
    <row r="2994" spans="1:2" x14ac:dyDescent="0.3">
      <c r="A2994" s="36" t="s">
        <v>4153</v>
      </c>
      <c r="B2994" s="130">
        <v>147</v>
      </c>
    </row>
    <row r="2995" spans="1:2" x14ac:dyDescent="0.3">
      <c r="A2995" s="36" t="s">
        <v>4154</v>
      </c>
      <c r="B2995" s="130">
        <v>49</v>
      </c>
    </row>
    <row r="2996" spans="1:2" x14ac:dyDescent="0.3">
      <c r="A2996" s="36" t="s">
        <v>4155</v>
      </c>
      <c r="B2996" s="130">
        <v>158</v>
      </c>
    </row>
    <row r="2997" spans="1:2" x14ac:dyDescent="0.3">
      <c r="A2997" s="36" t="s">
        <v>4156</v>
      </c>
      <c r="B2997" s="130">
        <v>0</v>
      </c>
    </row>
    <row r="2998" spans="1:2" x14ac:dyDescent="0.3">
      <c r="A2998" s="36" t="s">
        <v>4157</v>
      </c>
      <c r="B2998" s="130">
        <v>364</v>
      </c>
    </row>
    <row r="2999" spans="1:2" x14ac:dyDescent="0.3">
      <c r="A2999" s="36" t="s">
        <v>4158</v>
      </c>
      <c r="B2999" s="130">
        <v>64</v>
      </c>
    </row>
    <row r="3000" spans="1:2" x14ac:dyDescent="0.3">
      <c r="A3000" s="36" t="s">
        <v>4159</v>
      </c>
      <c r="B3000" s="130">
        <v>220</v>
      </c>
    </row>
    <row r="3001" spans="1:2" x14ac:dyDescent="0.3">
      <c r="A3001" s="36" t="s">
        <v>4160</v>
      </c>
      <c r="B3001" s="130">
        <v>517</v>
      </c>
    </row>
    <row r="3002" spans="1:2" x14ac:dyDescent="0.3">
      <c r="A3002" s="36" t="s">
        <v>4161</v>
      </c>
      <c r="B3002" s="130">
        <v>146</v>
      </c>
    </row>
    <row r="3003" spans="1:2" x14ac:dyDescent="0.3">
      <c r="A3003" s="36" t="s">
        <v>4162</v>
      </c>
      <c r="B3003" s="130">
        <v>105</v>
      </c>
    </row>
    <row r="3004" spans="1:2" x14ac:dyDescent="0.3">
      <c r="A3004" s="36" t="s">
        <v>4163</v>
      </c>
      <c r="B3004" s="130">
        <v>354</v>
      </c>
    </row>
    <row r="3005" spans="1:2" x14ac:dyDescent="0.3">
      <c r="A3005" s="36" t="s">
        <v>4164</v>
      </c>
      <c r="B3005" s="130">
        <v>335</v>
      </c>
    </row>
    <row r="3006" spans="1:2" x14ac:dyDescent="0.3">
      <c r="A3006" s="36" t="s">
        <v>4165</v>
      </c>
      <c r="B3006" s="130">
        <v>0</v>
      </c>
    </row>
    <row r="3007" spans="1:2" x14ac:dyDescent="0.3">
      <c r="A3007" s="36" t="s">
        <v>4166</v>
      </c>
      <c r="B3007" s="130">
        <v>180</v>
      </c>
    </row>
    <row r="3008" spans="1:2" x14ac:dyDescent="0.3">
      <c r="A3008" s="36" t="s">
        <v>4167</v>
      </c>
      <c r="B3008" s="130">
        <v>207</v>
      </c>
    </row>
    <row r="3009" spans="1:2" x14ac:dyDescent="0.3">
      <c r="A3009" s="36" t="s">
        <v>4168</v>
      </c>
      <c r="B3009" s="130">
        <v>64</v>
      </c>
    </row>
    <row r="3010" spans="1:2" x14ac:dyDescent="0.3">
      <c r="A3010" s="36" t="s">
        <v>4169</v>
      </c>
      <c r="B3010" s="130">
        <v>113</v>
      </c>
    </row>
    <row r="3011" spans="1:2" x14ac:dyDescent="0.3">
      <c r="A3011" s="36" t="s">
        <v>4170</v>
      </c>
      <c r="B3011" s="130">
        <v>45</v>
      </c>
    </row>
    <row r="3012" spans="1:2" x14ac:dyDescent="0.3">
      <c r="A3012" s="36" t="s">
        <v>4171</v>
      </c>
      <c r="B3012" s="130">
        <v>145</v>
      </c>
    </row>
    <row r="3013" spans="1:2" x14ac:dyDescent="0.3">
      <c r="A3013" s="36" t="s">
        <v>4172</v>
      </c>
      <c r="B3013" s="130">
        <v>87</v>
      </c>
    </row>
    <row r="3014" spans="1:2" x14ac:dyDescent="0.3">
      <c r="A3014" s="36" t="s">
        <v>4173</v>
      </c>
      <c r="B3014" s="130">
        <v>35</v>
      </c>
    </row>
    <row r="3015" spans="1:2" x14ac:dyDescent="0.3">
      <c r="A3015" s="36" t="s">
        <v>4174</v>
      </c>
      <c r="B3015" s="130">
        <v>136</v>
      </c>
    </row>
    <row r="3016" spans="1:2" x14ac:dyDescent="0.3">
      <c r="A3016" s="36" t="s">
        <v>4175</v>
      </c>
      <c r="B3016" s="130">
        <v>324</v>
      </c>
    </row>
    <row r="3017" spans="1:2" x14ac:dyDescent="0.3">
      <c r="A3017" s="36" t="s">
        <v>4176</v>
      </c>
      <c r="B3017" s="130">
        <v>249</v>
      </c>
    </row>
    <row r="3018" spans="1:2" x14ac:dyDescent="0.3">
      <c r="A3018" s="36" t="s">
        <v>4177</v>
      </c>
      <c r="B3018" s="130">
        <v>326</v>
      </c>
    </row>
    <row r="3019" spans="1:2" x14ac:dyDescent="0.3">
      <c r="A3019" s="36" t="s">
        <v>4178</v>
      </c>
      <c r="B3019" s="130">
        <v>105</v>
      </c>
    </row>
    <row r="3020" spans="1:2" x14ac:dyDescent="0.3">
      <c r="A3020" s="36" t="s">
        <v>4179</v>
      </c>
      <c r="B3020" s="130">
        <v>117</v>
      </c>
    </row>
    <row r="3021" spans="1:2" x14ac:dyDescent="0.3">
      <c r="A3021" s="36" t="s">
        <v>4180</v>
      </c>
      <c r="B3021" s="130">
        <v>130</v>
      </c>
    </row>
    <row r="3022" spans="1:2" x14ac:dyDescent="0.3">
      <c r="A3022" s="36" t="s">
        <v>4181</v>
      </c>
      <c r="B3022" s="130">
        <v>217</v>
      </c>
    </row>
    <row r="3023" spans="1:2" x14ac:dyDescent="0.3">
      <c r="A3023" s="36" t="s">
        <v>4182</v>
      </c>
      <c r="B3023" s="130">
        <v>139</v>
      </c>
    </row>
    <row r="3024" spans="1:2" x14ac:dyDescent="0.3">
      <c r="A3024" s="36" t="s">
        <v>4183</v>
      </c>
      <c r="B3024" s="130">
        <v>0</v>
      </c>
    </row>
    <row r="3025" spans="1:2" x14ac:dyDescent="0.3">
      <c r="A3025" s="36" t="s">
        <v>4184</v>
      </c>
      <c r="B3025" s="130">
        <v>79</v>
      </c>
    </row>
    <row r="3026" spans="1:2" x14ac:dyDescent="0.3">
      <c r="A3026" s="36" t="s">
        <v>4185</v>
      </c>
      <c r="B3026" s="130">
        <v>211</v>
      </c>
    </row>
    <row r="3027" spans="1:2" x14ac:dyDescent="0.3">
      <c r="A3027" s="36" t="s">
        <v>4186</v>
      </c>
      <c r="B3027" s="130">
        <v>115</v>
      </c>
    </row>
    <row r="3028" spans="1:2" x14ac:dyDescent="0.3">
      <c r="A3028" s="36" t="s">
        <v>4187</v>
      </c>
      <c r="B3028" s="130">
        <v>114</v>
      </c>
    </row>
    <row r="3029" spans="1:2" x14ac:dyDescent="0.3">
      <c r="A3029" s="36" t="s">
        <v>4188</v>
      </c>
      <c r="B3029" s="130">
        <v>168</v>
      </c>
    </row>
    <row r="3030" spans="1:2" x14ac:dyDescent="0.3">
      <c r="A3030" s="36" t="s">
        <v>4189</v>
      </c>
      <c r="B3030" s="130">
        <v>299</v>
      </c>
    </row>
    <row r="3031" spans="1:2" x14ac:dyDescent="0.3">
      <c r="A3031" s="36" t="s">
        <v>4190</v>
      </c>
      <c r="B3031" s="130">
        <v>176</v>
      </c>
    </row>
    <row r="3032" spans="1:2" x14ac:dyDescent="0.3">
      <c r="A3032" s="36" t="s">
        <v>4191</v>
      </c>
      <c r="B3032" s="130">
        <v>232</v>
      </c>
    </row>
    <row r="3033" spans="1:2" x14ac:dyDescent="0.3">
      <c r="A3033" s="36" t="s">
        <v>4192</v>
      </c>
      <c r="B3033" s="130">
        <v>28</v>
      </c>
    </row>
    <row r="3034" spans="1:2" x14ac:dyDescent="0.3">
      <c r="A3034" s="36" t="s">
        <v>4193</v>
      </c>
      <c r="B3034" s="130">
        <v>174</v>
      </c>
    </row>
    <row r="3035" spans="1:2" x14ac:dyDescent="0.3">
      <c r="A3035" s="36" t="s">
        <v>4194</v>
      </c>
      <c r="B3035" s="130">
        <v>314</v>
      </c>
    </row>
    <row r="3036" spans="1:2" x14ac:dyDescent="0.3">
      <c r="A3036" s="36" t="s">
        <v>4195</v>
      </c>
      <c r="B3036" s="130">
        <v>48</v>
      </c>
    </row>
    <row r="3037" spans="1:2" x14ac:dyDescent="0.3">
      <c r="A3037" s="36" t="s">
        <v>4196</v>
      </c>
      <c r="B3037" s="130">
        <v>88</v>
      </c>
    </row>
    <row r="3038" spans="1:2" x14ac:dyDescent="0.3">
      <c r="A3038" s="36" t="s">
        <v>4197</v>
      </c>
      <c r="B3038" s="130">
        <v>234</v>
      </c>
    </row>
    <row r="3039" spans="1:2" x14ac:dyDescent="0.3">
      <c r="A3039" s="36" t="s">
        <v>4198</v>
      </c>
      <c r="B3039" s="130">
        <v>39</v>
      </c>
    </row>
    <row r="3040" spans="1:2" x14ac:dyDescent="0.3">
      <c r="A3040" s="36" t="s">
        <v>4199</v>
      </c>
      <c r="B3040" s="130">
        <v>184</v>
      </c>
    </row>
    <row r="3041" spans="1:2" x14ac:dyDescent="0.3">
      <c r="A3041" s="36" t="s">
        <v>4200</v>
      </c>
      <c r="B3041" s="130">
        <v>167</v>
      </c>
    </row>
    <row r="3042" spans="1:2" x14ac:dyDescent="0.3">
      <c r="A3042" s="36" t="s">
        <v>4201</v>
      </c>
      <c r="B3042" s="130">
        <v>141</v>
      </c>
    </row>
    <row r="3043" spans="1:2" x14ac:dyDescent="0.3">
      <c r="A3043" s="36" t="s">
        <v>4202</v>
      </c>
      <c r="B3043" s="130">
        <v>226</v>
      </c>
    </row>
    <row r="3044" spans="1:2" x14ac:dyDescent="0.3">
      <c r="A3044" s="36" t="s">
        <v>4203</v>
      </c>
      <c r="B3044" s="130">
        <v>130</v>
      </c>
    </row>
    <row r="3045" spans="1:2" x14ac:dyDescent="0.3">
      <c r="A3045" s="36" t="s">
        <v>4204</v>
      </c>
      <c r="B3045" s="130">
        <v>84</v>
      </c>
    </row>
    <row r="3046" spans="1:2" x14ac:dyDescent="0.3">
      <c r="A3046" s="36" t="s">
        <v>4205</v>
      </c>
      <c r="B3046" s="130">
        <v>0</v>
      </c>
    </row>
    <row r="3047" spans="1:2" x14ac:dyDescent="0.3">
      <c r="A3047" s="36" t="s">
        <v>4206</v>
      </c>
      <c r="B3047" s="130">
        <v>70</v>
      </c>
    </row>
    <row r="3048" spans="1:2" x14ac:dyDescent="0.3">
      <c r="A3048" s="36" t="s">
        <v>4207</v>
      </c>
      <c r="B3048" s="130">
        <v>361</v>
      </c>
    </row>
    <row r="3049" spans="1:2" x14ac:dyDescent="0.3">
      <c r="A3049" s="36" t="s">
        <v>4208</v>
      </c>
      <c r="B3049" s="130">
        <v>0</v>
      </c>
    </row>
    <row r="3050" spans="1:2" x14ac:dyDescent="0.3">
      <c r="A3050" s="36" t="s">
        <v>4209</v>
      </c>
      <c r="B3050" s="130">
        <v>52</v>
      </c>
    </row>
    <row r="3051" spans="1:2" x14ac:dyDescent="0.3">
      <c r="A3051" s="36" t="s">
        <v>4210</v>
      </c>
      <c r="B3051" s="130">
        <v>67</v>
      </c>
    </row>
    <row r="3052" spans="1:2" x14ac:dyDescent="0.3">
      <c r="A3052" s="36" t="s">
        <v>4211</v>
      </c>
      <c r="B3052" s="130">
        <v>185</v>
      </c>
    </row>
    <row r="3053" spans="1:2" x14ac:dyDescent="0.3">
      <c r="A3053" s="36" t="s">
        <v>4212</v>
      </c>
      <c r="B3053" s="130">
        <v>190</v>
      </c>
    </row>
    <row r="3054" spans="1:2" x14ac:dyDescent="0.3">
      <c r="A3054" s="36" t="s">
        <v>4213</v>
      </c>
      <c r="B3054" s="130">
        <v>273</v>
      </c>
    </row>
    <row r="3055" spans="1:2" x14ac:dyDescent="0.3">
      <c r="A3055" s="36" t="s">
        <v>4214</v>
      </c>
      <c r="B3055" s="130">
        <v>214</v>
      </c>
    </row>
    <row r="3056" spans="1:2" x14ac:dyDescent="0.3">
      <c r="A3056" s="36" t="s">
        <v>4215</v>
      </c>
      <c r="B3056" s="130">
        <v>258</v>
      </c>
    </row>
    <row r="3057" spans="1:2" x14ac:dyDescent="0.3">
      <c r="A3057" s="36" t="s">
        <v>4216</v>
      </c>
      <c r="B3057" s="130">
        <v>30</v>
      </c>
    </row>
    <row r="3058" spans="1:2" x14ac:dyDescent="0.3">
      <c r="A3058" s="36" t="s">
        <v>4217</v>
      </c>
      <c r="B3058" s="130">
        <v>125</v>
      </c>
    </row>
    <row r="3059" spans="1:2" x14ac:dyDescent="0.3">
      <c r="A3059" s="36" t="s">
        <v>4218</v>
      </c>
      <c r="B3059" s="130">
        <v>85</v>
      </c>
    </row>
    <row r="3060" spans="1:2" x14ac:dyDescent="0.3">
      <c r="A3060" s="36" t="s">
        <v>4219</v>
      </c>
      <c r="B3060" s="130">
        <v>134</v>
      </c>
    </row>
    <row r="3061" spans="1:2" x14ac:dyDescent="0.3">
      <c r="A3061" s="36" t="s">
        <v>4220</v>
      </c>
      <c r="B3061" s="130">
        <v>81</v>
      </c>
    </row>
    <row r="3062" spans="1:2" x14ac:dyDescent="0.3">
      <c r="A3062" s="36" t="s">
        <v>4221</v>
      </c>
      <c r="B3062" s="130">
        <v>180</v>
      </c>
    </row>
    <row r="3063" spans="1:2" x14ac:dyDescent="0.3">
      <c r="A3063" s="36" t="s">
        <v>4222</v>
      </c>
      <c r="B3063" s="130">
        <v>63</v>
      </c>
    </row>
    <row r="3064" spans="1:2" x14ac:dyDescent="0.3">
      <c r="A3064" s="36" t="s">
        <v>4223</v>
      </c>
      <c r="B3064" s="130">
        <v>191</v>
      </c>
    </row>
    <row r="3065" spans="1:2" x14ac:dyDescent="0.3">
      <c r="A3065" s="36" t="s">
        <v>4224</v>
      </c>
      <c r="B3065" s="130">
        <v>15</v>
      </c>
    </row>
    <row r="3066" spans="1:2" x14ac:dyDescent="0.3">
      <c r="A3066" s="36" t="s">
        <v>4225</v>
      </c>
      <c r="B3066" s="130">
        <v>128</v>
      </c>
    </row>
    <row r="3067" spans="1:2" x14ac:dyDescent="0.3">
      <c r="A3067" s="36" t="s">
        <v>4226</v>
      </c>
      <c r="B3067" s="130">
        <v>106</v>
      </c>
    </row>
    <row r="3068" spans="1:2" x14ac:dyDescent="0.3">
      <c r="A3068" s="36" t="s">
        <v>4227</v>
      </c>
      <c r="B3068" s="130">
        <v>71</v>
      </c>
    </row>
    <row r="3069" spans="1:2" x14ac:dyDescent="0.3">
      <c r="A3069" s="36" t="s">
        <v>4228</v>
      </c>
      <c r="B3069" s="130">
        <v>44</v>
      </c>
    </row>
    <row r="3070" spans="1:2" x14ac:dyDescent="0.3">
      <c r="A3070" s="36" t="s">
        <v>4229</v>
      </c>
      <c r="B3070" s="130">
        <v>104</v>
      </c>
    </row>
    <row r="3071" spans="1:2" x14ac:dyDescent="0.3">
      <c r="A3071" s="36" t="s">
        <v>4230</v>
      </c>
      <c r="B3071" s="130">
        <v>43</v>
      </c>
    </row>
    <row r="3072" spans="1:2" x14ac:dyDescent="0.3">
      <c r="A3072" s="36" t="s">
        <v>4231</v>
      </c>
      <c r="B3072" s="130">
        <v>152</v>
      </c>
    </row>
    <row r="3073" spans="1:2" x14ac:dyDescent="0.3">
      <c r="A3073" s="36" t="s">
        <v>4232</v>
      </c>
      <c r="B3073" s="130">
        <v>18</v>
      </c>
    </row>
    <row r="3074" spans="1:2" x14ac:dyDescent="0.3">
      <c r="A3074" s="36" t="s">
        <v>4233</v>
      </c>
      <c r="B3074" s="130">
        <v>97</v>
      </c>
    </row>
    <row r="3075" spans="1:2" x14ac:dyDescent="0.3">
      <c r="A3075" s="36" t="s">
        <v>4234</v>
      </c>
      <c r="B3075" s="130">
        <v>134</v>
      </c>
    </row>
    <row r="3076" spans="1:2" x14ac:dyDescent="0.3">
      <c r="A3076" s="36" t="s">
        <v>4235</v>
      </c>
      <c r="B3076" s="130">
        <v>138</v>
      </c>
    </row>
    <row r="3077" spans="1:2" x14ac:dyDescent="0.3">
      <c r="A3077" s="36" t="s">
        <v>4236</v>
      </c>
      <c r="B3077" s="130">
        <v>252</v>
      </c>
    </row>
    <row r="3078" spans="1:2" x14ac:dyDescent="0.3">
      <c r="A3078" s="36" t="s">
        <v>4237</v>
      </c>
      <c r="B3078" s="130">
        <v>39</v>
      </c>
    </row>
    <row r="3079" spans="1:2" x14ac:dyDescent="0.3">
      <c r="A3079" s="36" t="s">
        <v>4238</v>
      </c>
      <c r="B3079" s="130">
        <v>101</v>
      </c>
    </row>
    <row r="3080" spans="1:2" x14ac:dyDescent="0.3">
      <c r="A3080" s="36" t="s">
        <v>4239</v>
      </c>
      <c r="B3080" s="130">
        <v>25</v>
      </c>
    </row>
    <row r="3081" spans="1:2" x14ac:dyDescent="0.3">
      <c r="A3081" s="36" t="s">
        <v>4240</v>
      </c>
      <c r="B3081" s="130">
        <v>0</v>
      </c>
    </row>
    <row r="3082" spans="1:2" x14ac:dyDescent="0.3">
      <c r="A3082" s="36" t="s">
        <v>4241</v>
      </c>
      <c r="B3082" s="130">
        <v>0</v>
      </c>
    </row>
    <row r="3083" spans="1:2" x14ac:dyDescent="0.3">
      <c r="A3083" s="36" t="s">
        <v>4242</v>
      </c>
      <c r="B3083" s="130" t="s">
        <v>1163</v>
      </c>
    </row>
    <row r="3084" spans="1:2" x14ac:dyDescent="0.3">
      <c r="A3084" s="36" t="s">
        <v>4243</v>
      </c>
      <c r="B3084" s="130">
        <v>74</v>
      </c>
    </row>
    <row r="3085" spans="1:2" x14ac:dyDescent="0.3">
      <c r="A3085" s="36" t="s">
        <v>4244</v>
      </c>
      <c r="B3085" s="130">
        <v>38</v>
      </c>
    </row>
    <row r="3086" spans="1:2" x14ac:dyDescent="0.3">
      <c r="A3086" s="36" t="s">
        <v>4245</v>
      </c>
      <c r="B3086" s="130">
        <v>97</v>
      </c>
    </row>
    <row r="3087" spans="1:2" x14ac:dyDescent="0.3">
      <c r="A3087" s="36" t="s">
        <v>4246</v>
      </c>
      <c r="B3087" s="130">
        <v>71</v>
      </c>
    </row>
    <row r="3088" spans="1:2" x14ac:dyDescent="0.3">
      <c r="A3088" s="36" t="s">
        <v>4247</v>
      </c>
      <c r="B3088" s="130">
        <v>36</v>
      </c>
    </row>
    <row r="3089" spans="1:2" x14ac:dyDescent="0.3">
      <c r="A3089" s="36" t="s">
        <v>4248</v>
      </c>
      <c r="B3089" s="130">
        <v>27</v>
      </c>
    </row>
    <row r="3090" spans="1:2" x14ac:dyDescent="0.3">
      <c r="A3090" s="36" t="s">
        <v>4249</v>
      </c>
      <c r="B3090" s="130">
        <v>44</v>
      </c>
    </row>
    <row r="3091" spans="1:2" x14ac:dyDescent="0.3">
      <c r="A3091" s="36" t="s">
        <v>4250</v>
      </c>
      <c r="B3091" s="130">
        <v>106</v>
      </c>
    </row>
    <row r="3092" spans="1:2" x14ac:dyDescent="0.3">
      <c r="A3092" s="36" t="s">
        <v>4251</v>
      </c>
      <c r="B3092" s="130">
        <v>57</v>
      </c>
    </row>
    <row r="3093" spans="1:2" x14ac:dyDescent="0.3">
      <c r="A3093" s="36" t="s">
        <v>4252</v>
      </c>
      <c r="B3093" s="130">
        <v>142</v>
      </c>
    </row>
    <row r="3094" spans="1:2" x14ac:dyDescent="0.3">
      <c r="A3094" s="36" t="s">
        <v>4253</v>
      </c>
      <c r="B3094" s="130" t="s">
        <v>1163</v>
      </c>
    </row>
    <row r="3095" spans="1:2" x14ac:dyDescent="0.3">
      <c r="A3095" s="36" t="s">
        <v>4254</v>
      </c>
      <c r="B3095" s="130">
        <v>39</v>
      </c>
    </row>
    <row r="3096" spans="1:2" x14ac:dyDescent="0.3">
      <c r="A3096" s="36" t="s">
        <v>4255</v>
      </c>
      <c r="B3096" s="130">
        <v>26</v>
      </c>
    </row>
    <row r="3097" spans="1:2" x14ac:dyDescent="0.3">
      <c r="A3097" s="36" t="s">
        <v>4256</v>
      </c>
      <c r="B3097" s="130">
        <v>183</v>
      </c>
    </row>
    <row r="3098" spans="1:2" x14ac:dyDescent="0.3">
      <c r="A3098" s="36" t="s">
        <v>4257</v>
      </c>
      <c r="B3098" s="130">
        <v>146</v>
      </c>
    </row>
    <row r="3099" spans="1:2" x14ac:dyDescent="0.3">
      <c r="A3099" s="36" t="s">
        <v>4258</v>
      </c>
      <c r="B3099" s="130">
        <v>230</v>
      </c>
    </row>
    <row r="3100" spans="1:2" x14ac:dyDescent="0.3">
      <c r="A3100" s="36" t="s">
        <v>4259</v>
      </c>
      <c r="B3100" s="130">
        <v>241</v>
      </c>
    </row>
    <row r="3101" spans="1:2" x14ac:dyDescent="0.3">
      <c r="A3101" s="36" t="s">
        <v>4260</v>
      </c>
      <c r="B3101" s="130">
        <v>0</v>
      </c>
    </row>
    <row r="3102" spans="1:2" x14ac:dyDescent="0.3">
      <c r="A3102" s="36" t="s">
        <v>4261</v>
      </c>
      <c r="B3102" s="130">
        <v>155</v>
      </c>
    </row>
    <row r="3103" spans="1:2" x14ac:dyDescent="0.3">
      <c r="A3103" s="36" t="s">
        <v>4262</v>
      </c>
      <c r="B3103" s="130">
        <v>113</v>
      </c>
    </row>
    <row r="3104" spans="1:2" x14ac:dyDescent="0.3">
      <c r="A3104" s="36" t="s">
        <v>4263</v>
      </c>
      <c r="B3104" s="130">
        <v>211</v>
      </c>
    </row>
    <row r="3105" spans="1:5" x14ac:dyDescent="0.3">
      <c r="A3105" s="36" t="s">
        <v>4264</v>
      </c>
      <c r="B3105" s="130">
        <v>0</v>
      </c>
    </row>
    <row r="3106" spans="1:5" x14ac:dyDescent="0.3">
      <c r="A3106" s="36" t="s">
        <v>4265</v>
      </c>
      <c r="B3106" s="130">
        <v>131</v>
      </c>
    </row>
    <row r="3107" spans="1:5" x14ac:dyDescent="0.3">
      <c r="A3107" s="36" t="s">
        <v>4266</v>
      </c>
      <c r="B3107" s="130">
        <v>165</v>
      </c>
    </row>
    <row r="3108" spans="1:5" x14ac:dyDescent="0.3">
      <c r="A3108" s="36" t="s">
        <v>4267</v>
      </c>
      <c r="B3108" s="130">
        <v>112</v>
      </c>
    </row>
    <row r="3109" spans="1:5" x14ac:dyDescent="0.3">
      <c r="A3109" s="36" t="s">
        <v>4268</v>
      </c>
      <c r="B3109" s="130">
        <v>0</v>
      </c>
    </row>
    <row r="3110" spans="1:5" x14ac:dyDescent="0.3">
      <c r="A3110" s="36" t="s">
        <v>4269</v>
      </c>
      <c r="B3110" s="130">
        <v>49</v>
      </c>
    </row>
    <row r="3111" spans="1:5" x14ac:dyDescent="0.3">
      <c r="A3111" s="36" t="s">
        <v>4270</v>
      </c>
      <c r="B3111" s="130" t="s">
        <v>1163</v>
      </c>
    </row>
    <row r="3112" spans="1:5" x14ac:dyDescent="0.3">
      <c r="A3112" s="36" t="s">
        <v>4271</v>
      </c>
      <c r="B3112" s="130">
        <v>49</v>
      </c>
    </row>
    <row r="3113" spans="1:5" x14ac:dyDescent="0.3">
      <c r="A3113" s="36" t="s">
        <v>4272</v>
      </c>
      <c r="B3113" s="130">
        <v>157</v>
      </c>
    </row>
    <row r="3114" spans="1:5" x14ac:dyDescent="0.3">
      <c r="A3114" s="36" t="s">
        <v>4273</v>
      </c>
      <c r="B3114" s="130">
        <v>75</v>
      </c>
    </row>
    <row r="3115" spans="1:5" x14ac:dyDescent="0.3">
      <c r="A3115" s="36" t="s">
        <v>4274</v>
      </c>
      <c r="B3115" s="130">
        <v>122</v>
      </c>
    </row>
    <row r="3116" spans="1:5" x14ac:dyDescent="0.3">
      <c r="A3116" s="36" t="s">
        <v>4275</v>
      </c>
      <c r="B3116" s="130">
        <v>312</v>
      </c>
    </row>
    <row r="3117" spans="1:5" x14ac:dyDescent="0.3">
      <c r="A3117" s="36" t="s">
        <v>4276</v>
      </c>
      <c r="B3117" s="130">
        <v>0</v>
      </c>
    </row>
    <row r="3118" spans="1:5" x14ac:dyDescent="0.3">
      <c r="A3118" s="36" t="s">
        <v>4277</v>
      </c>
      <c r="B3118" s="130">
        <v>0</v>
      </c>
    </row>
    <row r="3119" spans="1:5" x14ac:dyDescent="0.3">
      <c r="A3119" s="36" t="s">
        <v>4278</v>
      </c>
      <c r="B3119" s="130">
        <v>0</v>
      </c>
      <c r="E3119" s="74"/>
    </row>
    <row r="3120" spans="1:5" x14ac:dyDescent="0.3">
      <c r="A3120" s="36" t="s">
        <v>4279</v>
      </c>
      <c r="B3120" s="130">
        <v>10</v>
      </c>
    </row>
    <row r="3121" spans="1:2" x14ac:dyDescent="0.3">
      <c r="A3121" s="36" t="s">
        <v>4280</v>
      </c>
      <c r="B3121" s="130">
        <v>52</v>
      </c>
    </row>
    <row r="3122" spans="1:2" x14ac:dyDescent="0.3">
      <c r="A3122" s="36" t="s">
        <v>4281</v>
      </c>
      <c r="B3122" s="130">
        <v>0</v>
      </c>
    </row>
    <row r="3123" spans="1:2" x14ac:dyDescent="0.3">
      <c r="A3123" s="36" t="s">
        <v>4282</v>
      </c>
      <c r="B3123" s="130">
        <v>1070</v>
      </c>
    </row>
  </sheetData>
  <pageMargins left="0.70000000000000007" right="0.70000000000000007" top="0.75" bottom="0.75" header="0.30000000000000004" footer="0.30000000000000004"/>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547E-C875-40C3-A10F-FAF6E9AC4958}">
  <dimension ref="A1:L425"/>
  <sheetViews>
    <sheetView workbookViewId="0"/>
  </sheetViews>
  <sheetFormatPr defaultColWidth="8.44140625" defaultRowHeight="17.25" customHeight="1" x14ac:dyDescent="0.25"/>
  <cols>
    <col min="1" max="1" width="18.6640625" style="36" customWidth="1"/>
    <col min="2" max="2" width="30.5546875" style="36" customWidth="1"/>
    <col min="3" max="3" width="18.109375" style="118" bestFit="1" customWidth="1"/>
    <col min="4" max="4" width="13.44140625" style="118" customWidth="1"/>
    <col min="5" max="5" width="14.21875" style="118" customWidth="1"/>
    <col min="6" max="6" width="13.109375" style="118" customWidth="1"/>
    <col min="7" max="7" width="12.88671875" style="118" customWidth="1"/>
    <col min="8" max="8" width="13.33203125" style="118" customWidth="1"/>
    <col min="9" max="10" width="12.88671875" style="118" customWidth="1"/>
    <col min="11" max="11" width="13.77734375" style="118" bestFit="1" customWidth="1"/>
    <col min="12" max="12" width="14" style="36" customWidth="1"/>
    <col min="13" max="13" width="8.44140625" style="36" customWidth="1"/>
    <col min="14" max="16384" width="8.44140625" style="36"/>
  </cols>
  <sheetData>
    <row r="1" spans="1:12" customFormat="1" ht="17.25" customHeight="1" x14ac:dyDescent="0.35">
      <c r="A1" s="28" t="s">
        <v>42</v>
      </c>
      <c r="B1" s="36"/>
      <c r="C1" s="118"/>
      <c r="D1" s="118"/>
      <c r="E1" s="118"/>
      <c r="F1" s="118"/>
      <c r="G1" s="118"/>
      <c r="H1" s="118"/>
      <c r="I1" s="118"/>
      <c r="J1" s="118"/>
      <c r="K1" s="118"/>
      <c r="L1" s="36"/>
    </row>
    <row r="2" spans="1:12" customFormat="1" ht="17.25" customHeight="1" x14ac:dyDescent="0.3">
      <c r="A2" s="30" t="s">
        <v>62</v>
      </c>
      <c r="B2" s="36"/>
      <c r="C2" s="118"/>
      <c r="D2" s="118"/>
      <c r="E2" s="118"/>
      <c r="F2" s="118"/>
      <c r="G2" s="118"/>
      <c r="H2" s="118"/>
      <c r="I2" s="118"/>
      <c r="J2" s="118"/>
      <c r="K2" s="118"/>
      <c r="L2" s="36"/>
    </row>
    <row r="3" spans="1:12" customFormat="1" ht="31.5" customHeight="1" thickBot="1" x14ac:dyDescent="0.35">
      <c r="A3" s="52" t="s">
        <v>91</v>
      </c>
      <c r="B3" s="52" t="s">
        <v>92</v>
      </c>
      <c r="C3" s="87" t="s">
        <v>1150</v>
      </c>
      <c r="D3" s="87" t="s">
        <v>1151</v>
      </c>
      <c r="E3" s="87" t="s">
        <v>1152</v>
      </c>
      <c r="F3" s="87" t="s">
        <v>1153</v>
      </c>
      <c r="G3" s="87" t="s">
        <v>1154</v>
      </c>
      <c r="H3" s="87" t="s">
        <v>1155</v>
      </c>
      <c r="I3" s="87" t="s">
        <v>1156</v>
      </c>
      <c r="J3" s="87" t="s">
        <v>1157</v>
      </c>
      <c r="K3" s="87" t="s">
        <v>1148</v>
      </c>
      <c r="L3" s="87" t="s">
        <v>945</v>
      </c>
    </row>
    <row r="4" spans="1:12" customFormat="1" ht="17.25" customHeight="1" x14ac:dyDescent="0.3">
      <c r="A4" s="54" t="s">
        <v>94</v>
      </c>
      <c r="B4" s="54" t="s">
        <v>95</v>
      </c>
      <c r="C4" s="73">
        <v>12622457.02</v>
      </c>
      <c r="D4" s="73">
        <v>7038367.5599999996</v>
      </c>
      <c r="E4" s="73">
        <v>9024799.8300000001</v>
      </c>
      <c r="F4" s="73">
        <v>10801966.476</v>
      </c>
      <c r="G4" s="73">
        <v>12994693.952</v>
      </c>
      <c r="H4" s="73">
        <v>21244154.022</v>
      </c>
      <c r="I4" s="73">
        <v>41025963.406000003</v>
      </c>
      <c r="J4" s="73">
        <v>24975261.234999999</v>
      </c>
      <c r="K4" s="73">
        <v>10953.09</v>
      </c>
      <c r="L4" s="73">
        <v>139738616.59099999</v>
      </c>
    </row>
    <row r="5" spans="1:12" customFormat="1" ht="17.25" customHeight="1" x14ac:dyDescent="0.3">
      <c r="A5" s="54" t="s">
        <v>96</v>
      </c>
      <c r="B5" s="56" t="s">
        <v>97</v>
      </c>
      <c r="C5" s="73">
        <v>12273322.939999999</v>
      </c>
      <c r="D5" s="73">
        <v>6883558.9900000002</v>
      </c>
      <c r="E5" s="73">
        <v>8810426.8369999994</v>
      </c>
      <c r="F5" s="73">
        <v>10558256.705</v>
      </c>
      <c r="G5" s="73">
        <v>12631716.736</v>
      </c>
      <c r="H5" s="73">
        <v>20621804.022</v>
      </c>
      <c r="I5" s="73">
        <v>39985862.113499999</v>
      </c>
      <c r="J5" s="73">
        <v>24195811.234999999</v>
      </c>
      <c r="K5" s="73">
        <v>10396.09</v>
      </c>
      <c r="L5" s="73">
        <v>135971155.66850001</v>
      </c>
    </row>
    <row r="6" spans="1:12" customFormat="1" ht="17.25" customHeight="1" x14ac:dyDescent="0.3">
      <c r="A6" s="57" t="s">
        <v>98</v>
      </c>
      <c r="B6" s="58" t="s">
        <v>99</v>
      </c>
      <c r="C6" s="75">
        <v>10879444.199999999</v>
      </c>
      <c r="D6" s="75">
        <v>6175510.8899999997</v>
      </c>
      <c r="E6" s="75">
        <v>7810886.6169999996</v>
      </c>
      <c r="F6" s="75">
        <v>9363740.4350000005</v>
      </c>
      <c r="G6" s="75">
        <v>11270011.970000001</v>
      </c>
      <c r="H6" s="75">
        <v>18365091.522</v>
      </c>
      <c r="I6" s="75">
        <v>35371391.513499998</v>
      </c>
      <c r="J6" s="75">
        <v>21083491.734999999</v>
      </c>
      <c r="K6" s="75">
        <v>9500</v>
      </c>
      <c r="L6" s="75">
        <v>120329068.88249999</v>
      </c>
    </row>
    <row r="7" spans="1:12" customFormat="1" ht="17.25" customHeight="1" x14ac:dyDescent="0.3">
      <c r="A7" s="54" t="s">
        <v>100</v>
      </c>
      <c r="B7" s="56" t="s">
        <v>101</v>
      </c>
      <c r="C7" s="73">
        <v>726085.83</v>
      </c>
      <c r="D7" s="73">
        <v>291586</v>
      </c>
      <c r="E7" s="73">
        <v>358991.25</v>
      </c>
      <c r="F7" s="73">
        <v>344766.31</v>
      </c>
      <c r="G7" s="73">
        <v>340484.74400000001</v>
      </c>
      <c r="H7" s="73">
        <v>852861.67</v>
      </c>
      <c r="I7" s="73">
        <v>1711193.1924999999</v>
      </c>
      <c r="J7" s="73">
        <v>898637.65500000003</v>
      </c>
      <c r="K7" s="73">
        <v>350</v>
      </c>
      <c r="L7" s="73">
        <v>5524956.6514999997</v>
      </c>
    </row>
    <row r="8" spans="1:12" customFormat="1" ht="17.25" customHeight="1" x14ac:dyDescent="0.3">
      <c r="A8" s="60" t="s">
        <v>102</v>
      </c>
      <c r="B8" s="61" t="s">
        <v>103</v>
      </c>
      <c r="C8" s="76">
        <v>171073.76</v>
      </c>
      <c r="D8" s="76">
        <v>64200</v>
      </c>
      <c r="E8" s="76">
        <v>54891.25</v>
      </c>
      <c r="F8" s="76">
        <v>70986.31</v>
      </c>
      <c r="G8" s="76">
        <v>76000</v>
      </c>
      <c r="H8" s="76">
        <v>141100</v>
      </c>
      <c r="I8" s="76">
        <v>344105.45750000002</v>
      </c>
      <c r="J8" s="76">
        <v>181650</v>
      </c>
      <c r="K8" s="76">
        <v>0</v>
      </c>
      <c r="L8" s="76">
        <v>1104006.7775000001</v>
      </c>
    </row>
    <row r="9" spans="1:12" customFormat="1" ht="17.25" customHeight="1" x14ac:dyDescent="0.3">
      <c r="A9" s="60" t="s">
        <v>104</v>
      </c>
      <c r="B9" s="61" t="s">
        <v>105</v>
      </c>
      <c r="C9" s="76">
        <v>21843.27</v>
      </c>
      <c r="D9" s="76">
        <v>8486</v>
      </c>
      <c r="E9" s="76">
        <v>13950</v>
      </c>
      <c r="F9" s="76">
        <v>13000</v>
      </c>
      <c r="G9" s="76">
        <v>16000</v>
      </c>
      <c r="H9" s="76">
        <v>30650</v>
      </c>
      <c r="I9" s="76">
        <v>68122.22</v>
      </c>
      <c r="J9" s="76">
        <v>35000</v>
      </c>
      <c r="K9" s="76">
        <v>0</v>
      </c>
      <c r="L9" s="76">
        <v>207051.49</v>
      </c>
    </row>
    <row r="10" spans="1:12" customFormat="1" ht="17.25" customHeight="1" x14ac:dyDescent="0.3">
      <c r="A10" s="60" t="s">
        <v>106</v>
      </c>
      <c r="B10" s="61" t="s">
        <v>107</v>
      </c>
      <c r="C10" s="76">
        <v>9968.18</v>
      </c>
      <c r="D10" s="76">
        <v>6700</v>
      </c>
      <c r="E10" s="76">
        <v>10000</v>
      </c>
      <c r="F10" s="76">
        <v>10000</v>
      </c>
      <c r="G10" s="76">
        <v>10486.746999999999</v>
      </c>
      <c r="H10" s="76">
        <v>24450</v>
      </c>
      <c r="I10" s="76">
        <v>55300</v>
      </c>
      <c r="J10" s="76">
        <v>24150</v>
      </c>
      <c r="K10" s="76">
        <v>0</v>
      </c>
      <c r="L10" s="76">
        <v>151054.927</v>
      </c>
    </row>
    <row r="11" spans="1:12" customFormat="1" ht="17.25" customHeight="1" x14ac:dyDescent="0.3">
      <c r="A11" s="60" t="s">
        <v>108</v>
      </c>
      <c r="B11" s="61" t="s">
        <v>109</v>
      </c>
      <c r="C11" s="76">
        <v>12069.68</v>
      </c>
      <c r="D11" s="76">
        <v>2700</v>
      </c>
      <c r="E11" s="76">
        <v>8000</v>
      </c>
      <c r="F11" s="76">
        <v>9494.2530000000006</v>
      </c>
      <c r="G11" s="76">
        <v>7500</v>
      </c>
      <c r="H11" s="76">
        <v>26600</v>
      </c>
      <c r="I11" s="76">
        <v>59850</v>
      </c>
      <c r="J11" s="76">
        <v>33950</v>
      </c>
      <c r="K11" s="76">
        <v>0</v>
      </c>
      <c r="L11" s="76">
        <v>160163.93299999999</v>
      </c>
    </row>
    <row r="12" spans="1:12" customFormat="1" ht="17.25" customHeight="1" x14ac:dyDescent="0.3">
      <c r="A12" s="60" t="s">
        <v>110</v>
      </c>
      <c r="B12" s="61" t="s">
        <v>111</v>
      </c>
      <c r="C12" s="76">
        <v>130881.05</v>
      </c>
      <c r="D12" s="76">
        <v>55900</v>
      </c>
      <c r="E12" s="76">
        <v>81900</v>
      </c>
      <c r="F12" s="76">
        <v>71427.990999999995</v>
      </c>
      <c r="G12" s="76">
        <v>67997.997000000003</v>
      </c>
      <c r="H12" s="76">
        <v>183450</v>
      </c>
      <c r="I12" s="76">
        <v>300598</v>
      </c>
      <c r="J12" s="76">
        <v>161537.655</v>
      </c>
      <c r="K12" s="76">
        <v>0</v>
      </c>
      <c r="L12" s="76">
        <v>1053692.693</v>
      </c>
    </row>
    <row r="13" spans="1:12" customFormat="1" ht="17.25" customHeight="1" x14ac:dyDescent="0.3">
      <c r="A13" s="60" t="s">
        <v>112</v>
      </c>
      <c r="B13" s="61" t="s">
        <v>113</v>
      </c>
      <c r="C13" s="76">
        <v>19092.18</v>
      </c>
      <c r="D13" s="76">
        <v>5400</v>
      </c>
      <c r="E13" s="76">
        <v>11000</v>
      </c>
      <c r="F13" s="76">
        <v>12000</v>
      </c>
      <c r="G13" s="76">
        <v>10000</v>
      </c>
      <c r="H13" s="76">
        <v>24600</v>
      </c>
      <c r="I13" s="76">
        <v>61950</v>
      </c>
      <c r="J13" s="76">
        <v>38150</v>
      </c>
      <c r="K13" s="76">
        <v>0</v>
      </c>
      <c r="L13" s="76">
        <v>182192.18</v>
      </c>
    </row>
    <row r="14" spans="1:12" customFormat="1" ht="17.25" customHeight="1" x14ac:dyDescent="0.3">
      <c r="A14" s="60" t="s">
        <v>114</v>
      </c>
      <c r="B14" s="61" t="s">
        <v>115</v>
      </c>
      <c r="C14" s="76">
        <v>41939.97</v>
      </c>
      <c r="D14" s="76">
        <v>20200</v>
      </c>
      <c r="E14" s="76">
        <v>23500</v>
      </c>
      <c r="F14" s="76">
        <v>25905.256000000001</v>
      </c>
      <c r="G14" s="76">
        <v>23500</v>
      </c>
      <c r="H14" s="76">
        <v>68880.67</v>
      </c>
      <c r="I14" s="76">
        <v>158775.75750000001</v>
      </c>
      <c r="J14" s="76">
        <v>87500</v>
      </c>
      <c r="K14" s="76">
        <v>350</v>
      </c>
      <c r="L14" s="76">
        <v>450551.65350000001</v>
      </c>
    </row>
    <row r="15" spans="1:12" customFormat="1" ht="17.25" customHeight="1" x14ac:dyDescent="0.3">
      <c r="A15" s="60" t="s">
        <v>116</v>
      </c>
      <c r="B15" s="56" t="s">
        <v>117</v>
      </c>
      <c r="C15" s="73">
        <v>319217.74</v>
      </c>
      <c r="D15" s="73">
        <v>128000</v>
      </c>
      <c r="E15" s="73">
        <v>155750</v>
      </c>
      <c r="F15" s="73">
        <v>131952.5</v>
      </c>
      <c r="G15" s="73">
        <v>129000</v>
      </c>
      <c r="H15" s="73">
        <v>353131</v>
      </c>
      <c r="I15" s="73">
        <v>662491.75749999995</v>
      </c>
      <c r="J15" s="73">
        <v>336700</v>
      </c>
      <c r="K15" s="73">
        <v>0</v>
      </c>
      <c r="L15" s="73">
        <v>2216242.9975000001</v>
      </c>
    </row>
    <row r="16" spans="1:12" customFormat="1" ht="17.25" customHeight="1" x14ac:dyDescent="0.3">
      <c r="A16" s="60" t="s">
        <v>118</v>
      </c>
      <c r="B16" s="61" t="s">
        <v>119</v>
      </c>
      <c r="C16" s="76">
        <v>66904.17</v>
      </c>
      <c r="D16" s="76">
        <v>20700</v>
      </c>
      <c r="E16" s="76">
        <v>19900</v>
      </c>
      <c r="F16" s="76">
        <v>22500</v>
      </c>
      <c r="G16" s="76">
        <v>23000</v>
      </c>
      <c r="H16" s="76">
        <v>55236.75</v>
      </c>
      <c r="I16" s="76">
        <v>103741.75750000001</v>
      </c>
      <c r="J16" s="76">
        <v>54950</v>
      </c>
      <c r="K16" s="76">
        <v>0</v>
      </c>
      <c r="L16" s="76">
        <v>366932.67749999999</v>
      </c>
    </row>
    <row r="17" spans="1:12" customFormat="1" ht="17.25" customHeight="1" x14ac:dyDescent="0.3">
      <c r="A17" s="60" t="s">
        <v>120</v>
      </c>
      <c r="B17" s="61" t="s">
        <v>121</v>
      </c>
      <c r="C17" s="76">
        <v>63760.9</v>
      </c>
      <c r="D17" s="76">
        <v>30500</v>
      </c>
      <c r="E17" s="76">
        <v>46500</v>
      </c>
      <c r="F17" s="76">
        <v>37486.75</v>
      </c>
      <c r="G17" s="76">
        <v>46500</v>
      </c>
      <c r="H17" s="76">
        <v>98850</v>
      </c>
      <c r="I17" s="76">
        <v>172900</v>
      </c>
      <c r="J17" s="76">
        <v>82950</v>
      </c>
      <c r="K17" s="76">
        <v>0</v>
      </c>
      <c r="L17" s="76">
        <v>579447.65</v>
      </c>
    </row>
    <row r="18" spans="1:12" customFormat="1" ht="17.25" customHeight="1" x14ac:dyDescent="0.3">
      <c r="A18" s="60" t="s">
        <v>122</v>
      </c>
      <c r="B18" s="61" t="s">
        <v>123</v>
      </c>
      <c r="C18" s="76">
        <v>60630.239999999998</v>
      </c>
      <c r="D18" s="76">
        <v>27600</v>
      </c>
      <c r="E18" s="76">
        <v>36450</v>
      </c>
      <c r="F18" s="76">
        <v>25967.75</v>
      </c>
      <c r="G18" s="76">
        <v>26000</v>
      </c>
      <c r="H18" s="76">
        <v>97650</v>
      </c>
      <c r="I18" s="76">
        <v>175150</v>
      </c>
      <c r="J18" s="76">
        <v>83650</v>
      </c>
      <c r="K18" s="76">
        <v>0</v>
      </c>
      <c r="L18" s="76">
        <v>533097.99</v>
      </c>
    </row>
    <row r="19" spans="1:12" customFormat="1" ht="17.25" customHeight="1" x14ac:dyDescent="0.3">
      <c r="A19" s="60" t="s">
        <v>124</v>
      </c>
      <c r="B19" s="61" t="s">
        <v>125</v>
      </c>
      <c r="C19" s="76">
        <v>44301.17</v>
      </c>
      <c r="D19" s="76">
        <v>19000</v>
      </c>
      <c r="E19" s="76">
        <v>19500</v>
      </c>
      <c r="F19" s="76">
        <v>15500</v>
      </c>
      <c r="G19" s="76">
        <v>9000</v>
      </c>
      <c r="H19" s="76">
        <v>38750</v>
      </c>
      <c r="I19" s="76">
        <v>77000</v>
      </c>
      <c r="J19" s="76">
        <v>34650</v>
      </c>
      <c r="K19" s="76">
        <v>0</v>
      </c>
      <c r="L19" s="76">
        <v>257701.17</v>
      </c>
    </row>
    <row r="20" spans="1:12" customFormat="1" ht="17.25" customHeight="1" x14ac:dyDescent="0.3">
      <c r="A20" s="119" t="s">
        <v>126</v>
      </c>
      <c r="B20" s="64" t="s">
        <v>127</v>
      </c>
      <c r="C20" s="77">
        <v>83621.259999999995</v>
      </c>
      <c r="D20" s="77">
        <v>30200</v>
      </c>
      <c r="E20" s="77">
        <v>33400</v>
      </c>
      <c r="F20" s="77">
        <v>30498</v>
      </c>
      <c r="G20" s="77">
        <v>24500</v>
      </c>
      <c r="H20" s="77">
        <v>62644.25</v>
      </c>
      <c r="I20" s="77">
        <v>133700</v>
      </c>
      <c r="J20" s="77">
        <v>80500</v>
      </c>
      <c r="K20" s="77">
        <v>0</v>
      </c>
      <c r="L20" s="77">
        <v>479063.51</v>
      </c>
    </row>
    <row r="21" spans="1:12" customFormat="1" ht="17.25" customHeight="1" x14ac:dyDescent="0.3">
      <c r="A21" s="136" t="s">
        <v>128</v>
      </c>
      <c r="B21" s="137" t="s">
        <v>129</v>
      </c>
      <c r="C21" s="73">
        <v>1196663.28</v>
      </c>
      <c r="D21" s="73">
        <v>674918.86</v>
      </c>
      <c r="E21" s="73">
        <v>886615.39</v>
      </c>
      <c r="F21" s="73">
        <v>990723.32499999995</v>
      </c>
      <c r="G21" s="73">
        <v>1099320.003</v>
      </c>
      <c r="H21" s="73">
        <v>2329025.7774999999</v>
      </c>
      <c r="I21" s="73">
        <v>4619512.57</v>
      </c>
      <c r="J21" s="73">
        <v>2916197</v>
      </c>
      <c r="K21" s="73">
        <v>0</v>
      </c>
      <c r="L21" s="73">
        <v>14712976.205499999</v>
      </c>
    </row>
    <row r="22" spans="1:12" customFormat="1" ht="17.25" customHeight="1" x14ac:dyDescent="0.3">
      <c r="A22" s="60" t="s">
        <v>130</v>
      </c>
      <c r="B22" s="61" t="s">
        <v>131</v>
      </c>
      <c r="C22" s="76">
        <v>19418.86</v>
      </c>
      <c r="D22" s="76">
        <v>8100</v>
      </c>
      <c r="E22" s="76">
        <v>16000</v>
      </c>
      <c r="F22" s="76">
        <v>13000</v>
      </c>
      <c r="G22" s="76">
        <v>13000</v>
      </c>
      <c r="H22" s="76">
        <v>32850</v>
      </c>
      <c r="I22" s="76">
        <v>74550</v>
      </c>
      <c r="J22" s="76">
        <v>45150</v>
      </c>
      <c r="K22" s="76">
        <v>0</v>
      </c>
      <c r="L22" s="76">
        <v>222068.86</v>
      </c>
    </row>
    <row r="23" spans="1:12" customFormat="1" ht="17.25" customHeight="1" x14ac:dyDescent="0.3">
      <c r="A23" s="60" t="s">
        <v>132</v>
      </c>
      <c r="B23" s="61" t="s">
        <v>133</v>
      </c>
      <c r="C23" s="76">
        <v>15847.43</v>
      </c>
      <c r="D23" s="76">
        <v>8100</v>
      </c>
      <c r="E23" s="76">
        <v>12000</v>
      </c>
      <c r="F23" s="76">
        <v>7999.5</v>
      </c>
      <c r="G23" s="76">
        <v>10500</v>
      </c>
      <c r="H23" s="76">
        <v>15000</v>
      </c>
      <c r="I23" s="76">
        <v>33750</v>
      </c>
      <c r="J23" s="76">
        <v>20300</v>
      </c>
      <c r="K23" s="76">
        <v>0</v>
      </c>
      <c r="L23" s="76">
        <v>123496.93</v>
      </c>
    </row>
    <row r="24" spans="1:12" customFormat="1" ht="17.25" customHeight="1" x14ac:dyDescent="0.3">
      <c r="A24" s="60" t="s">
        <v>134</v>
      </c>
      <c r="B24" s="61" t="s">
        <v>135</v>
      </c>
      <c r="C24" s="76">
        <v>106344.94</v>
      </c>
      <c r="D24" s="76">
        <v>71966</v>
      </c>
      <c r="E24" s="76">
        <v>82995.75</v>
      </c>
      <c r="F24" s="76">
        <v>112984</v>
      </c>
      <c r="G24" s="76">
        <v>136500</v>
      </c>
      <c r="H24" s="76">
        <v>246000</v>
      </c>
      <c r="I24" s="76">
        <v>495400</v>
      </c>
      <c r="J24" s="76">
        <v>320897</v>
      </c>
      <c r="K24" s="76">
        <v>0</v>
      </c>
      <c r="L24" s="76">
        <v>1573087.69</v>
      </c>
    </row>
    <row r="25" spans="1:12" customFormat="1" ht="17.25" customHeight="1" x14ac:dyDescent="0.3">
      <c r="A25" s="60" t="s">
        <v>136</v>
      </c>
      <c r="B25" s="61" t="s">
        <v>137</v>
      </c>
      <c r="C25" s="76">
        <v>80861.78</v>
      </c>
      <c r="D25" s="76">
        <v>46879.5</v>
      </c>
      <c r="E25" s="76">
        <v>76473.36</v>
      </c>
      <c r="F25" s="76">
        <v>90958.62</v>
      </c>
      <c r="G25" s="76">
        <v>77500</v>
      </c>
      <c r="H25" s="76">
        <v>184525.7775</v>
      </c>
      <c r="I25" s="76">
        <v>360221.55</v>
      </c>
      <c r="J25" s="76">
        <v>222181.25</v>
      </c>
      <c r="K25" s="76">
        <v>0</v>
      </c>
      <c r="L25" s="76">
        <v>1139601.8374999999</v>
      </c>
    </row>
    <row r="26" spans="1:12" customFormat="1" ht="17.25" customHeight="1" x14ac:dyDescent="0.3">
      <c r="A26" s="60" t="s">
        <v>138</v>
      </c>
      <c r="B26" s="61" t="s">
        <v>139</v>
      </c>
      <c r="C26" s="76">
        <v>19400.47</v>
      </c>
      <c r="D26" s="76">
        <v>18100</v>
      </c>
      <c r="E26" s="76">
        <v>13500</v>
      </c>
      <c r="F26" s="76">
        <v>12500</v>
      </c>
      <c r="G26" s="76">
        <v>19500</v>
      </c>
      <c r="H26" s="76">
        <v>41050</v>
      </c>
      <c r="I26" s="76">
        <v>90650</v>
      </c>
      <c r="J26" s="76">
        <v>48646.5</v>
      </c>
      <c r="K26" s="76">
        <v>0</v>
      </c>
      <c r="L26" s="76">
        <v>263346.96999999997</v>
      </c>
    </row>
    <row r="27" spans="1:12" customFormat="1" ht="17.25" customHeight="1" x14ac:dyDescent="0.3">
      <c r="A27" s="60" t="s">
        <v>140</v>
      </c>
      <c r="B27" s="61" t="s">
        <v>141</v>
      </c>
      <c r="C27" s="76">
        <v>70009.08</v>
      </c>
      <c r="D27" s="76">
        <v>25186.76</v>
      </c>
      <c r="E27" s="76">
        <v>40900</v>
      </c>
      <c r="F27" s="76">
        <v>36999.5</v>
      </c>
      <c r="G27" s="76">
        <v>50000</v>
      </c>
      <c r="H27" s="76">
        <v>105950</v>
      </c>
      <c r="I27" s="76">
        <v>224500</v>
      </c>
      <c r="J27" s="76">
        <v>136850</v>
      </c>
      <c r="K27" s="76">
        <v>0</v>
      </c>
      <c r="L27" s="76">
        <v>690395.34</v>
      </c>
    </row>
    <row r="28" spans="1:12" customFormat="1" ht="17.25" customHeight="1" x14ac:dyDescent="0.3">
      <c r="A28" s="60" t="s">
        <v>142</v>
      </c>
      <c r="B28" s="56" t="s">
        <v>143</v>
      </c>
      <c r="C28" s="73">
        <v>86329.81</v>
      </c>
      <c r="D28" s="73">
        <v>40600</v>
      </c>
      <c r="E28" s="73">
        <v>41950</v>
      </c>
      <c r="F28" s="73">
        <v>66499.5</v>
      </c>
      <c r="G28" s="73">
        <v>54000</v>
      </c>
      <c r="H28" s="73">
        <v>99200</v>
      </c>
      <c r="I28" s="73">
        <v>219800</v>
      </c>
      <c r="J28" s="73">
        <v>143150</v>
      </c>
      <c r="K28" s="73">
        <v>0</v>
      </c>
      <c r="L28" s="73">
        <v>751529.31</v>
      </c>
    </row>
    <row r="29" spans="1:12" customFormat="1" ht="17.25" customHeight="1" x14ac:dyDescent="0.3">
      <c r="A29" s="60" t="s">
        <v>144</v>
      </c>
      <c r="B29" s="61" t="s">
        <v>145</v>
      </c>
      <c r="C29" s="76">
        <v>17592.18</v>
      </c>
      <c r="D29" s="76">
        <v>8000</v>
      </c>
      <c r="E29" s="76">
        <v>6000</v>
      </c>
      <c r="F29" s="76">
        <v>11500</v>
      </c>
      <c r="G29" s="76">
        <v>6000</v>
      </c>
      <c r="H29" s="76">
        <v>17750</v>
      </c>
      <c r="I29" s="76">
        <v>37450</v>
      </c>
      <c r="J29" s="76">
        <v>22050</v>
      </c>
      <c r="K29" s="76">
        <v>0</v>
      </c>
      <c r="L29" s="76">
        <v>126342.18</v>
      </c>
    </row>
    <row r="30" spans="1:12" customFormat="1" ht="17.25" customHeight="1" x14ac:dyDescent="0.3">
      <c r="A30" s="60" t="s">
        <v>146</v>
      </c>
      <c r="B30" s="61" t="s">
        <v>147</v>
      </c>
      <c r="C30" s="76">
        <v>12051.09</v>
      </c>
      <c r="D30" s="76">
        <v>1900</v>
      </c>
      <c r="E30" s="76">
        <v>5500</v>
      </c>
      <c r="F30" s="76">
        <v>6000</v>
      </c>
      <c r="G30" s="76">
        <v>4500</v>
      </c>
      <c r="H30" s="76">
        <v>6550</v>
      </c>
      <c r="I30" s="76">
        <v>18550</v>
      </c>
      <c r="J30" s="76">
        <v>10850</v>
      </c>
      <c r="K30" s="76">
        <v>0</v>
      </c>
      <c r="L30" s="76">
        <v>65901.09</v>
      </c>
    </row>
    <row r="31" spans="1:12" customFormat="1" ht="17.25" customHeight="1" x14ac:dyDescent="0.3">
      <c r="A31" s="60" t="s">
        <v>148</v>
      </c>
      <c r="B31" s="61" t="s">
        <v>149</v>
      </c>
      <c r="C31" s="76">
        <v>15896.09</v>
      </c>
      <c r="D31" s="76">
        <v>6000</v>
      </c>
      <c r="E31" s="76">
        <v>5500</v>
      </c>
      <c r="F31" s="76">
        <v>10000</v>
      </c>
      <c r="G31" s="76">
        <v>8500</v>
      </c>
      <c r="H31" s="76">
        <v>19200</v>
      </c>
      <c r="I31" s="76">
        <v>44100</v>
      </c>
      <c r="J31" s="76">
        <v>36400</v>
      </c>
      <c r="K31" s="76">
        <v>0</v>
      </c>
      <c r="L31" s="76">
        <v>145596.09</v>
      </c>
    </row>
    <row r="32" spans="1:12" customFormat="1" ht="17.25" customHeight="1" x14ac:dyDescent="0.3">
      <c r="A32" s="60" t="s">
        <v>150</v>
      </c>
      <c r="B32" s="61" t="s">
        <v>151</v>
      </c>
      <c r="C32" s="76">
        <v>11196.09</v>
      </c>
      <c r="D32" s="76">
        <v>7600</v>
      </c>
      <c r="E32" s="76">
        <v>5500</v>
      </c>
      <c r="F32" s="76">
        <v>5500</v>
      </c>
      <c r="G32" s="76">
        <v>3500</v>
      </c>
      <c r="H32" s="76">
        <v>6850</v>
      </c>
      <c r="I32" s="76">
        <v>21000</v>
      </c>
      <c r="J32" s="76">
        <v>16800</v>
      </c>
      <c r="K32" s="76">
        <v>0</v>
      </c>
      <c r="L32" s="76">
        <v>77946.09</v>
      </c>
    </row>
    <row r="33" spans="1:12" customFormat="1" ht="17.25" customHeight="1" x14ac:dyDescent="0.3">
      <c r="A33" s="60" t="s">
        <v>152</v>
      </c>
      <c r="B33" s="61" t="s">
        <v>153</v>
      </c>
      <c r="C33" s="76">
        <v>7796.09</v>
      </c>
      <c r="D33" s="76">
        <v>5100</v>
      </c>
      <c r="E33" s="76">
        <v>6500</v>
      </c>
      <c r="F33" s="76">
        <v>6000</v>
      </c>
      <c r="G33" s="76">
        <v>8000</v>
      </c>
      <c r="H33" s="76">
        <v>16350</v>
      </c>
      <c r="I33" s="76">
        <v>26600</v>
      </c>
      <c r="J33" s="76">
        <v>13300</v>
      </c>
      <c r="K33" s="76">
        <v>0</v>
      </c>
      <c r="L33" s="76">
        <v>89646.09</v>
      </c>
    </row>
    <row r="34" spans="1:12" customFormat="1" ht="17.25" customHeight="1" x14ac:dyDescent="0.3">
      <c r="A34" s="60" t="s">
        <v>154</v>
      </c>
      <c r="B34" s="61" t="s">
        <v>155</v>
      </c>
      <c r="C34" s="76">
        <v>21798.27</v>
      </c>
      <c r="D34" s="76">
        <v>12000</v>
      </c>
      <c r="E34" s="76">
        <v>12950</v>
      </c>
      <c r="F34" s="76">
        <v>27499.5</v>
      </c>
      <c r="G34" s="76">
        <v>23500</v>
      </c>
      <c r="H34" s="76">
        <v>32500</v>
      </c>
      <c r="I34" s="76">
        <v>72100</v>
      </c>
      <c r="J34" s="76">
        <v>43750</v>
      </c>
      <c r="K34" s="76">
        <v>0</v>
      </c>
      <c r="L34" s="76">
        <v>246097.77</v>
      </c>
    </row>
    <row r="35" spans="1:12" customFormat="1" ht="17.25" customHeight="1" x14ac:dyDescent="0.3">
      <c r="A35" s="60" t="s">
        <v>156</v>
      </c>
      <c r="B35" s="66" t="s">
        <v>157</v>
      </c>
      <c r="C35" s="73">
        <v>377844.13</v>
      </c>
      <c r="D35" s="73">
        <v>233571.25</v>
      </c>
      <c r="E35" s="73">
        <v>304772.75</v>
      </c>
      <c r="F35" s="73">
        <v>331445.38</v>
      </c>
      <c r="G35" s="73">
        <v>381500</v>
      </c>
      <c r="H35" s="73">
        <v>789950</v>
      </c>
      <c r="I35" s="73">
        <v>1541486</v>
      </c>
      <c r="J35" s="73">
        <v>1013950</v>
      </c>
      <c r="K35" s="73">
        <v>0</v>
      </c>
      <c r="L35" s="73">
        <v>4974519.51</v>
      </c>
    </row>
    <row r="36" spans="1:12" customFormat="1" ht="17.25" customHeight="1" x14ac:dyDescent="0.3">
      <c r="A36" s="60" t="s">
        <v>158</v>
      </c>
      <c r="B36" s="61" t="s">
        <v>159</v>
      </c>
      <c r="C36" s="76">
        <v>36268.629999999997</v>
      </c>
      <c r="D36" s="76">
        <v>22600</v>
      </c>
      <c r="E36" s="76">
        <v>23500</v>
      </c>
      <c r="F36" s="76">
        <v>25999.5</v>
      </c>
      <c r="G36" s="76">
        <v>24000</v>
      </c>
      <c r="H36" s="76">
        <v>79800</v>
      </c>
      <c r="I36" s="76">
        <v>142450</v>
      </c>
      <c r="J36" s="76">
        <v>92750</v>
      </c>
      <c r="K36" s="76">
        <v>0</v>
      </c>
      <c r="L36" s="76">
        <v>447368.13</v>
      </c>
    </row>
    <row r="37" spans="1:12" customFormat="1" ht="17.25" customHeight="1" x14ac:dyDescent="0.3">
      <c r="A37" s="60" t="s">
        <v>160</v>
      </c>
      <c r="B37" s="61" t="s">
        <v>161</v>
      </c>
      <c r="C37" s="76">
        <v>31751.22</v>
      </c>
      <c r="D37" s="76">
        <v>17000</v>
      </c>
      <c r="E37" s="76">
        <v>23000</v>
      </c>
      <c r="F37" s="76">
        <v>32500</v>
      </c>
      <c r="G37" s="76">
        <v>33000</v>
      </c>
      <c r="H37" s="76">
        <v>57300</v>
      </c>
      <c r="I37" s="76">
        <v>122850</v>
      </c>
      <c r="J37" s="76">
        <v>93800</v>
      </c>
      <c r="K37" s="76">
        <v>0</v>
      </c>
      <c r="L37" s="76">
        <v>411201.22</v>
      </c>
    </row>
    <row r="38" spans="1:12" customFormat="1" ht="17.25" customHeight="1" x14ac:dyDescent="0.3">
      <c r="A38" s="60" t="s">
        <v>162</v>
      </c>
      <c r="B38" s="61" t="s">
        <v>163</v>
      </c>
      <c r="C38" s="76">
        <v>34041.99</v>
      </c>
      <c r="D38" s="76">
        <v>18500</v>
      </c>
      <c r="E38" s="76">
        <v>27500</v>
      </c>
      <c r="F38" s="76">
        <v>29500</v>
      </c>
      <c r="G38" s="76">
        <v>46500</v>
      </c>
      <c r="H38" s="76">
        <v>85750</v>
      </c>
      <c r="I38" s="76">
        <v>136500</v>
      </c>
      <c r="J38" s="76">
        <v>83650</v>
      </c>
      <c r="K38" s="76">
        <v>0</v>
      </c>
      <c r="L38" s="76">
        <v>461941.99</v>
      </c>
    </row>
    <row r="39" spans="1:12" customFormat="1" ht="17.25" customHeight="1" x14ac:dyDescent="0.3">
      <c r="A39" s="60" t="s">
        <v>164</v>
      </c>
      <c r="B39" s="61" t="s">
        <v>165</v>
      </c>
      <c r="C39" s="76">
        <v>28488.12</v>
      </c>
      <c r="D39" s="76">
        <v>12500</v>
      </c>
      <c r="E39" s="76">
        <v>17200</v>
      </c>
      <c r="F39" s="76">
        <v>16999.5</v>
      </c>
      <c r="G39" s="76">
        <v>20000</v>
      </c>
      <c r="H39" s="76">
        <v>44650</v>
      </c>
      <c r="I39" s="76">
        <v>84350</v>
      </c>
      <c r="J39" s="76">
        <v>60200</v>
      </c>
      <c r="K39" s="76">
        <v>0</v>
      </c>
      <c r="L39" s="76">
        <v>284387.62</v>
      </c>
    </row>
    <row r="40" spans="1:12" customFormat="1" ht="17.25" customHeight="1" x14ac:dyDescent="0.3">
      <c r="A40" s="60" t="s">
        <v>166</v>
      </c>
      <c r="B40" s="61" t="s">
        <v>167</v>
      </c>
      <c r="C40" s="76">
        <v>17942.63</v>
      </c>
      <c r="D40" s="76">
        <v>24600</v>
      </c>
      <c r="E40" s="76">
        <v>23500</v>
      </c>
      <c r="F40" s="76">
        <v>30000</v>
      </c>
      <c r="G40" s="76">
        <v>23000</v>
      </c>
      <c r="H40" s="76">
        <v>41150</v>
      </c>
      <c r="I40" s="76">
        <v>106050</v>
      </c>
      <c r="J40" s="76">
        <v>65450</v>
      </c>
      <c r="K40" s="76">
        <v>0</v>
      </c>
      <c r="L40" s="76">
        <v>331692.63</v>
      </c>
    </row>
    <row r="41" spans="1:12" customFormat="1" ht="17.25" customHeight="1" x14ac:dyDescent="0.3">
      <c r="A41" s="60" t="s">
        <v>168</v>
      </c>
      <c r="B41" s="61" t="s">
        <v>169</v>
      </c>
      <c r="C41" s="76">
        <v>32320.61</v>
      </c>
      <c r="D41" s="76">
        <v>20871.25</v>
      </c>
      <c r="E41" s="76">
        <v>21986.75</v>
      </c>
      <c r="F41" s="76">
        <v>24000</v>
      </c>
      <c r="G41" s="76">
        <v>22500</v>
      </c>
      <c r="H41" s="76">
        <v>61500</v>
      </c>
      <c r="I41" s="76">
        <v>123865</v>
      </c>
      <c r="J41" s="76">
        <v>74900</v>
      </c>
      <c r="K41" s="76">
        <v>0</v>
      </c>
      <c r="L41" s="76">
        <v>381943.61</v>
      </c>
    </row>
    <row r="42" spans="1:12" customFormat="1" ht="17.25" customHeight="1" x14ac:dyDescent="0.3">
      <c r="A42" s="60" t="s">
        <v>170</v>
      </c>
      <c r="B42" s="61" t="s">
        <v>171</v>
      </c>
      <c r="C42" s="76">
        <v>61064.34</v>
      </c>
      <c r="D42" s="76">
        <v>39000</v>
      </c>
      <c r="E42" s="76">
        <v>57136</v>
      </c>
      <c r="F42" s="76">
        <v>67458.5</v>
      </c>
      <c r="G42" s="76">
        <v>71500</v>
      </c>
      <c r="H42" s="76">
        <v>131800</v>
      </c>
      <c r="I42" s="76">
        <v>270550</v>
      </c>
      <c r="J42" s="76">
        <v>183750</v>
      </c>
      <c r="K42" s="76">
        <v>0</v>
      </c>
      <c r="L42" s="76">
        <v>882258.84</v>
      </c>
    </row>
    <row r="43" spans="1:12" customFormat="1" ht="17.25" customHeight="1" x14ac:dyDescent="0.3">
      <c r="A43" s="60" t="s">
        <v>172</v>
      </c>
      <c r="B43" s="61" t="s">
        <v>173</v>
      </c>
      <c r="C43" s="76">
        <v>28347.63</v>
      </c>
      <c r="D43" s="76">
        <v>13400</v>
      </c>
      <c r="E43" s="76">
        <v>18000</v>
      </c>
      <c r="F43" s="76">
        <v>19500</v>
      </c>
      <c r="G43" s="76">
        <v>23500</v>
      </c>
      <c r="H43" s="76">
        <v>47000</v>
      </c>
      <c r="I43" s="76">
        <v>91350</v>
      </c>
      <c r="J43" s="76">
        <v>72450</v>
      </c>
      <c r="K43" s="76">
        <v>0</v>
      </c>
      <c r="L43" s="76">
        <v>313547.63</v>
      </c>
    </row>
    <row r="44" spans="1:12" customFormat="1" ht="17.25" customHeight="1" x14ac:dyDescent="0.3">
      <c r="A44" s="60" t="s">
        <v>174</v>
      </c>
      <c r="B44" s="61" t="s">
        <v>175</v>
      </c>
      <c r="C44" s="76">
        <v>55924.9</v>
      </c>
      <c r="D44" s="76">
        <v>39500</v>
      </c>
      <c r="E44" s="76">
        <v>50000</v>
      </c>
      <c r="F44" s="76">
        <v>52499.5</v>
      </c>
      <c r="G44" s="76">
        <v>72000</v>
      </c>
      <c r="H44" s="76">
        <v>149050</v>
      </c>
      <c r="I44" s="76">
        <v>264750</v>
      </c>
      <c r="J44" s="76">
        <v>157850</v>
      </c>
      <c r="K44" s="76">
        <v>0</v>
      </c>
      <c r="L44" s="76">
        <v>841574.40000000002</v>
      </c>
    </row>
    <row r="45" spans="1:12" customFormat="1" ht="17.25" customHeight="1" x14ac:dyDescent="0.3">
      <c r="A45" s="60" t="s">
        <v>176</v>
      </c>
      <c r="B45" s="61" t="s">
        <v>177</v>
      </c>
      <c r="C45" s="76">
        <v>51694.06</v>
      </c>
      <c r="D45" s="76">
        <v>25600</v>
      </c>
      <c r="E45" s="76">
        <v>42950</v>
      </c>
      <c r="F45" s="76">
        <v>32988.379999999997</v>
      </c>
      <c r="G45" s="76">
        <v>45500</v>
      </c>
      <c r="H45" s="76">
        <v>91950</v>
      </c>
      <c r="I45" s="76">
        <v>198771</v>
      </c>
      <c r="J45" s="76">
        <v>129150</v>
      </c>
      <c r="K45" s="76">
        <v>0</v>
      </c>
      <c r="L45" s="76">
        <v>618603.43999999994</v>
      </c>
    </row>
    <row r="46" spans="1:12" customFormat="1" ht="17.25" customHeight="1" x14ac:dyDescent="0.3">
      <c r="A46" s="60" t="s">
        <v>178</v>
      </c>
      <c r="B46" s="56" t="s">
        <v>179</v>
      </c>
      <c r="C46" s="73">
        <v>246867.47</v>
      </c>
      <c r="D46" s="73">
        <v>137000</v>
      </c>
      <c r="E46" s="73">
        <v>176700</v>
      </c>
      <c r="F46" s="73">
        <v>180366.57199999999</v>
      </c>
      <c r="G46" s="73">
        <v>216000</v>
      </c>
      <c r="H46" s="73">
        <v>419400</v>
      </c>
      <c r="I46" s="73">
        <v>815205.02</v>
      </c>
      <c r="J46" s="73">
        <v>524100</v>
      </c>
      <c r="K46" s="73">
        <v>0</v>
      </c>
      <c r="L46" s="73">
        <v>2715639.0619999999</v>
      </c>
    </row>
    <row r="47" spans="1:12" customFormat="1" ht="17.25" customHeight="1" x14ac:dyDescent="0.3">
      <c r="A47" s="60" t="s">
        <v>180</v>
      </c>
      <c r="B47" s="61" t="s">
        <v>181</v>
      </c>
      <c r="C47" s="76">
        <v>5200</v>
      </c>
      <c r="D47" s="76">
        <v>4900</v>
      </c>
      <c r="E47" s="76">
        <v>7500</v>
      </c>
      <c r="F47" s="76">
        <v>5500</v>
      </c>
      <c r="G47" s="76">
        <v>10500</v>
      </c>
      <c r="H47" s="76">
        <v>14000</v>
      </c>
      <c r="I47" s="76">
        <v>40250</v>
      </c>
      <c r="J47" s="76">
        <v>19600</v>
      </c>
      <c r="K47" s="76">
        <v>0</v>
      </c>
      <c r="L47" s="76">
        <v>107450</v>
      </c>
    </row>
    <row r="48" spans="1:12" customFormat="1" ht="17.25" customHeight="1" x14ac:dyDescent="0.3">
      <c r="A48" s="60" t="s">
        <v>182</v>
      </c>
      <c r="B48" s="61" t="s">
        <v>183</v>
      </c>
      <c r="C48" s="76">
        <v>33820.449999999997</v>
      </c>
      <c r="D48" s="76">
        <v>23200</v>
      </c>
      <c r="E48" s="76">
        <v>26500</v>
      </c>
      <c r="F48" s="76">
        <v>26482.993999999999</v>
      </c>
      <c r="G48" s="76">
        <v>28000</v>
      </c>
      <c r="H48" s="76">
        <v>61300</v>
      </c>
      <c r="I48" s="76">
        <v>124920.5</v>
      </c>
      <c r="J48" s="76">
        <v>74700</v>
      </c>
      <c r="K48" s="76">
        <v>0</v>
      </c>
      <c r="L48" s="76">
        <v>398923.94400000002</v>
      </c>
    </row>
    <row r="49" spans="1:12" customFormat="1" ht="17.25" customHeight="1" x14ac:dyDescent="0.3">
      <c r="A49" s="60" t="s">
        <v>184</v>
      </c>
      <c r="B49" s="61" t="s">
        <v>185</v>
      </c>
      <c r="C49" s="76">
        <v>12340.77</v>
      </c>
      <c r="D49" s="76">
        <v>12100</v>
      </c>
      <c r="E49" s="76">
        <v>14500</v>
      </c>
      <c r="F49" s="76">
        <v>11000</v>
      </c>
      <c r="G49" s="76">
        <v>19000</v>
      </c>
      <c r="H49" s="76">
        <v>31750</v>
      </c>
      <c r="I49" s="76">
        <v>66850</v>
      </c>
      <c r="J49" s="76">
        <v>43050</v>
      </c>
      <c r="K49" s="76">
        <v>0</v>
      </c>
      <c r="L49" s="76">
        <v>210590.77</v>
      </c>
    </row>
    <row r="50" spans="1:12" customFormat="1" ht="17.25" customHeight="1" x14ac:dyDescent="0.3">
      <c r="A50" s="60" t="s">
        <v>186</v>
      </c>
      <c r="B50" s="61" t="s">
        <v>187</v>
      </c>
      <c r="C50" s="76">
        <v>11484.27</v>
      </c>
      <c r="D50" s="76">
        <v>1500</v>
      </c>
      <c r="E50" s="76">
        <v>4200</v>
      </c>
      <c r="F50" s="76">
        <v>5500</v>
      </c>
      <c r="G50" s="76">
        <v>5000</v>
      </c>
      <c r="H50" s="76">
        <v>12500</v>
      </c>
      <c r="I50" s="76">
        <v>25900</v>
      </c>
      <c r="J50" s="76">
        <v>17150</v>
      </c>
      <c r="K50" s="76">
        <v>0</v>
      </c>
      <c r="L50" s="76">
        <v>83234.27</v>
      </c>
    </row>
    <row r="51" spans="1:12" customFormat="1" ht="17.25" customHeight="1" x14ac:dyDescent="0.3">
      <c r="A51" s="60" t="s">
        <v>188</v>
      </c>
      <c r="B51" s="61" t="s">
        <v>189</v>
      </c>
      <c r="C51" s="76">
        <v>29347.18</v>
      </c>
      <c r="D51" s="76">
        <v>7300</v>
      </c>
      <c r="E51" s="76">
        <v>16000</v>
      </c>
      <c r="F51" s="76">
        <v>20486.746999999999</v>
      </c>
      <c r="G51" s="76">
        <v>22000</v>
      </c>
      <c r="H51" s="76">
        <v>47300</v>
      </c>
      <c r="I51" s="76">
        <v>74797.02</v>
      </c>
      <c r="J51" s="76">
        <v>52150</v>
      </c>
      <c r="K51" s="76">
        <v>0</v>
      </c>
      <c r="L51" s="76">
        <v>269380.94699999999</v>
      </c>
    </row>
    <row r="52" spans="1:12" customFormat="1" ht="17.25" customHeight="1" x14ac:dyDescent="0.3">
      <c r="A52" s="60" t="s">
        <v>190</v>
      </c>
      <c r="B52" s="61" t="s">
        <v>191</v>
      </c>
      <c r="C52" s="76">
        <v>11269.93</v>
      </c>
      <c r="D52" s="76">
        <v>6600</v>
      </c>
      <c r="E52" s="76">
        <v>9500</v>
      </c>
      <c r="F52" s="76">
        <v>7000</v>
      </c>
      <c r="G52" s="76">
        <v>8000</v>
      </c>
      <c r="H52" s="76">
        <v>16100</v>
      </c>
      <c r="I52" s="76">
        <v>33250</v>
      </c>
      <c r="J52" s="76">
        <v>25900</v>
      </c>
      <c r="K52" s="76">
        <v>0</v>
      </c>
      <c r="L52" s="76">
        <v>117619.93</v>
      </c>
    </row>
    <row r="53" spans="1:12" customFormat="1" ht="17.25" customHeight="1" x14ac:dyDescent="0.3">
      <c r="A53" s="60" t="s">
        <v>192</v>
      </c>
      <c r="B53" s="61" t="s">
        <v>193</v>
      </c>
      <c r="C53" s="76">
        <v>21567.95</v>
      </c>
      <c r="D53" s="76">
        <v>14600</v>
      </c>
      <c r="E53" s="76">
        <v>15500</v>
      </c>
      <c r="F53" s="76">
        <v>16984.753000000001</v>
      </c>
      <c r="G53" s="76">
        <v>20500</v>
      </c>
      <c r="H53" s="76">
        <v>45950</v>
      </c>
      <c r="I53" s="76">
        <v>67350</v>
      </c>
      <c r="J53" s="76">
        <v>42350</v>
      </c>
      <c r="K53" s="76">
        <v>0</v>
      </c>
      <c r="L53" s="76">
        <v>244802.70300000001</v>
      </c>
    </row>
    <row r="54" spans="1:12" customFormat="1" ht="17.25" customHeight="1" x14ac:dyDescent="0.3">
      <c r="A54" s="60" t="s">
        <v>194</v>
      </c>
      <c r="B54" s="61" t="s">
        <v>195</v>
      </c>
      <c r="C54" s="76">
        <v>15153.27</v>
      </c>
      <c r="D54" s="76">
        <v>16500</v>
      </c>
      <c r="E54" s="76">
        <v>10500</v>
      </c>
      <c r="F54" s="76">
        <v>15000</v>
      </c>
      <c r="G54" s="76">
        <v>22500</v>
      </c>
      <c r="H54" s="76">
        <v>44200</v>
      </c>
      <c r="I54" s="76">
        <v>77000</v>
      </c>
      <c r="J54" s="76">
        <v>54250</v>
      </c>
      <c r="K54" s="76">
        <v>0</v>
      </c>
      <c r="L54" s="76">
        <v>255103.27</v>
      </c>
    </row>
    <row r="55" spans="1:12" customFormat="1" ht="17.25" customHeight="1" x14ac:dyDescent="0.3">
      <c r="A55" s="60" t="s">
        <v>196</v>
      </c>
      <c r="B55" s="61" t="s">
        <v>197</v>
      </c>
      <c r="C55" s="76">
        <v>18771.45</v>
      </c>
      <c r="D55" s="76">
        <v>8400</v>
      </c>
      <c r="E55" s="76">
        <v>14000</v>
      </c>
      <c r="F55" s="76">
        <v>10500</v>
      </c>
      <c r="G55" s="76">
        <v>11500</v>
      </c>
      <c r="H55" s="76">
        <v>28200</v>
      </c>
      <c r="I55" s="76">
        <v>52500</v>
      </c>
      <c r="J55" s="76">
        <v>35700</v>
      </c>
      <c r="K55" s="76">
        <v>0</v>
      </c>
      <c r="L55" s="76">
        <v>179571.45</v>
      </c>
    </row>
    <row r="56" spans="1:12" customFormat="1" ht="17.25" customHeight="1" x14ac:dyDescent="0.3">
      <c r="A56" s="60" t="s">
        <v>198</v>
      </c>
      <c r="B56" s="61" t="s">
        <v>199</v>
      </c>
      <c r="C56" s="76">
        <v>31796.47</v>
      </c>
      <c r="D56" s="76">
        <v>15500</v>
      </c>
      <c r="E56" s="76">
        <v>21500</v>
      </c>
      <c r="F56" s="76">
        <v>25500</v>
      </c>
      <c r="G56" s="76">
        <v>22000</v>
      </c>
      <c r="H56" s="76">
        <v>35600</v>
      </c>
      <c r="I56" s="76">
        <v>76650</v>
      </c>
      <c r="J56" s="76">
        <v>60550</v>
      </c>
      <c r="K56" s="76">
        <v>0</v>
      </c>
      <c r="L56" s="76">
        <v>289096.46999999997</v>
      </c>
    </row>
    <row r="57" spans="1:12" customFormat="1" ht="17.25" customHeight="1" x14ac:dyDescent="0.3">
      <c r="A57" s="60" t="s">
        <v>200</v>
      </c>
      <c r="B57" s="61" t="s">
        <v>201</v>
      </c>
      <c r="C57" s="76">
        <v>25565.13</v>
      </c>
      <c r="D57" s="76">
        <v>13800</v>
      </c>
      <c r="E57" s="76">
        <v>24000</v>
      </c>
      <c r="F57" s="76">
        <v>19916.25</v>
      </c>
      <c r="G57" s="76">
        <v>24000</v>
      </c>
      <c r="H57" s="76">
        <v>49750</v>
      </c>
      <c r="I57" s="76">
        <v>102937.5</v>
      </c>
      <c r="J57" s="76">
        <v>55650</v>
      </c>
      <c r="K57" s="76">
        <v>0</v>
      </c>
      <c r="L57" s="76">
        <v>315618.88</v>
      </c>
    </row>
    <row r="58" spans="1:12" customFormat="1" ht="17.25" customHeight="1" x14ac:dyDescent="0.3">
      <c r="A58" s="60" t="s">
        <v>202</v>
      </c>
      <c r="B58" s="61" t="s">
        <v>203</v>
      </c>
      <c r="C58" s="76">
        <v>30550.6</v>
      </c>
      <c r="D58" s="76">
        <v>12600</v>
      </c>
      <c r="E58" s="76">
        <v>13000</v>
      </c>
      <c r="F58" s="76">
        <v>16495.828000000001</v>
      </c>
      <c r="G58" s="76">
        <v>23000</v>
      </c>
      <c r="H58" s="76">
        <v>32750</v>
      </c>
      <c r="I58" s="76">
        <v>72800</v>
      </c>
      <c r="J58" s="76">
        <v>43050</v>
      </c>
      <c r="K58" s="76">
        <v>0</v>
      </c>
      <c r="L58" s="76">
        <v>244246.42800000001</v>
      </c>
    </row>
    <row r="59" spans="1:12" customFormat="1" ht="17.25" customHeight="1" x14ac:dyDescent="0.3">
      <c r="A59" s="60" t="s">
        <v>204</v>
      </c>
      <c r="B59" s="120" t="s">
        <v>205</v>
      </c>
      <c r="C59" s="73">
        <v>173739.31</v>
      </c>
      <c r="D59" s="73">
        <v>85415.35</v>
      </c>
      <c r="E59" s="73">
        <v>121323.53</v>
      </c>
      <c r="F59" s="73">
        <v>137970.253</v>
      </c>
      <c r="G59" s="73">
        <v>140820.003</v>
      </c>
      <c r="H59" s="73">
        <v>395100</v>
      </c>
      <c r="I59" s="73">
        <v>763950</v>
      </c>
      <c r="J59" s="73">
        <v>440972.25</v>
      </c>
      <c r="K59" s="73">
        <v>0</v>
      </c>
      <c r="L59" s="73">
        <v>2259290.696</v>
      </c>
    </row>
    <row r="60" spans="1:12" customFormat="1" ht="17.25" customHeight="1" x14ac:dyDescent="0.3">
      <c r="A60" s="60" t="s">
        <v>206</v>
      </c>
      <c r="B60" s="61" t="s">
        <v>207</v>
      </c>
      <c r="C60" s="76">
        <v>16832.97</v>
      </c>
      <c r="D60" s="76">
        <v>11700</v>
      </c>
      <c r="E60" s="76">
        <v>10500</v>
      </c>
      <c r="F60" s="76">
        <v>10999.5</v>
      </c>
      <c r="G60" s="76">
        <v>10000</v>
      </c>
      <c r="H60" s="76">
        <v>45700</v>
      </c>
      <c r="I60" s="76">
        <v>86450</v>
      </c>
      <c r="J60" s="76">
        <v>51100</v>
      </c>
      <c r="K60" s="76">
        <v>0</v>
      </c>
      <c r="L60" s="76">
        <v>243282.47</v>
      </c>
    </row>
    <row r="61" spans="1:12" customFormat="1" ht="17.25" customHeight="1" x14ac:dyDescent="0.3">
      <c r="A61" s="60" t="s">
        <v>208</v>
      </c>
      <c r="B61" s="61" t="s">
        <v>209</v>
      </c>
      <c r="C61" s="76">
        <v>38791.279999999999</v>
      </c>
      <c r="D61" s="76">
        <v>11800</v>
      </c>
      <c r="E61" s="76">
        <v>24886.764999999999</v>
      </c>
      <c r="F61" s="76">
        <v>34971.752999999997</v>
      </c>
      <c r="G61" s="76">
        <v>32983.002999999997</v>
      </c>
      <c r="H61" s="76">
        <v>94800</v>
      </c>
      <c r="I61" s="76">
        <v>167950</v>
      </c>
      <c r="J61" s="76">
        <v>99050</v>
      </c>
      <c r="K61" s="76">
        <v>0</v>
      </c>
      <c r="L61" s="76">
        <v>505232.80099999998</v>
      </c>
    </row>
    <row r="62" spans="1:12" customFormat="1" ht="17.25" customHeight="1" x14ac:dyDescent="0.3">
      <c r="A62" s="60" t="s">
        <v>210</v>
      </c>
      <c r="B62" s="61" t="s">
        <v>211</v>
      </c>
      <c r="C62" s="76">
        <v>37170.42</v>
      </c>
      <c r="D62" s="76">
        <v>26671.25</v>
      </c>
      <c r="E62" s="76">
        <v>33500</v>
      </c>
      <c r="F62" s="76">
        <v>36999.5</v>
      </c>
      <c r="G62" s="76">
        <v>33000</v>
      </c>
      <c r="H62" s="76">
        <v>94950</v>
      </c>
      <c r="I62" s="76">
        <v>179700</v>
      </c>
      <c r="J62" s="76">
        <v>103950</v>
      </c>
      <c r="K62" s="76">
        <v>0</v>
      </c>
      <c r="L62" s="76">
        <v>545941.17000000004</v>
      </c>
    </row>
    <row r="63" spans="1:12" customFormat="1" ht="17.25" customHeight="1" x14ac:dyDescent="0.3">
      <c r="A63" s="60" t="s">
        <v>212</v>
      </c>
      <c r="B63" s="61" t="s">
        <v>213</v>
      </c>
      <c r="C63" s="76">
        <v>29298.720000000001</v>
      </c>
      <c r="D63" s="76">
        <v>10744.1</v>
      </c>
      <c r="E63" s="76">
        <v>15500</v>
      </c>
      <c r="F63" s="76">
        <v>13500</v>
      </c>
      <c r="G63" s="76">
        <v>19500</v>
      </c>
      <c r="H63" s="76">
        <v>52000</v>
      </c>
      <c r="I63" s="76">
        <v>104650</v>
      </c>
      <c r="J63" s="76">
        <v>68600</v>
      </c>
      <c r="K63" s="76">
        <v>0</v>
      </c>
      <c r="L63" s="76">
        <v>313792.82</v>
      </c>
    </row>
    <row r="64" spans="1:12" customFormat="1" ht="17.25" customHeight="1" x14ac:dyDescent="0.3">
      <c r="A64" s="119" t="s">
        <v>214</v>
      </c>
      <c r="B64" s="64" t="s">
        <v>215</v>
      </c>
      <c r="C64" s="78">
        <v>51645.919999999998</v>
      </c>
      <c r="D64" s="78">
        <v>24500</v>
      </c>
      <c r="E64" s="78">
        <v>36936.764999999999</v>
      </c>
      <c r="F64" s="78">
        <v>41499.5</v>
      </c>
      <c r="G64" s="78">
        <v>45337</v>
      </c>
      <c r="H64" s="78">
        <v>107650</v>
      </c>
      <c r="I64" s="78">
        <v>225200</v>
      </c>
      <c r="J64" s="78">
        <v>118272.25</v>
      </c>
      <c r="K64" s="77">
        <v>0</v>
      </c>
      <c r="L64" s="78">
        <v>651041.43500000006</v>
      </c>
    </row>
    <row r="65" spans="1:12" customFormat="1" ht="17.25" customHeight="1" x14ac:dyDescent="0.3">
      <c r="A65" s="136" t="s">
        <v>216</v>
      </c>
      <c r="B65" s="137" t="s">
        <v>217</v>
      </c>
      <c r="C65" s="73">
        <v>932563.7</v>
      </c>
      <c r="D65" s="73">
        <v>530606.55000000005</v>
      </c>
      <c r="E65" s="73">
        <v>678262.6</v>
      </c>
      <c r="F65" s="73">
        <v>781782.897</v>
      </c>
      <c r="G65" s="73">
        <v>929126.48300000001</v>
      </c>
      <c r="H65" s="73">
        <v>1803735.1850000001</v>
      </c>
      <c r="I65" s="73">
        <v>3386763.31</v>
      </c>
      <c r="J65" s="73">
        <v>2029601.5</v>
      </c>
      <c r="K65" s="73">
        <v>850</v>
      </c>
      <c r="L65" s="73">
        <v>11073292.225</v>
      </c>
    </row>
    <row r="66" spans="1:12" customFormat="1" ht="17.25" customHeight="1" x14ac:dyDescent="0.3">
      <c r="A66" s="60" t="s">
        <v>218</v>
      </c>
      <c r="B66" s="61" t="s">
        <v>219</v>
      </c>
      <c r="C66" s="37">
        <v>92457.44</v>
      </c>
      <c r="D66" s="37">
        <v>55219.8</v>
      </c>
      <c r="E66" s="37">
        <v>57490.5</v>
      </c>
      <c r="F66" s="37">
        <v>64983.75</v>
      </c>
      <c r="G66" s="37">
        <v>59500</v>
      </c>
      <c r="H66" s="37">
        <v>120150</v>
      </c>
      <c r="I66" s="37">
        <v>276150</v>
      </c>
      <c r="J66" s="37">
        <v>183050</v>
      </c>
      <c r="K66" s="76">
        <v>350</v>
      </c>
      <c r="L66" s="37">
        <v>909351.49</v>
      </c>
    </row>
    <row r="67" spans="1:12" customFormat="1" ht="17.25" customHeight="1" x14ac:dyDescent="0.3">
      <c r="A67" s="60" t="s">
        <v>220</v>
      </c>
      <c r="B67" s="61" t="s">
        <v>221</v>
      </c>
      <c r="C67" s="37">
        <v>19615.77</v>
      </c>
      <c r="D67" s="37">
        <v>7400</v>
      </c>
      <c r="E67" s="37">
        <v>11450</v>
      </c>
      <c r="F67" s="37">
        <v>10986.9</v>
      </c>
      <c r="G67" s="37">
        <v>6000</v>
      </c>
      <c r="H67" s="37">
        <v>29900</v>
      </c>
      <c r="I67" s="37">
        <v>50400</v>
      </c>
      <c r="J67" s="37">
        <v>35000</v>
      </c>
      <c r="K67" s="76">
        <v>0</v>
      </c>
      <c r="L67" s="37">
        <v>170752.67</v>
      </c>
    </row>
    <row r="68" spans="1:12" customFormat="1" ht="17.25" customHeight="1" x14ac:dyDescent="0.3">
      <c r="A68" s="60" t="s">
        <v>222</v>
      </c>
      <c r="B68" s="61" t="s">
        <v>223</v>
      </c>
      <c r="C68" s="37">
        <v>22371.86</v>
      </c>
      <c r="D68" s="37">
        <v>12300</v>
      </c>
      <c r="E68" s="37">
        <v>10500</v>
      </c>
      <c r="F68" s="37">
        <v>13500</v>
      </c>
      <c r="G68" s="37">
        <v>10500</v>
      </c>
      <c r="H68" s="37">
        <v>24350</v>
      </c>
      <c r="I68" s="37">
        <v>65800</v>
      </c>
      <c r="J68" s="37">
        <v>32900</v>
      </c>
      <c r="K68" s="76">
        <v>0</v>
      </c>
      <c r="L68" s="37">
        <v>192221.86</v>
      </c>
    </row>
    <row r="69" spans="1:12" customFormat="1" ht="17.25" customHeight="1" x14ac:dyDescent="0.3">
      <c r="A69" s="60" t="s">
        <v>224</v>
      </c>
      <c r="B69" s="61" t="s">
        <v>225</v>
      </c>
      <c r="C69" s="37">
        <v>23525.68</v>
      </c>
      <c r="D69" s="37">
        <v>13300</v>
      </c>
      <c r="E69" s="37">
        <v>21000</v>
      </c>
      <c r="F69" s="37">
        <v>20967.973000000002</v>
      </c>
      <c r="G69" s="37">
        <v>19796.253000000001</v>
      </c>
      <c r="H69" s="37">
        <v>34800</v>
      </c>
      <c r="I69" s="37">
        <v>84700</v>
      </c>
      <c r="J69" s="37">
        <v>64400</v>
      </c>
      <c r="K69" s="76">
        <v>0</v>
      </c>
      <c r="L69" s="37">
        <v>282489.90600000002</v>
      </c>
    </row>
    <row r="70" spans="1:12" customFormat="1" ht="17.25" customHeight="1" x14ac:dyDescent="0.3">
      <c r="A70" s="60" t="s">
        <v>226</v>
      </c>
      <c r="B70" s="61" t="s">
        <v>227</v>
      </c>
      <c r="C70" s="37">
        <v>34799.24</v>
      </c>
      <c r="D70" s="37">
        <v>17200</v>
      </c>
      <c r="E70" s="37">
        <v>29850</v>
      </c>
      <c r="F70" s="37">
        <v>27940.95</v>
      </c>
      <c r="G70" s="37">
        <v>39000</v>
      </c>
      <c r="H70" s="37">
        <v>78950</v>
      </c>
      <c r="I70" s="37">
        <v>121100</v>
      </c>
      <c r="J70" s="37">
        <v>87500</v>
      </c>
      <c r="K70" s="76">
        <v>0</v>
      </c>
      <c r="L70" s="37">
        <v>436340.19</v>
      </c>
    </row>
    <row r="71" spans="1:12" customFormat="1" ht="17.25" customHeight="1" x14ac:dyDescent="0.3">
      <c r="A71" s="60" t="s">
        <v>228</v>
      </c>
      <c r="B71" s="56" t="s">
        <v>229</v>
      </c>
      <c r="C71" s="73">
        <v>121342.14</v>
      </c>
      <c r="D71" s="73">
        <v>77200</v>
      </c>
      <c r="E71" s="73">
        <v>108648</v>
      </c>
      <c r="F71" s="73">
        <v>129133.97</v>
      </c>
      <c r="G71" s="73">
        <v>166360.48000000001</v>
      </c>
      <c r="H71" s="73">
        <v>298285.185</v>
      </c>
      <c r="I71" s="73">
        <v>559852.50749999995</v>
      </c>
      <c r="J71" s="73">
        <v>289100</v>
      </c>
      <c r="K71" s="73">
        <v>0</v>
      </c>
      <c r="L71" s="73">
        <v>1749922.2825</v>
      </c>
    </row>
    <row r="72" spans="1:12" customFormat="1" ht="17.25" customHeight="1" x14ac:dyDescent="0.3">
      <c r="A72" s="60" t="s">
        <v>230</v>
      </c>
      <c r="B72" s="61" t="s">
        <v>231</v>
      </c>
      <c r="C72" s="37">
        <v>17243.27</v>
      </c>
      <c r="D72" s="37">
        <v>6400</v>
      </c>
      <c r="E72" s="37">
        <v>13950</v>
      </c>
      <c r="F72" s="37">
        <v>16000</v>
      </c>
      <c r="G72" s="37">
        <v>16500</v>
      </c>
      <c r="H72" s="37">
        <v>26850</v>
      </c>
      <c r="I72" s="37">
        <v>45150</v>
      </c>
      <c r="J72" s="37">
        <v>28000</v>
      </c>
      <c r="K72" s="76">
        <v>0</v>
      </c>
      <c r="L72" s="37">
        <v>170093.27</v>
      </c>
    </row>
    <row r="73" spans="1:12" customFormat="1" ht="17.25" customHeight="1" x14ac:dyDescent="0.3">
      <c r="A73" s="60" t="s">
        <v>232</v>
      </c>
      <c r="B73" s="61" t="s">
        <v>233</v>
      </c>
      <c r="C73" s="37">
        <v>17396.09</v>
      </c>
      <c r="D73" s="37">
        <v>13400</v>
      </c>
      <c r="E73" s="37">
        <v>16450</v>
      </c>
      <c r="F73" s="37">
        <v>18497.996999999999</v>
      </c>
      <c r="G73" s="37">
        <v>21996.880000000001</v>
      </c>
      <c r="H73" s="37">
        <v>44050</v>
      </c>
      <c r="I73" s="37">
        <v>104300</v>
      </c>
      <c r="J73" s="37">
        <v>44800</v>
      </c>
      <c r="K73" s="76">
        <v>0</v>
      </c>
      <c r="L73" s="37">
        <v>280890.967</v>
      </c>
    </row>
    <row r="74" spans="1:12" customFormat="1" ht="17.25" customHeight="1" x14ac:dyDescent="0.3">
      <c r="A74" s="60" t="s">
        <v>234</v>
      </c>
      <c r="B74" s="61" t="s">
        <v>235</v>
      </c>
      <c r="C74" s="37">
        <v>31799.360000000001</v>
      </c>
      <c r="D74" s="37">
        <v>26000</v>
      </c>
      <c r="E74" s="37">
        <v>33450</v>
      </c>
      <c r="F74" s="37">
        <v>36449.972999999998</v>
      </c>
      <c r="G74" s="37">
        <v>65500</v>
      </c>
      <c r="H74" s="37">
        <v>112400</v>
      </c>
      <c r="I74" s="37">
        <v>190485.75</v>
      </c>
      <c r="J74" s="37">
        <v>100800</v>
      </c>
      <c r="K74" s="76">
        <v>0</v>
      </c>
      <c r="L74" s="37">
        <v>596885.08299999998</v>
      </c>
    </row>
    <row r="75" spans="1:12" customFormat="1" ht="17.25" customHeight="1" x14ac:dyDescent="0.3">
      <c r="A75" s="60" t="s">
        <v>236</v>
      </c>
      <c r="B75" s="61" t="s">
        <v>237</v>
      </c>
      <c r="C75" s="37">
        <v>11743.27</v>
      </c>
      <c r="D75" s="37">
        <v>6800</v>
      </c>
      <c r="E75" s="37">
        <v>7798</v>
      </c>
      <c r="F75" s="37">
        <v>7000</v>
      </c>
      <c r="G75" s="37">
        <v>11000</v>
      </c>
      <c r="H75" s="37">
        <v>17100</v>
      </c>
      <c r="I75" s="37">
        <v>31616.7575</v>
      </c>
      <c r="J75" s="37">
        <v>21350</v>
      </c>
      <c r="K75" s="76">
        <v>0</v>
      </c>
      <c r="L75" s="37">
        <v>114408.0275</v>
      </c>
    </row>
    <row r="76" spans="1:12" customFormat="1" ht="17.25" customHeight="1" x14ac:dyDescent="0.3">
      <c r="A76" s="60" t="s">
        <v>238</v>
      </c>
      <c r="B76" s="61" t="s">
        <v>239</v>
      </c>
      <c r="C76" s="37">
        <v>13696.09</v>
      </c>
      <c r="D76" s="37">
        <v>4900</v>
      </c>
      <c r="E76" s="37">
        <v>8500</v>
      </c>
      <c r="F76" s="37">
        <v>8000</v>
      </c>
      <c r="G76" s="37">
        <v>12863.6</v>
      </c>
      <c r="H76" s="37">
        <v>20850</v>
      </c>
      <c r="I76" s="37">
        <v>39900</v>
      </c>
      <c r="J76" s="37">
        <v>21350</v>
      </c>
      <c r="K76" s="76">
        <v>0</v>
      </c>
      <c r="L76" s="37">
        <v>130059.69</v>
      </c>
    </row>
    <row r="77" spans="1:12" customFormat="1" ht="17.25" customHeight="1" x14ac:dyDescent="0.3">
      <c r="A77" s="60" t="s">
        <v>240</v>
      </c>
      <c r="B77" s="61" t="s">
        <v>241</v>
      </c>
      <c r="C77" s="37">
        <v>13794.36</v>
      </c>
      <c r="D77" s="37">
        <v>4800</v>
      </c>
      <c r="E77" s="37">
        <v>6500</v>
      </c>
      <c r="F77" s="37">
        <v>10500</v>
      </c>
      <c r="G77" s="37">
        <v>8500</v>
      </c>
      <c r="H77" s="37">
        <v>19950</v>
      </c>
      <c r="I77" s="37">
        <v>41650</v>
      </c>
      <c r="J77" s="37">
        <v>17500</v>
      </c>
      <c r="K77" s="76">
        <v>0</v>
      </c>
      <c r="L77" s="37">
        <v>123194.36</v>
      </c>
    </row>
    <row r="78" spans="1:12" customFormat="1" ht="17.25" customHeight="1" x14ac:dyDescent="0.3">
      <c r="A78" s="60" t="s">
        <v>242</v>
      </c>
      <c r="B78" s="61" t="s">
        <v>243</v>
      </c>
      <c r="C78" s="37">
        <v>15669.7</v>
      </c>
      <c r="D78" s="37">
        <v>14900</v>
      </c>
      <c r="E78" s="37">
        <v>22000</v>
      </c>
      <c r="F78" s="37">
        <v>32686</v>
      </c>
      <c r="G78" s="37">
        <v>30000</v>
      </c>
      <c r="H78" s="37">
        <v>57085.184999999998</v>
      </c>
      <c r="I78" s="37">
        <v>106750</v>
      </c>
      <c r="J78" s="37">
        <v>55300</v>
      </c>
      <c r="K78" s="76">
        <v>0</v>
      </c>
      <c r="L78" s="37">
        <v>334390.88500000001</v>
      </c>
    </row>
    <row r="79" spans="1:12" customFormat="1" ht="17.25" customHeight="1" x14ac:dyDescent="0.3">
      <c r="A79" s="60" t="s">
        <v>244</v>
      </c>
      <c r="B79" s="56" t="s">
        <v>245</v>
      </c>
      <c r="C79" s="73">
        <v>239884.44</v>
      </c>
      <c r="D79" s="73">
        <v>114936.75</v>
      </c>
      <c r="E79" s="73">
        <v>134250</v>
      </c>
      <c r="F79" s="73">
        <v>169000</v>
      </c>
      <c r="G79" s="73">
        <v>216500</v>
      </c>
      <c r="H79" s="73">
        <v>359500</v>
      </c>
      <c r="I79" s="73">
        <v>727800</v>
      </c>
      <c r="J79" s="73">
        <v>468650</v>
      </c>
      <c r="K79" s="73">
        <v>0</v>
      </c>
      <c r="L79" s="73">
        <v>2430521.19</v>
      </c>
    </row>
    <row r="80" spans="1:12" customFormat="1" ht="17.25" customHeight="1" x14ac:dyDescent="0.3">
      <c r="A80" s="60" t="s">
        <v>246</v>
      </c>
      <c r="B80" s="61" t="s">
        <v>247</v>
      </c>
      <c r="C80" s="37">
        <v>41624.85</v>
      </c>
      <c r="D80" s="37">
        <v>22886.75</v>
      </c>
      <c r="E80" s="37">
        <v>24000</v>
      </c>
      <c r="F80" s="37">
        <v>31500</v>
      </c>
      <c r="G80" s="37">
        <v>38000</v>
      </c>
      <c r="H80" s="37">
        <v>78900</v>
      </c>
      <c r="I80" s="37">
        <v>162050</v>
      </c>
      <c r="J80" s="37">
        <v>99750</v>
      </c>
      <c r="K80" s="76">
        <v>0</v>
      </c>
      <c r="L80" s="37">
        <v>498711.6</v>
      </c>
    </row>
    <row r="81" spans="1:12" customFormat="1" ht="17.25" customHeight="1" x14ac:dyDescent="0.3">
      <c r="A81" s="60" t="s">
        <v>248</v>
      </c>
      <c r="B81" s="61" t="s">
        <v>249</v>
      </c>
      <c r="C81" s="37">
        <v>49289.65</v>
      </c>
      <c r="D81" s="37">
        <v>23850</v>
      </c>
      <c r="E81" s="37">
        <v>26950</v>
      </c>
      <c r="F81" s="37">
        <v>28500</v>
      </c>
      <c r="G81" s="37">
        <v>41500</v>
      </c>
      <c r="H81" s="37">
        <v>66150</v>
      </c>
      <c r="I81" s="37">
        <v>156250</v>
      </c>
      <c r="J81" s="37">
        <v>101850</v>
      </c>
      <c r="K81" s="76">
        <v>0</v>
      </c>
      <c r="L81" s="37">
        <v>494339.65</v>
      </c>
    </row>
    <row r="82" spans="1:12" customFormat="1" ht="17.25" customHeight="1" x14ac:dyDescent="0.3">
      <c r="A82" s="60" t="s">
        <v>250</v>
      </c>
      <c r="B82" s="61" t="s">
        <v>251</v>
      </c>
      <c r="C82" s="37">
        <v>47978.29</v>
      </c>
      <c r="D82" s="37">
        <v>17700</v>
      </c>
      <c r="E82" s="37">
        <v>28900</v>
      </c>
      <c r="F82" s="37">
        <v>36500</v>
      </c>
      <c r="G82" s="37">
        <v>40000</v>
      </c>
      <c r="H82" s="37">
        <v>71700</v>
      </c>
      <c r="I82" s="37">
        <v>148400</v>
      </c>
      <c r="J82" s="37">
        <v>105000</v>
      </c>
      <c r="K82" s="76">
        <v>0</v>
      </c>
      <c r="L82" s="37">
        <v>496178.29</v>
      </c>
    </row>
    <row r="83" spans="1:12" customFormat="1" ht="17.25" customHeight="1" x14ac:dyDescent="0.3">
      <c r="A83" s="60" t="s">
        <v>252</v>
      </c>
      <c r="B83" s="61" t="s">
        <v>253</v>
      </c>
      <c r="C83" s="37">
        <v>100991.65</v>
      </c>
      <c r="D83" s="37">
        <v>50500</v>
      </c>
      <c r="E83" s="37">
        <v>54400</v>
      </c>
      <c r="F83" s="37">
        <v>72500</v>
      </c>
      <c r="G83" s="37">
        <v>97000</v>
      </c>
      <c r="H83" s="37">
        <v>142750</v>
      </c>
      <c r="I83" s="37">
        <v>261100</v>
      </c>
      <c r="J83" s="37">
        <v>162050</v>
      </c>
      <c r="K83" s="76">
        <v>0</v>
      </c>
      <c r="L83" s="37">
        <v>941291.65</v>
      </c>
    </row>
    <row r="84" spans="1:12" customFormat="1" ht="17.25" customHeight="1" x14ac:dyDescent="0.3">
      <c r="A84" s="60" t="s">
        <v>254</v>
      </c>
      <c r="B84" s="56" t="s">
        <v>255</v>
      </c>
      <c r="C84" s="73">
        <v>378567.13</v>
      </c>
      <c r="D84" s="73">
        <v>233050</v>
      </c>
      <c r="E84" s="73">
        <v>305074.09999999998</v>
      </c>
      <c r="F84" s="73">
        <v>345269.35399999999</v>
      </c>
      <c r="G84" s="73">
        <v>411469.75</v>
      </c>
      <c r="H84" s="73">
        <v>857800</v>
      </c>
      <c r="I84" s="73">
        <v>1500960.8025</v>
      </c>
      <c r="J84" s="73">
        <v>869001.5</v>
      </c>
      <c r="K84" s="73">
        <v>500</v>
      </c>
      <c r="L84" s="73">
        <v>4901692.6365</v>
      </c>
    </row>
    <row r="85" spans="1:12" customFormat="1" ht="17.25" customHeight="1" x14ac:dyDescent="0.3">
      <c r="A85" s="60" t="s">
        <v>256</v>
      </c>
      <c r="B85" s="61" t="s">
        <v>257</v>
      </c>
      <c r="C85" s="37">
        <v>76033.67</v>
      </c>
      <c r="D85" s="37">
        <v>33650</v>
      </c>
      <c r="E85" s="37">
        <v>50250</v>
      </c>
      <c r="F85" s="37">
        <v>54000</v>
      </c>
      <c r="G85" s="37">
        <v>69975.497000000003</v>
      </c>
      <c r="H85" s="37">
        <v>145400</v>
      </c>
      <c r="I85" s="37">
        <v>248500</v>
      </c>
      <c r="J85" s="37">
        <v>155750</v>
      </c>
      <c r="K85" s="76">
        <v>0</v>
      </c>
      <c r="L85" s="37">
        <v>833559.16700000002</v>
      </c>
    </row>
    <row r="86" spans="1:12" customFormat="1" ht="17.25" customHeight="1" x14ac:dyDescent="0.3">
      <c r="A86" s="60" t="s">
        <v>258</v>
      </c>
      <c r="B86" s="61" t="s">
        <v>259</v>
      </c>
      <c r="C86" s="37">
        <v>42718.61</v>
      </c>
      <c r="D86" s="37">
        <v>30000</v>
      </c>
      <c r="E86" s="37">
        <v>34400</v>
      </c>
      <c r="F86" s="37">
        <v>35000</v>
      </c>
      <c r="G86" s="37">
        <v>38500</v>
      </c>
      <c r="H86" s="37">
        <v>53600</v>
      </c>
      <c r="I86" s="37">
        <v>115500</v>
      </c>
      <c r="J86" s="37">
        <v>75950</v>
      </c>
      <c r="K86" s="76">
        <v>0</v>
      </c>
      <c r="L86" s="37">
        <v>425668.61</v>
      </c>
    </row>
    <row r="87" spans="1:12" customFormat="1" ht="17.25" customHeight="1" x14ac:dyDescent="0.3">
      <c r="A87" s="60" t="s">
        <v>260</v>
      </c>
      <c r="B87" s="61" t="s">
        <v>261</v>
      </c>
      <c r="C87" s="37">
        <v>78945.39</v>
      </c>
      <c r="D87" s="37">
        <v>54400</v>
      </c>
      <c r="E87" s="37">
        <v>59100</v>
      </c>
      <c r="F87" s="37">
        <v>67000</v>
      </c>
      <c r="G87" s="37">
        <v>78994.252999999997</v>
      </c>
      <c r="H87" s="37">
        <v>138100</v>
      </c>
      <c r="I87" s="37">
        <v>274749.53749999998</v>
      </c>
      <c r="J87" s="37">
        <v>169050</v>
      </c>
      <c r="K87" s="76">
        <v>0</v>
      </c>
      <c r="L87" s="37">
        <v>920339.18050000002</v>
      </c>
    </row>
    <row r="88" spans="1:12" customFormat="1" ht="17.25" customHeight="1" x14ac:dyDescent="0.3">
      <c r="A88" s="60" t="s">
        <v>262</v>
      </c>
      <c r="B88" s="61" t="s">
        <v>263</v>
      </c>
      <c r="C88" s="37">
        <v>135430.56</v>
      </c>
      <c r="D88" s="37">
        <v>95700</v>
      </c>
      <c r="E88" s="37">
        <v>130324.1</v>
      </c>
      <c r="F88" s="37">
        <v>148769.35399999999</v>
      </c>
      <c r="G88" s="37">
        <v>176500</v>
      </c>
      <c r="H88" s="37">
        <v>386450</v>
      </c>
      <c r="I88" s="37">
        <v>612412.5</v>
      </c>
      <c r="J88" s="37">
        <v>326151.5</v>
      </c>
      <c r="K88" s="76">
        <v>500</v>
      </c>
      <c r="L88" s="37">
        <v>2012238.014</v>
      </c>
    </row>
    <row r="89" spans="1:12" customFormat="1" ht="17.25" customHeight="1" x14ac:dyDescent="0.3">
      <c r="A89" s="119" t="s">
        <v>264</v>
      </c>
      <c r="B89" s="64" t="s">
        <v>265</v>
      </c>
      <c r="C89" s="78">
        <v>45438.9</v>
      </c>
      <c r="D89" s="78">
        <v>19300</v>
      </c>
      <c r="E89" s="78">
        <v>31000</v>
      </c>
      <c r="F89" s="78">
        <v>40500</v>
      </c>
      <c r="G89" s="78">
        <v>47500</v>
      </c>
      <c r="H89" s="78">
        <v>134250</v>
      </c>
      <c r="I89" s="78">
        <v>249798.76500000001</v>
      </c>
      <c r="J89" s="78">
        <v>142100</v>
      </c>
      <c r="K89" s="77">
        <v>0</v>
      </c>
      <c r="L89" s="78">
        <v>709887.66500000004</v>
      </c>
    </row>
    <row r="90" spans="1:12" customFormat="1" ht="17.25" customHeight="1" x14ac:dyDescent="0.3">
      <c r="A90" s="136" t="s">
        <v>266</v>
      </c>
      <c r="B90" s="137" t="s">
        <v>267</v>
      </c>
      <c r="C90" s="73">
        <v>1044950.4</v>
      </c>
      <c r="D90" s="73">
        <v>550031.71</v>
      </c>
      <c r="E90" s="73">
        <v>739806.36</v>
      </c>
      <c r="F90" s="73">
        <v>851226.79099999997</v>
      </c>
      <c r="G90" s="73">
        <v>979487.50300000003</v>
      </c>
      <c r="H90" s="73">
        <v>1614189.1325000001</v>
      </c>
      <c r="I90" s="73">
        <v>3489120.0660000001</v>
      </c>
      <c r="J90" s="73">
        <v>2117156.1800000002</v>
      </c>
      <c r="K90" s="73">
        <v>1050</v>
      </c>
      <c r="L90" s="73">
        <v>11387018.1425</v>
      </c>
    </row>
    <row r="91" spans="1:12" customFormat="1" ht="17.25" customHeight="1" x14ac:dyDescent="0.3">
      <c r="A91" s="60" t="s">
        <v>268</v>
      </c>
      <c r="B91" s="61" t="s">
        <v>269</v>
      </c>
      <c r="C91" s="37">
        <v>38470.769999999997</v>
      </c>
      <c r="D91" s="37">
        <v>28500</v>
      </c>
      <c r="E91" s="37">
        <v>35500</v>
      </c>
      <c r="F91" s="37">
        <v>33000</v>
      </c>
      <c r="G91" s="37">
        <v>38000</v>
      </c>
      <c r="H91" s="37">
        <v>59530.3825</v>
      </c>
      <c r="I91" s="37">
        <v>124026.16499999999</v>
      </c>
      <c r="J91" s="37">
        <v>81180</v>
      </c>
      <c r="K91" s="76">
        <v>0</v>
      </c>
      <c r="L91" s="37">
        <v>438207.3175</v>
      </c>
    </row>
    <row r="92" spans="1:12" customFormat="1" ht="17.25" customHeight="1" x14ac:dyDescent="0.3">
      <c r="A92" s="60" t="s">
        <v>270</v>
      </c>
      <c r="B92" s="61" t="s">
        <v>271</v>
      </c>
      <c r="C92" s="37">
        <v>27621.43</v>
      </c>
      <c r="D92" s="37">
        <v>12200</v>
      </c>
      <c r="E92" s="37">
        <v>11000</v>
      </c>
      <c r="F92" s="37">
        <v>19000</v>
      </c>
      <c r="G92" s="37">
        <v>19500</v>
      </c>
      <c r="H92" s="37">
        <v>35450</v>
      </c>
      <c r="I92" s="37">
        <v>75400</v>
      </c>
      <c r="J92" s="37">
        <v>48650</v>
      </c>
      <c r="K92" s="76">
        <v>0</v>
      </c>
      <c r="L92" s="37">
        <v>248821.43</v>
      </c>
    </row>
    <row r="93" spans="1:12" customFormat="1" ht="17.25" customHeight="1" x14ac:dyDescent="0.3">
      <c r="A93" s="60" t="s">
        <v>272</v>
      </c>
      <c r="B93" s="61" t="s">
        <v>273</v>
      </c>
      <c r="C93" s="37">
        <v>77245.87</v>
      </c>
      <c r="D93" s="37">
        <v>40800</v>
      </c>
      <c r="E93" s="37">
        <v>52000</v>
      </c>
      <c r="F93" s="37">
        <v>66500</v>
      </c>
      <c r="G93" s="37">
        <v>84000</v>
      </c>
      <c r="H93" s="37">
        <v>116250</v>
      </c>
      <c r="I93" s="37">
        <v>279950</v>
      </c>
      <c r="J93" s="37">
        <v>159218.75</v>
      </c>
      <c r="K93" s="76">
        <v>0</v>
      </c>
      <c r="L93" s="37">
        <v>875964.62</v>
      </c>
    </row>
    <row r="94" spans="1:12" customFormat="1" ht="17.25" customHeight="1" x14ac:dyDescent="0.3">
      <c r="A94" s="60" t="s">
        <v>274</v>
      </c>
      <c r="B94" s="61" t="s">
        <v>275</v>
      </c>
      <c r="C94" s="37">
        <v>37780.449999999997</v>
      </c>
      <c r="D94" s="37">
        <v>19200</v>
      </c>
      <c r="E94" s="37">
        <v>28000</v>
      </c>
      <c r="F94" s="37">
        <v>23000</v>
      </c>
      <c r="G94" s="37">
        <v>27500</v>
      </c>
      <c r="H94" s="37">
        <v>42350</v>
      </c>
      <c r="I94" s="37">
        <v>82600</v>
      </c>
      <c r="J94" s="37">
        <v>54600</v>
      </c>
      <c r="K94" s="76">
        <v>0</v>
      </c>
      <c r="L94" s="37">
        <v>315030.45</v>
      </c>
    </row>
    <row r="95" spans="1:12" customFormat="1" ht="17.25" customHeight="1" x14ac:dyDescent="0.3">
      <c r="A95" s="60" t="s">
        <v>276</v>
      </c>
      <c r="B95" s="61" t="s">
        <v>277</v>
      </c>
      <c r="C95" s="37">
        <v>15851.09</v>
      </c>
      <c r="D95" s="37">
        <v>11000</v>
      </c>
      <c r="E95" s="37">
        <v>12000</v>
      </c>
      <c r="F95" s="37">
        <v>15000</v>
      </c>
      <c r="G95" s="37">
        <v>14000</v>
      </c>
      <c r="H95" s="37">
        <v>24400</v>
      </c>
      <c r="I95" s="37">
        <v>43900</v>
      </c>
      <c r="J95" s="37">
        <v>27650</v>
      </c>
      <c r="K95" s="76">
        <v>0</v>
      </c>
      <c r="L95" s="37">
        <v>163801.09</v>
      </c>
    </row>
    <row r="96" spans="1:12" customFormat="1" ht="17.25" customHeight="1" x14ac:dyDescent="0.3">
      <c r="A96" s="60" t="s">
        <v>278</v>
      </c>
      <c r="B96" s="61" t="s">
        <v>279</v>
      </c>
      <c r="C96" s="37">
        <v>107423.78</v>
      </c>
      <c r="D96" s="37">
        <v>70900</v>
      </c>
      <c r="E96" s="37">
        <v>88000</v>
      </c>
      <c r="F96" s="37">
        <v>113931.35</v>
      </c>
      <c r="G96" s="37">
        <v>120000</v>
      </c>
      <c r="H96" s="37">
        <v>178108.75</v>
      </c>
      <c r="I96" s="37">
        <v>390950.78749999998</v>
      </c>
      <c r="J96" s="37">
        <v>197750</v>
      </c>
      <c r="K96" s="76">
        <v>0</v>
      </c>
      <c r="L96" s="37">
        <v>1267064.6675</v>
      </c>
    </row>
    <row r="97" spans="1:12" customFormat="1" ht="17.25" customHeight="1" x14ac:dyDescent="0.3">
      <c r="A97" s="60" t="s">
        <v>280</v>
      </c>
      <c r="B97" s="56" t="s">
        <v>281</v>
      </c>
      <c r="C97" s="73">
        <v>183533.9</v>
      </c>
      <c r="D97" s="73">
        <v>94300</v>
      </c>
      <c r="E97" s="73">
        <v>138685.66</v>
      </c>
      <c r="F97" s="73">
        <v>146295.44099999999</v>
      </c>
      <c r="G97" s="73">
        <v>174487.503</v>
      </c>
      <c r="H97" s="73">
        <v>299500</v>
      </c>
      <c r="I97" s="73">
        <v>593900</v>
      </c>
      <c r="J97" s="73">
        <v>391718.63</v>
      </c>
      <c r="K97" s="73">
        <v>350</v>
      </c>
      <c r="L97" s="73">
        <v>2022771.1340000001</v>
      </c>
    </row>
    <row r="98" spans="1:12" customFormat="1" ht="17.25" customHeight="1" x14ac:dyDescent="0.3">
      <c r="A98" s="60" t="s">
        <v>282</v>
      </c>
      <c r="B98" s="61" t="s">
        <v>283</v>
      </c>
      <c r="C98" s="37">
        <v>35469.68</v>
      </c>
      <c r="D98" s="37">
        <v>15800</v>
      </c>
      <c r="E98" s="37">
        <v>24000</v>
      </c>
      <c r="F98" s="37">
        <v>26975.65</v>
      </c>
      <c r="G98" s="37">
        <v>27987.503000000001</v>
      </c>
      <c r="H98" s="37">
        <v>55000</v>
      </c>
      <c r="I98" s="37">
        <v>98850</v>
      </c>
      <c r="J98" s="37">
        <v>66150</v>
      </c>
      <c r="K98" s="76">
        <v>350</v>
      </c>
      <c r="L98" s="37">
        <v>350582.83299999998</v>
      </c>
    </row>
    <row r="99" spans="1:12" customFormat="1" ht="17.25" customHeight="1" x14ac:dyDescent="0.3">
      <c r="A99" s="60" t="s">
        <v>284</v>
      </c>
      <c r="B99" s="61" t="s">
        <v>285</v>
      </c>
      <c r="C99" s="37">
        <v>9646.75</v>
      </c>
      <c r="D99" s="37">
        <v>5100</v>
      </c>
      <c r="E99" s="37">
        <v>8000</v>
      </c>
      <c r="F99" s="37">
        <v>10500</v>
      </c>
      <c r="G99" s="37">
        <v>8500</v>
      </c>
      <c r="H99" s="37">
        <v>21150</v>
      </c>
      <c r="I99" s="37">
        <v>49000</v>
      </c>
      <c r="J99" s="37">
        <v>36750</v>
      </c>
      <c r="K99" s="76">
        <v>0</v>
      </c>
      <c r="L99" s="37">
        <v>148646.75</v>
      </c>
    </row>
    <row r="100" spans="1:12" customFormat="1" ht="17.25" customHeight="1" x14ac:dyDescent="0.3">
      <c r="A100" s="60" t="s">
        <v>286</v>
      </c>
      <c r="B100" s="61" t="s">
        <v>287</v>
      </c>
      <c r="C100" s="37">
        <v>22496.77</v>
      </c>
      <c r="D100" s="37">
        <v>7900</v>
      </c>
      <c r="E100" s="37">
        <v>9500</v>
      </c>
      <c r="F100" s="37">
        <v>14345.540999999999</v>
      </c>
      <c r="G100" s="37">
        <v>12500</v>
      </c>
      <c r="H100" s="37">
        <v>29250</v>
      </c>
      <c r="I100" s="37">
        <v>60200</v>
      </c>
      <c r="J100" s="37">
        <v>36050</v>
      </c>
      <c r="K100" s="76">
        <v>0</v>
      </c>
      <c r="L100" s="37">
        <v>192242.31099999999</v>
      </c>
    </row>
    <row r="101" spans="1:12" customFormat="1" ht="17.25" customHeight="1" x14ac:dyDescent="0.3">
      <c r="A101" s="60" t="s">
        <v>288</v>
      </c>
      <c r="B101" s="61" t="s">
        <v>289</v>
      </c>
      <c r="C101" s="37">
        <v>27380.45</v>
      </c>
      <c r="D101" s="37">
        <v>13500</v>
      </c>
      <c r="E101" s="37">
        <v>15000</v>
      </c>
      <c r="F101" s="37">
        <v>15987.503000000001</v>
      </c>
      <c r="G101" s="37">
        <v>26000</v>
      </c>
      <c r="H101" s="37">
        <v>31600</v>
      </c>
      <c r="I101" s="37">
        <v>64400</v>
      </c>
      <c r="J101" s="37">
        <v>42700</v>
      </c>
      <c r="K101" s="76">
        <v>0</v>
      </c>
      <c r="L101" s="37">
        <v>236567.95300000001</v>
      </c>
    </row>
    <row r="102" spans="1:12" customFormat="1" ht="17.25" customHeight="1" x14ac:dyDescent="0.3">
      <c r="A102" s="60" t="s">
        <v>290</v>
      </c>
      <c r="B102" s="61" t="s">
        <v>291</v>
      </c>
      <c r="C102" s="37">
        <v>22884.36</v>
      </c>
      <c r="D102" s="37">
        <v>12100</v>
      </c>
      <c r="E102" s="37">
        <v>20200</v>
      </c>
      <c r="F102" s="37">
        <v>18000</v>
      </c>
      <c r="G102" s="37">
        <v>16000</v>
      </c>
      <c r="H102" s="37">
        <v>37100</v>
      </c>
      <c r="I102" s="37">
        <v>58450</v>
      </c>
      <c r="J102" s="37">
        <v>42700</v>
      </c>
      <c r="K102" s="76">
        <v>0</v>
      </c>
      <c r="L102" s="37">
        <v>227434.36</v>
      </c>
    </row>
    <row r="103" spans="1:12" customFormat="1" ht="17.25" customHeight="1" x14ac:dyDescent="0.3">
      <c r="A103" s="60" t="s">
        <v>292</v>
      </c>
      <c r="B103" s="61" t="s">
        <v>293</v>
      </c>
      <c r="C103" s="37">
        <v>20516.86</v>
      </c>
      <c r="D103" s="37">
        <v>12300</v>
      </c>
      <c r="E103" s="37">
        <v>19500</v>
      </c>
      <c r="F103" s="37">
        <v>18500</v>
      </c>
      <c r="G103" s="37">
        <v>20500</v>
      </c>
      <c r="H103" s="37">
        <v>29850</v>
      </c>
      <c r="I103" s="37">
        <v>65100</v>
      </c>
      <c r="J103" s="37">
        <v>45218.63</v>
      </c>
      <c r="K103" s="76">
        <v>0</v>
      </c>
      <c r="L103" s="37">
        <v>231485.49</v>
      </c>
    </row>
    <row r="104" spans="1:12" customFormat="1" ht="17.25" customHeight="1" x14ac:dyDescent="0.3">
      <c r="A104" s="60" t="s">
        <v>294</v>
      </c>
      <c r="B104" s="61" t="s">
        <v>295</v>
      </c>
      <c r="C104" s="37">
        <v>18798.75</v>
      </c>
      <c r="D104" s="37">
        <v>12100</v>
      </c>
      <c r="E104" s="37">
        <v>17985.66</v>
      </c>
      <c r="F104" s="37">
        <v>17486.746999999999</v>
      </c>
      <c r="G104" s="37">
        <v>25000</v>
      </c>
      <c r="H104" s="37">
        <v>37450</v>
      </c>
      <c r="I104" s="37">
        <v>75950</v>
      </c>
      <c r="J104" s="37">
        <v>44450</v>
      </c>
      <c r="K104" s="76">
        <v>0</v>
      </c>
      <c r="L104" s="37">
        <v>249221.15700000001</v>
      </c>
    </row>
    <row r="105" spans="1:12" customFormat="1" ht="17.25" customHeight="1" x14ac:dyDescent="0.3">
      <c r="A105" s="60" t="s">
        <v>296</v>
      </c>
      <c r="B105" s="61" t="s">
        <v>297</v>
      </c>
      <c r="C105" s="37">
        <v>26340.28</v>
      </c>
      <c r="D105" s="37">
        <v>15500</v>
      </c>
      <c r="E105" s="37">
        <v>24500</v>
      </c>
      <c r="F105" s="37">
        <v>24500</v>
      </c>
      <c r="G105" s="37">
        <v>38000</v>
      </c>
      <c r="H105" s="37">
        <v>58100</v>
      </c>
      <c r="I105" s="37">
        <v>121950</v>
      </c>
      <c r="J105" s="37">
        <v>77700</v>
      </c>
      <c r="K105" s="76">
        <v>0</v>
      </c>
      <c r="L105" s="37">
        <v>386590.28</v>
      </c>
    </row>
    <row r="106" spans="1:12" customFormat="1" ht="17.25" customHeight="1" x14ac:dyDescent="0.3">
      <c r="A106" s="60" t="s">
        <v>298</v>
      </c>
      <c r="B106" s="56" t="s">
        <v>299</v>
      </c>
      <c r="C106" s="73">
        <v>189642.36</v>
      </c>
      <c r="D106" s="73">
        <v>102800</v>
      </c>
      <c r="E106" s="73">
        <v>126200</v>
      </c>
      <c r="F106" s="73">
        <v>162000</v>
      </c>
      <c r="G106" s="73">
        <v>190500</v>
      </c>
      <c r="H106" s="73">
        <v>337050</v>
      </c>
      <c r="I106" s="73">
        <v>715900</v>
      </c>
      <c r="J106" s="73">
        <v>430500</v>
      </c>
      <c r="K106" s="73">
        <v>350</v>
      </c>
      <c r="L106" s="73">
        <v>2254942.36</v>
      </c>
    </row>
    <row r="107" spans="1:12" customFormat="1" ht="17.25" customHeight="1" x14ac:dyDescent="0.3">
      <c r="A107" s="60" t="s">
        <v>300</v>
      </c>
      <c r="B107" s="61" t="s">
        <v>301</v>
      </c>
      <c r="C107" s="37">
        <v>26492.63</v>
      </c>
      <c r="D107" s="37">
        <v>9700</v>
      </c>
      <c r="E107" s="37">
        <v>19000</v>
      </c>
      <c r="F107" s="37">
        <v>18000</v>
      </c>
      <c r="G107" s="37">
        <v>26000</v>
      </c>
      <c r="H107" s="37">
        <v>35700</v>
      </c>
      <c r="I107" s="37">
        <v>93100</v>
      </c>
      <c r="J107" s="37">
        <v>60550</v>
      </c>
      <c r="K107" s="76">
        <v>0</v>
      </c>
      <c r="L107" s="37">
        <v>288542.63</v>
      </c>
    </row>
    <row r="108" spans="1:12" customFormat="1" ht="17.25" customHeight="1" x14ac:dyDescent="0.3">
      <c r="A108" s="60" t="s">
        <v>302</v>
      </c>
      <c r="B108" s="61" t="s">
        <v>303</v>
      </c>
      <c r="C108" s="37">
        <v>37976.769999999997</v>
      </c>
      <c r="D108" s="37">
        <v>23000</v>
      </c>
      <c r="E108" s="37">
        <v>33500</v>
      </c>
      <c r="F108" s="37">
        <v>32500</v>
      </c>
      <c r="G108" s="37">
        <v>47000</v>
      </c>
      <c r="H108" s="37">
        <v>76500</v>
      </c>
      <c r="I108" s="37">
        <v>158000</v>
      </c>
      <c r="J108" s="37">
        <v>99050</v>
      </c>
      <c r="K108" s="76">
        <v>0</v>
      </c>
      <c r="L108" s="37">
        <v>507526.77</v>
      </c>
    </row>
    <row r="109" spans="1:12" customFormat="1" ht="17.25" customHeight="1" x14ac:dyDescent="0.3">
      <c r="A109" s="60" t="s">
        <v>304</v>
      </c>
      <c r="B109" s="61" t="s">
        <v>305</v>
      </c>
      <c r="C109" s="37">
        <v>39184.36</v>
      </c>
      <c r="D109" s="37">
        <v>16500</v>
      </c>
      <c r="E109" s="37">
        <v>26200</v>
      </c>
      <c r="F109" s="37">
        <v>37500</v>
      </c>
      <c r="G109" s="37">
        <v>37500</v>
      </c>
      <c r="H109" s="37">
        <v>61850</v>
      </c>
      <c r="I109" s="37">
        <v>128800</v>
      </c>
      <c r="J109" s="37">
        <v>77350</v>
      </c>
      <c r="K109" s="76">
        <v>0</v>
      </c>
      <c r="L109" s="37">
        <v>424884.36</v>
      </c>
    </row>
    <row r="110" spans="1:12" customFormat="1" ht="17.25" customHeight="1" x14ac:dyDescent="0.3">
      <c r="A110" s="60" t="s">
        <v>306</v>
      </c>
      <c r="B110" s="61" t="s">
        <v>307</v>
      </c>
      <c r="C110" s="37">
        <v>43219.040000000001</v>
      </c>
      <c r="D110" s="37">
        <v>23200</v>
      </c>
      <c r="E110" s="37">
        <v>15500</v>
      </c>
      <c r="F110" s="37">
        <v>24500</v>
      </c>
      <c r="G110" s="37">
        <v>28500</v>
      </c>
      <c r="H110" s="37">
        <v>62000</v>
      </c>
      <c r="I110" s="37">
        <v>118300</v>
      </c>
      <c r="J110" s="37">
        <v>63000</v>
      </c>
      <c r="K110" s="76">
        <v>350</v>
      </c>
      <c r="L110" s="37">
        <v>378569.04</v>
      </c>
    </row>
    <row r="111" spans="1:12" customFormat="1" ht="17.25" customHeight="1" x14ac:dyDescent="0.3">
      <c r="A111" s="60" t="s">
        <v>308</v>
      </c>
      <c r="B111" s="61" t="s">
        <v>309</v>
      </c>
      <c r="C111" s="37">
        <v>12423.18</v>
      </c>
      <c r="D111" s="37">
        <v>10200</v>
      </c>
      <c r="E111" s="37">
        <v>8500</v>
      </c>
      <c r="F111" s="37">
        <v>13500</v>
      </c>
      <c r="G111" s="37">
        <v>13000</v>
      </c>
      <c r="H111" s="37">
        <v>26500</v>
      </c>
      <c r="I111" s="37">
        <v>49000</v>
      </c>
      <c r="J111" s="37">
        <v>31150</v>
      </c>
      <c r="K111" s="76">
        <v>0</v>
      </c>
      <c r="L111" s="37">
        <v>164273.18</v>
      </c>
    </row>
    <row r="112" spans="1:12" customFormat="1" ht="17.25" customHeight="1" x14ac:dyDescent="0.3">
      <c r="A112" s="60" t="s">
        <v>310</v>
      </c>
      <c r="B112" s="61" t="s">
        <v>311</v>
      </c>
      <c r="C112" s="37">
        <v>23799.200000000001</v>
      </c>
      <c r="D112" s="37">
        <v>12400</v>
      </c>
      <c r="E112" s="37">
        <v>19000</v>
      </c>
      <c r="F112" s="37">
        <v>23500</v>
      </c>
      <c r="G112" s="37">
        <v>30000</v>
      </c>
      <c r="H112" s="37">
        <v>53750</v>
      </c>
      <c r="I112" s="37">
        <v>130550</v>
      </c>
      <c r="J112" s="37">
        <v>75950</v>
      </c>
      <c r="K112" s="76">
        <v>0</v>
      </c>
      <c r="L112" s="37">
        <v>368949.2</v>
      </c>
    </row>
    <row r="113" spans="1:12" customFormat="1" ht="17.25" customHeight="1" x14ac:dyDescent="0.3">
      <c r="A113" s="60" t="s">
        <v>312</v>
      </c>
      <c r="B113" s="61" t="s">
        <v>313</v>
      </c>
      <c r="C113" s="37">
        <v>6547.18</v>
      </c>
      <c r="D113" s="37">
        <v>7800</v>
      </c>
      <c r="E113" s="37">
        <v>4500</v>
      </c>
      <c r="F113" s="37">
        <v>12500</v>
      </c>
      <c r="G113" s="37">
        <v>8500</v>
      </c>
      <c r="H113" s="37">
        <v>20750</v>
      </c>
      <c r="I113" s="37">
        <v>38150</v>
      </c>
      <c r="J113" s="37">
        <v>23450</v>
      </c>
      <c r="K113" s="76">
        <v>0</v>
      </c>
      <c r="L113" s="37">
        <v>122197.18</v>
      </c>
    </row>
    <row r="114" spans="1:12" customFormat="1" ht="17.25" customHeight="1" x14ac:dyDescent="0.3">
      <c r="A114" s="60" t="s">
        <v>314</v>
      </c>
      <c r="B114" s="56" t="s">
        <v>315</v>
      </c>
      <c r="C114" s="73">
        <v>165605.49</v>
      </c>
      <c r="D114" s="73">
        <v>72331.710000000006</v>
      </c>
      <c r="E114" s="73">
        <v>98970.7</v>
      </c>
      <c r="F114" s="73">
        <v>111000</v>
      </c>
      <c r="G114" s="73">
        <v>136500</v>
      </c>
      <c r="H114" s="73">
        <v>225050</v>
      </c>
      <c r="I114" s="73">
        <v>511504.82</v>
      </c>
      <c r="J114" s="73">
        <v>313588.8</v>
      </c>
      <c r="K114" s="73">
        <v>0</v>
      </c>
      <c r="L114" s="73">
        <v>1634551.52</v>
      </c>
    </row>
    <row r="115" spans="1:12" customFormat="1" ht="17.25" customHeight="1" x14ac:dyDescent="0.3">
      <c r="A115" s="60" t="s">
        <v>316</v>
      </c>
      <c r="B115" s="61" t="s">
        <v>317</v>
      </c>
      <c r="C115" s="37">
        <v>8500</v>
      </c>
      <c r="D115" s="37">
        <v>5100</v>
      </c>
      <c r="E115" s="37">
        <v>3000</v>
      </c>
      <c r="F115" s="37">
        <v>5500</v>
      </c>
      <c r="G115" s="37">
        <v>4500</v>
      </c>
      <c r="H115" s="37">
        <v>13950</v>
      </c>
      <c r="I115" s="37">
        <v>32550</v>
      </c>
      <c r="J115" s="37">
        <v>15047.76</v>
      </c>
      <c r="K115" s="76">
        <v>0</v>
      </c>
      <c r="L115" s="37">
        <v>88147.76</v>
      </c>
    </row>
    <row r="116" spans="1:12" customFormat="1" ht="17.25" customHeight="1" x14ac:dyDescent="0.3">
      <c r="A116" s="60" t="s">
        <v>318</v>
      </c>
      <c r="B116" s="61" t="s">
        <v>319</v>
      </c>
      <c r="C116" s="37">
        <v>28042.84</v>
      </c>
      <c r="D116" s="37">
        <v>11800</v>
      </c>
      <c r="E116" s="37">
        <v>14000</v>
      </c>
      <c r="F116" s="37">
        <v>16000</v>
      </c>
      <c r="G116" s="37">
        <v>21000</v>
      </c>
      <c r="H116" s="37">
        <v>27750</v>
      </c>
      <c r="I116" s="37">
        <v>60004.82</v>
      </c>
      <c r="J116" s="37">
        <v>38847.760000000002</v>
      </c>
      <c r="K116" s="76">
        <v>0</v>
      </c>
      <c r="L116" s="37">
        <v>217445.42</v>
      </c>
    </row>
    <row r="117" spans="1:12" customFormat="1" ht="17.25" customHeight="1" x14ac:dyDescent="0.3">
      <c r="A117" s="60" t="s">
        <v>320</v>
      </c>
      <c r="B117" s="61" t="s">
        <v>321</v>
      </c>
      <c r="C117" s="37">
        <v>9547.18</v>
      </c>
      <c r="D117" s="37">
        <v>4900</v>
      </c>
      <c r="E117" s="37">
        <v>10000</v>
      </c>
      <c r="F117" s="37">
        <v>5500</v>
      </c>
      <c r="G117" s="37">
        <v>7000</v>
      </c>
      <c r="H117" s="37">
        <v>15050</v>
      </c>
      <c r="I117" s="37">
        <v>35700</v>
      </c>
      <c r="J117" s="37">
        <v>23450</v>
      </c>
      <c r="K117" s="76">
        <v>0</v>
      </c>
      <c r="L117" s="37">
        <v>111147.18</v>
      </c>
    </row>
    <row r="118" spans="1:12" customFormat="1" ht="17.25" customHeight="1" x14ac:dyDescent="0.3">
      <c r="A118" s="60" t="s">
        <v>322</v>
      </c>
      <c r="B118" s="61" t="s">
        <v>323</v>
      </c>
      <c r="C118" s="37">
        <v>32692.18</v>
      </c>
      <c r="D118" s="37">
        <v>13000</v>
      </c>
      <c r="E118" s="37">
        <v>20000</v>
      </c>
      <c r="F118" s="37">
        <v>18000</v>
      </c>
      <c r="G118" s="37">
        <v>25000</v>
      </c>
      <c r="H118" s="37">
        <v>42050</v>
      </c>
      <c r="I118" s="37">
        <v>110600</v>
      </c>
      <c r="J118" s="37">
        <v>68243.28</v>
      </c>
      <c r="K118" s="76">
        <v>0</v>
      </c>
      <c r="L118" s="37">
        <v>329585.46000000002</v>
      </c>
    </row>
    <row r="119" spans="1:12" customFormat="1" ht="17.25" customHeight="1" x14ac:dyDescent="0.3">
      <c r="A119" s="60" t="s">
        <v>324</v>
      </c>
      <c r="B119" s="61" t="s">
        <v>325</v>
      </c>
      <c r="C119" s="37">
        <v>30938.93</v>
      </c>
      <c r="D119" s="37">
        <v>9300</v>
      </c>
      <c r="E119" s="37">
        <v>9994.2800000000007</v>
      </c>
      <c r="F119" s="37">
        <v>14000</v>
      </c>
      <c r="G119" s="37">
        <v>21500</v>
      </c>
      <c r="H119" s="37">
        <v>24500</v>
      </c>
      <c r="I119" s="37">
        <v>54600</v>
      </c>
      <c r="J119" s="37">
        <v>32550</v>
      </c>
      <c r="K119" s="76">
        <v>0</v>
      </c>
      <c r="L119" s="37">
        <v>197383.21</v>
      </c>
    </row>
    <row r="120" spans="1:12" customFormat="1" ht="17.25" customHeight="1" x14ac:dyDescent="0.3">
      <c r="A120" s="60" t="s">
        <v>326</v>
      </c>
      <c r="B120" s="61" t="s">
        <v>327</v>
      </c>
      <c r="C120" s="37">
        <v>36292.18</v>
      </c>
      <c r="D120" s="37">
        <v>16400</v>
      </c>
      <c r="E120" s="37">
        <v>24976.42</v>
      </c>
      <c r="F120" s="37">
        <v>34000</v>
      </c>
      <c r="G120" s="37">
        <v>37500</v>
      </c>
      <c r="H120" s="37">
        <v>61900</v>
      </c>
      <c r="I120" s="37">
        <v>139300</v>
      </c>
      <c r="J120" s="37">
        <v>86100</v>
      </c>
      <c r="K120" s="76">
        <v>0</v>
      </c>
      <c r="L120" s="37">
        <v>436468.6</v>
      </c>
    </row>
    <row r="121" spans="1:12" customFormat="1" ht="17.25" customHeight="1" x14ac:dyDescent="0.3">
      <c r="A121" s="60" t="s">
        <v>328</v>
      </c>
      <c r="B121" s="61" t="s">
        <v>329</v>
      </c>
      <c r="C121" s="37">
        <v>19592.18</v>
      </c>
      <c r="D121" s="37">
        <v>11831.71</v>
      </c>
      <c r="E121" s="37">
        <v>17000</v>
      </c>
      <c r="F121" s="37">
        <v>18000</v>
      </c>
      <c r="G121" s="37">
        <v>20000</v>
      </c>
      <c r="H121" s="37">
        <v>39850</v>
      </c>
      <c r="I121" s="37">
        <v>78750</v>
      </c>
      <c r="J121" s="37">
        <v>49350</v>
      </c>
      <c r="K121" s="76">
        <v>0</v>
      </c>
      <c r="L121" s="37">
        <v>254373.89</v>
      </c>
    </row>
    <row r="122" spans="1:12" customFormat="1" ht="17.25" customHeight="1" x14ac:dyDescent="0.3">
      <c r="A122" s="60" t="s">
        <v>330</v>
      </c>
      <c r="B122" s="56" t="s">
        <v>331</v>
      </c>
      <c r="C122" s="73">
        <v>201775.26</v>
      </c>
      <c r="D122" s="73">
        <v>98000</v>
      </c>
      <c r="E122" s="73">
        <v>149450</v>
      </c>
      <c r="F122" s="73">
        <v>161500</v>
      </c>
      <c r="G122" s="73">
        <v>175000</v>
      </c>
      <c r="H122" s="73">
        <v>296500</v>
      </c>
      <c r="I122" s="73">
        <v>670988.29350000003</v>
      </c>
      <c r="J122" s="73">
        <v>412300</v>
      </c>
      <c r="K122" s="73">
        <v>350</v>
      </c>
      <c r="L122" s="73">
        <v>2165863.5534999999</v>
      </c>
    </row>
    <row r="123" spans="1:12" customFormat="1" ht="17.25" customHeight="1" x14ac:dyDescent="0.3">
      <c r="A123" s="60" t="s">
        <v>332</v>
      </c>
      <c r="B123" s="61" t="s">
        <v>333</v>
      </c>
      <c r="C123" s="37">
        <v>22669.68</v>
      </c>
      <c r="D123" s="37">
        <v>14300</v>
      </c>
      <c r="E123" s="37">
        <v>13500</v>
      </c>
      <c r="F123" s="37">
        <v>16000</v>
      </c>
      <c r="G123" s="37">
        <v>16000</v>
      </c>
      <c r="H123" s="37">
        <v>31300</v>
      </c>
      <c r="I123" s="37">
        <v>72450</v>
      </c>
      <c r="J123" s="37">
        <v>43400</v>
      </c>
      <c r="K123" s="76">
        <v>0</v>
      </c>
      <c r="L123" s="37">
        <v>229619.68</v>
      </c>
    </row>
    <row r="124" spans="1:12" customFormat="1" ht="17.25" customHeight="1" x14ac:dyDescent="0.3">
      <c r="A124" s="60" t="s">
        <v>334</v>
      </c>
      <c r="B124" s="61" t="s">
        <v>335</v>
      </c>
      <c r="C124" s="37">
        <v>27210.36</v>
      </c>
      <c r="D124" s="37">
        <v>8700</v>
      </c>
      <c r="E124" s="37">
        <v>10450</v>
      </c>
      <c r="F124" s="37">
        <v>16000</v>
      </c>
      <c r="G124" s="37">
        <v>16500</v>
      </c>
      <c r="H124" s="37">
        <v>35850</v>
      </c>
      <c r="I124" s="37">
        <v>82250</v>
      </c>
      <c r="J124" s="37">
        <v>53200</v>
      </c>
      <c r="K124" s="76">
        <v>0</v>
      </c>
      <c r="L124" s="37">
        <v>250160.36</v>
      </c>
    </row>
    <row r="125" spans="1:12" customFormat="1" ht="17.25" customHeight="1" x14ac:dyDescent="0.3">
      <c r="A125" s="60" t="s">
        <v>336</v>
      </c>
      <c r="B125" s="61" t="s">
        <v>337</v>
      </c>
      <c r="C125" s="37">
        <v>29114.93</v>
      </c>
      <c r="D125" s="37">
        <v>9600</v>
      </c>
      <c r="E125" s="37">
        <v>22500</v>
      </c>
      <c r="F125" s="37">
        <v>26000</v>
      </c>
      <c r="G125" s="37">
        <v>25500</v>
      </c>
      <c r="H125" s="37">
        <v>37400</v>
      </c>
      <c r="I125" s="37">
        <v>80150</v>
      </c>
      <c r="J125" s="37">
        <v>49700</v>
      </c>
      <c r="K125" s="76">
        <v>0</v>
      </c>
      <c r="L125" s="37">
        <v>279964.93</v>
      </c>
    </row>
    <row r="126" spans="1:12" customFormat="1" ht="17.25" customHeight="1" x14ac:dyDescent="0.3">
      <c r="A126" s="60" t="s">
        <v>338</v>
      </c>
      <c r="B126" s="61" t="s">
        <v>339</v>
      </c>
      <c r="C126" s="37">
        <v>33443.269999999997</v>
      </c>
      <c r="D126" s="37">
        <v>14200</v>
      </c>
      <c r="E126" s="37">
        <v>23500</v>
      </c>
      <c r="F126" s="37">
        <v>27000</v>
      </c>
      <c r="G126" s="37">
        <v>22500</v>
      </c>
      <c r="H126" s="37">
        <v>35550</v>
      </c>
      <c r="I126" s="37">
        <v>90650</v>
      </c>
      <c r="J126" s="37">
        <v>46550</v>
      </c>
      <c r="K126" s="76">
        <v>350</v>
      </c>
      <c r="L126" s="37">
        <v>293743.27</v>
      </c>
    </row>
    <row r="127" spans="1:12" customFormat="1" ht="17.25" customHeight="1" x14ac:dyDescent="0.3">
      <c r="A127" s="60" t="s">
        <v>340</v>
      </c>
      <c r="B127" s="61" t="s">
        <v>341</v>
      </c>
      <c r="C127" s="37">
        <v>9846.75</v>
      </c>
      <c r="D127" s="37">
        <v>9100</v>
      </c>
      <c r="E127" s="37">
        <v>15000</v>
      </c>
      <c r="F127" s="37">
        <v>9000</v>
      </c>
      <c r="G127" s="37">
        <v>10000</v>
      </c>
      <c r="H127" s="37">
        <v>19350</v>
      </c>
      <c r="I127" s="37">
        <v>59150</v>
      </c>
      <c r="J127" s="37">
        <v>42350</v>
      </c>
      <c r="K127" s="76">
        <v>0</v>
      </c>
      <c r="L127" s="37">
        <v>173796.75</v>
      </c>
    </row>
    <row r="128" spans="1:12" customFormat="1" ht="17.25" customHeight="1" x14ac:dyDescent="0.3">
      <c r="A128" s="60" t="s">
        <v>342</v>
      </c>
      <c r="B128" s="61" t="s">
        <v>343</v>
      </c>
      <c r="C128" s="37">
        <v>43896.09</v>
      </c>
      <c r="D128" s="37">
        <v>16000</v>
      </c>
      <c r="E128" s="37">
        <v>24000</v>
      </c>
      <c r="F128" s="37">
        <v>23000</v>
      </c>
      <c r="G128" s="37">
        <v>28500</v>
      </c>
      <c r="H128" s="37">
        <v>48100</v>
      </c>
      <c r="I128" s="37">
        <v>109937.50750000001</v>
      </c>
      <c r="J128" s="37">
        <v>64400</v>
      </c>
      <c r="K128" s="76">
        <v>0</v>
      </c>
      <c r="L128" s="37">
        <v>357833.59749999997</v>
      </c>
    </row>
    <row r="129" spans="1:12" customFormat="1" ht="17.25" customHeight="1" x14ac:dyDescent="0.3">
      <c r="A129" s="119" t="s">
        <v>344</v>
      </c>
      <c r="B129" s="64" t="s">
        <v>345</v>
      </c>
      <c r="C129" s="78">
        <v>35594.18</v>
      </c>
      <c r="D129" s="78">
        <v>26100</v>
      </c>
      <c r="E129" s="78">
        <v>40500</v>
      </c>
      <c r="F129" s="78">
        <v>44500</v>
      </c>
      <c r="G129" s="78">
        <v>56000</v>
      </c>
      <c r="H129" s="78">
        <v>88950</v>
      </c>
      <c r="I129" s="78">
        <v>176400.78599999999</v>
      </c>
      <c r="J129" s="78">
        <v>112700</v>
      </c>
      <c r="K129" s="77">
        <v>0</v>
      </c>
      <c r="L129" s="78">
        <v>580744.96600000001</v>
      </c>
    </row>
    <row r="130" spans="1:12" customFormat="1" ht="17.25" customHeight="1" x14ac:dyDescent="0.3">
      <c r="A130" s="136" t="s">
        <v>346</v>
      </c>
      <c r="B130" s="137" t="s">
        <v>347</v>
      </c>
      <c r="C130" s="73">
        <v>1110643.27</v>
      </c>
      <c r="D130" s="73">
        <v>586571.4</v>
      </c>
      <c r="E130" s="73">
        <v>811768.79399999999</v>
      </c>
      <c r="F130" s="73">
        <v>896947.60499999998</v>
      </c>
      <c r="G130" s="73">
        <v>1033430.1</v>
      </c>
      <c r="H130" s="73">
        <v>1855055.6074999999</v>
      </c>
      <c r="I130" s="73">
        <v>3734488.9049999998</v>
      </c>
      <c r="J130" s="73">
        <v>2343374.5550000002</v>
      </c>
      <c r="K130" s="73">
        <v>1050</v>
      </c>
      <c r="L130" s="73">
        <v>12373330.236500001</v>
      </c>
    </row>
    <row r="131" spans="1:12" customFormat="1" ht="17.25" customHeight="1" x14ac:dyDescent="0.3">
      <c r="A131" s="60" t="s">
        <v>348</v>
      </c>
      <c r="B131" s="61" t="s">
        <v>349</v>
      </c>
      <c r="C131" s="37">
        <v>32059.47</v>
      </c>
      <c r="D131" s="37">
        <v>21350</v>
      </c>
      <c r="E131" s="37">
        <v>43433.3</v>
      </c>
      <c r="F131" s="37">
        <v>41000</v>
      </c>
      <c r="G131" s="37">
        <v>43000</v>
      </c>
      <c r="H131" s="37">
        <v>63700</v>
      </c>
      <c r="I131" s="37">
        <v>119000</v>
      </c>
      <c r="J131" s="37">
        <v>72100</v>
      </c>
      <c r="K131" s="76">
        <v>0</v>
      </c>
      <c r="L131" s="37">
        <v>435642.77</v>
      </c>
    </row>
    <row r="132" spans="1:12" customFormat="1" ht="17.25" customHeight="1" x14ac:dyDescent="0.3">
      <c r="A132" s="60" t="s">
        <v>350</v>
      </c>
      <c r="B132" s="61" t="s">
        <v>351</v>
      </c>
      <c r="C132" s="37">
        <v>80597.58</v>
      </c>
      <c r="D132" s="37">
        <v>34886.9</v>
      </c>
      <c r="E132" s="37">
        <v>59000</v>
      </c>
      <c r="F132" s="37">
        <v>71429.126999999993</v>
      </c>
      <c r="G132" s="37">
        <v>64500</v>
      </c>
      <c r="H132" s="37">
        <v>116050</v>
      </c>
      <c r="I132" s="37">
        <v>236600</v>
      </c>
      <c r="J132" s="37">
        <v>157581.75750000001</v>
      </c>
      <c r="K132" s="76">
        <v>350</v>
      </c>
      <c r="L132" s="37">
        <v>820995.36450000003</v>
      </c>
    </row>
    <row r="133" spans="1:12" customFormat="1" ht="17.25" customHeight="1" x14ac:dyDescent="0.3">
      <c r="A133" s="60" t="s">
        <v>352</v>
      </c>
      <c r="B133" s="61" t="s">
        <v>353</v>
      </c>
      <c r="C133" s="37">
        <v>22012.11</v>
      </c>
      <c r="D133" s="37">
        <v>17600</v>
      </c>
      <c r="E133" s="37">
        <v>19000</v>
      </c>
      <c r="F133" s="37">
        <v>23500</v>
      </c>
      <c r="G133" s="37">
        <v>17000</v>
      </c>
      <c r="H133" s="37">
        <v>35450</v>
      </c>
      <c r="I133" s="37">
        <v>83300</v>
      </c>
      <c r="J133" s="37">
        <v>52850</v>
      </c>
      <c r="K133" s="76">
        <v>0</v>
      </c>
      <c r="L133" s="37">
        <v>270712.11</v>
      </c>
    </row>
    <row r="134" spans="1:12" customFormat="1" ht="17.25" customHeight="1" x14ac:dyDescent="0.3">
      <c r="A134" s="60" t="s">
        <v>354</v>
      </c>
      <c r="B134" s="61" t="s">
        <v>355</v>
      </c>
      <c r="C134" s="37">
        <v>30480.45</v>
      </c>
      <c r="D134" s="37">
        <v>16100</v>
      </c>
      <c r="E134" s="37">
        <v>21000</v>
      </c>
      <c r="F134" s="37">
        <v>28971.843000000001</v>
      </c>
      <c r="G134" s="37">
        <v>27000</v>
      </c>
      <c r="H134" s="37">
        <v>49750</v>
      </c>
      <c r="I134" s="37">
        <v>117050</v>
      </c>
      <c r="J134" s="37">
        <v>81200</v>
      </c>
      <c r="K134" s="76">
        <v>0</v>
      </c>
      <c r="L134" s="37">
        <v>371552.29300000001</v>
      </c>
    </row>
    <row r="135" spans="1:12" customFormat="1" ht="17.25" customHeight="1" x14ac:dyDescent="0.3">
      <c r="A135" s="60" t="s">
        <v>356</v>
      </c>
      <c r="B135" s="56" t="s">
        <v>357</v>
      </c>
      <c r="C135" s="73">
        <v>210322.84</v>
      </c>
      <c r="D135" s="73">
        <v>104173.8</v>
      </c>
      <c r="E135" s="73">
        <v>140500</v>
      </c>
      <c r="F135" s="73">
        <v>154847.557</v>
      </c>
      <c r="G135" s="73">
        <v>186939.6</v>
      </c>
      <c r="H135" s="73">
        <v>305700</v>
      </c>
      <c r="I135" s="73">
        <v>723943.75749999995</v>
      </c>
      <c r="J135" s="73">
        <v>446947.5</v>
      </c>
      <c r="K135" s="73">
        <v>350</v>
      </c>
      <c r="L135" s="73">
        <v>2273725.0545000001</v>
      </c>
    </row>
    <row r="136" spans="1:12" customFormat="1" ht="17.25" customHeight="1" x14ac:dyDescent="0.3">
      <c r="A136" s="60" t="s">
        <v>358</v>
      </c>
      <c r="B136" s="61" t="s">
        <v>359</v>
      </c>
      <c r="C136" s="37">
        <v>21436.47</v>
      </c>
      <c r="D136" s="37">
        <v>7900</v>
      </c>
      <c r="E136" s="37">
        <v>8000</v>
      </c>
      <c r="F136" s="37">
        <v>12000</v>
      </c>
      <c r="G136" s="37">
        <v>14500</v>
      </c>
      <c r="H136" s="37">
        <v>22000</v>
      </c>
      <c r="I136" s="37">
        <v>64050</v>
      </c>
      <c r="J136" s="37">
        <v>35350</v>
      </c>
      <c r="K136" s="76">
        <v>0</v>
      </c>
      <c r="L136" s="37">
        <v>185236.47</v>
      </c>
    </row>
    <row r="137" spans="1:12" customFormat="1" ht="17.25" customHeight="1" x14ac:dyDescent="0.3">
      <c r="A137" s="60" t="s">
        <v>360</v>
      </c>
      <c r="B137" s="61" t="s">
        <v>361</v>
      </c>
      <c r="C137" s="37">
        <v>25696.09</v>
      </c>
      <c r="D137" s="37">
        <v>12100</v>
      </c>
      <c r="E137" s="37">
        <v>17500</v>
      </c>
      <c r="F137" s="37">
        <v>28500</v>
      </c>
      <c r="G137" s="37">
        <v>22500</v>
      </c>
      <c r="H137" s="37">
        <v>32500</v>
      </c>
      <c r="I137" s="37">
        <v>94500</v>
      </c>
      <c r="J137" s="37">
        <v>62615</v>
      </c>
      <c r="K137" s="76">
        <v>0</v>
      </c>
      <c r="L137" s="37">
        <v>295911.09000000003</v>
      </c>
    </row>
    <row r="138" spans="1:12" customFormat="1" ht="17.25" customHeight="1" x14ac:dyDescent="0.3">
      <c r="A138" s="60" t="s">
        <v>362</v>
      </c>
      <c r="B138" s="61" t="s">
        <v>363</v>
      </c>
      <c r="C138" s="37">
        <v>32733.200000000001</v>
      </c>
      <c r="D138" s="37">
        <v>20786.900000000001</v>
      </c>
      <c r="E138" s="37">
        <v>23000</v>
      </c>
      <c r="F138" s="37">
        <v>23500</v>
      </c>
      <c r="G138" s="37">
        <v>36000</v>
      </c>
      <c r="H138" s="37">
        <v>62000</v>
      </c>
      <c r="I138" s="37">
        <v>129993.75750000001</v>
      </c>
      <c r="J138" s="37">
        <v>81200</v>
      </c>
      <c r="K138" s="76">
        <v>350</v>
      </c>
      <c r="L138" s="37">
        <v>409563.85749999998</v>
      </c>
    </row>
    <row r="139" spans="1:12" customFormat="1" ht="17.25" customHeight="1" x14ac:dyDescent="0.3">
      <c r="A139" s="60" t="s">
        <v>364</v>
      </c>
      <c r="B139" s="61" t="s">
        <v>365</v>
      </c>
      <c r="C139" s="37">
        <v>20779.96</v>
      </c>
      <c r="D139" s="37">
        <v>12800</v>
      </c>
      <c r="E139" s="37">
        <v>21000</v>
      </c>
      <c r="F139" s="37">
        <v>15994.757</v>
      </c>
      <c r="G139" s="37">
        <v>21439.599999999999</v>
      </c>
      <c r="H139" s="37">
        <v>41500</v>
      </c>
      <c r="I139" s="37">
        <v>71050</v>
      </c>
      <c r="J139" s="37">
        <v>45457.5</v>
      </c>
      <c r="K139" s="76">
        <v>0</v>
      </c>
      <c r="L139" s="37">
        <v>250021.81700000001</v>
      </c>
    </row>
    <row r="140" spans="1:12" customFormat="1" ht="17.25" customHeight="1" x14ac:dyDescent="0.3">
      <c r="A140" s="60" t="s">
        <v>366</v>
      </c>
      <c r="B140" s="61" t="s">
        <v>367</v>
      </c>
      <c r="C140" s="37">
        <v>29665.77</v>
      </c>
      <c r="D140" s="37">
        <v>14986.9</v>
      </c>
      <c r="E140" s="37">
        <v>21500</v>
      </c>
      <c r="F140" s="37">
        <v>20352.8</v>
      </c>
      <c r="G140" s="37">
        <v>22500</v>
      </c>
      <c r="H140" s="37">
        <v>44650</v>
      </c>
      <c r="I140" s="37">
        <v>114100</v>
      </c>
      <c r="J140" s="37">
        <v>68600</v>
      </c>
      <c r="K140" s="76">
        <v>0</v>
      </c>
      <c r="L140" s="37">
        <v>336355.47</v>
      </c>
    </row>
    <row r="141" spans="1:12" customFormat="1" ht="17.25" customHeight="1" x14ac:dyDescent="0.3">
      <c r="A141" s="60" t="s">
        <v>368</v>
      </c>
      <c r="B141" s="61" t="s">
        <v>369</v>
      </c>
      <c r="C141" s="37">
        <v>42675.9</v>
      </c>
      <c r="D141" s="37">
        <v>17300</v>
      </c>
      <c r="E141" s="37">
        <v>26500</v>
      </c>
      <c r="F141" s="37">
        <v>30000</v>
      </c>
      <c r="G141" s="37">
        <v>34500</v>
      </c>
      <c r="H141" s="37">
        <v>53350</v>
      </c>
      <c r="I141" s="37">
        <v>128450</v>
      </c>
      <c r="J141" s="37">
        <v>76375</v>
      </c>
      <c r="K141" s="76">
        <v>0</v>
      </c>
      <c r="L141" s="37">
        <v>409150.9</v>
      </c>
    </row>
    <row r="142" spans="1:12" customFormat="1" ht="17.25" customHeight="1" x14ac:dyDescent="0.3">
      <c r="A142" s="60" t="s">
        <v>370</v>
      </c>
      <c r="B142" s="61" t="s">
        <v>371</v>
      </c>
      <c r="C142" s="37">
        <v>25984.36</v>
      </c>
      <c r="D142" s="37">
        <v>14700</v>
      </c>
      <c r="E142" s="37">
        <v>11000</v>
      </c>
      <c r="F142" s="37">
        <v>16000</v>
      </c>
      <c r="G142" s="37">
        <v>22000</v>
      </c>
      <c r="H142" s="37">
        <v>23300</v>
      </c>
      <c r="I142" s="37">
        <v>56700</v>
      </c>
      <c r="J142" s="37">
        <v>43050</v>
      </c>
      <c r="K142" s="76">
        <v>0</v>
      </c>
      <c r="L142" s="37">
        <v>212734.36</v>
      </c>
    </row>
    <row r="143" spans="1:12" customFormat="1" ht="17.25" customHeight="1" x14ac:dyDescent="0.3">
      <c r="A143" s="60" t="s">
        <v>372</v>
      </c>
      <c r="B143" s="61" t="s">
        <v>373</v>
      </c>
      <c r="C143" s="37">
        <v>11351.09</v>
      </c>
      <c r="D143" s="37">
        <v>3600</v>
      </c>
      <c r="E143" s="37">
        <v>12000</v>
      </c>
      <c r="F143" s="37">
        <v>8500</v>
      </c>
      <c r="G143" s="37">
        <v>13500</v>
      </c>
      <c r="H143" s="37">
        <v>26400</v>
      </c>
      <c r="I143" s="37">
        <v>65100</v>
      </c>
      <c r="J143" s="37">
        <v>34300</v>
      </c>
      <c r="K143" s="76">
        <v>0</v>
      </c>
      <c r="L143" s="37">
        <v>174751.09</v>
      </c>
    </row>
    <row r="144" spans="1:12" customFormat="1" ht="17.25" customHeight="1" x14ac:dyDescent="0.3">
      <c r="A144" s="60" t="s">
        <v>374</v>
      </c>
      <c r="B144" s="56" t="s">
        <v>375</v>
      </c>
      <c r="C144" s="73">
        <v>163352.48000000001</v>
      </c>
      <c r="D144" s="73">
        <v>99186.9</v>
      </c>
      <c r="E144" s="73">
        <v>154398</v>
      </c>
      <c r="F144" s="73">
        <v>163290.663</v>
      </c>
      <c r="G144" s="73">
        <v>202500</v>
      </c>
      <c r="H144" s="73">
        <v>400184.00750000001</v>
      </c>
      <c r="I144" s="73">
        <v>692472.30249999999</v>
      </c>
      <c r="J144" s="73">
        <v>392493.75750000001</v>
      </c>
      <c r="K144" s="73">
        <v>0</v>
      </c>
      <c r="L144" s="73">
        <v>2267878.1105</v>
      </c>
    </row>
    <row r="145" spans="1:12" customFormat="1" ht="17.25" customHeight="1" x14ac:dyDescent="0.3">
      <c r="A145" s="60" t="s">
        <v>376</v>
      </c>
      <c r="B145" s="61" t="s">
        <v>377</v>
      </c>
      <c r="C145" s="37">
        <v>14231.59</v>
      </c>
      <c r="D145" s="37">
        <v>7100</v>
      </c>
      <c r="E145" s="37">
        <v>11500</v>
      </c>
      <c r="F145" s="37">
        <v>11500</v>
      </c>
      <c r="G145" s="37">
        <v>10500</v>
      </c>
      <c r="H145" s="37">
        <v>24800</v>
      </c>
      <c r="I145" s="37">
        <v>53404.75</v>
      </c>
      <c r="J145" s="37">
        <v>35000</v>
      </c>
      <c r="K145" s="76">
        <v>0</v>
      </c>
      <c r="L145" s="37">
        <v>168036.34</v>
      </c>
    </row>
    <row r="146" spans="1:12" customFormat="1" ht="17.25" customHeight="1" x14ac:dyDescent="0.3">
      <c r="A146" s="60" t="s">
        <v>378</v>
      </c>
      <c r="B146" s="61" t="s">
        <v>379</v>
      </c>
      <c r="C146" s="37">
        <v>22753.27</v>
      </c>
      <c r="D146" s="37">
        <v>9500</v>
      </c>
      <c r="E146" s="37">
        <v>17500</v>
      </c>
      <c r="F146" s="37">
        <v>17000</v>
      </c>
      <c r="G146" s="37">
        <v>18000</v>
      </c>
      <c r="H146" s="37">
        <v>42500</v>
      </c>
      <c r="I146" s="37">
        <v>93100</v>
      </c>
      <c r="J146" s="37">
        <v>52850</v>
      </c>
      <c r="K146" s="76">
        <v>0</v>
      </c>
      <c r="L146" s="37">
        <v>273203.27</v>
      </c>
    </row>
    <row r="147" spans="1:12" customFormat="1" ht="17.25" customHeight="1" x14ac:dyDescent="0.3">
      <c r="A147" s="60" t="s">
        <v>380</v>
      </c>
      <c r="B147" s="61" t="s">
        <v>381</v>
      </c>
      <c r="C147" s="37">
        <v>39163.629999999997</v>
      </c>
      <c r="D147" s="37">
        <v>23586.9</v>
      </c>
      <c r="E147" s="37">
        <v>25898</v>
      </c>
      <c r="F147" s="37">
        <v>25332.832999999999</v>
      </c>
      <c r="G147" s="37">
        <v>37000</v>
      </c>
      <c r="H147" s="37">
        <v>74084.007500000007</v>
      </c>
      <c r="I147" s="37">
        <v>127050</v>
      </c>
      <c r="J147" s="37">
        <v>73500</v>
      </c>
      <c r="K147" s="76">
        <v>0</v>
      </c>
      <c r="L147" s="37">
        <v>425615.37050000002</v>
      </c>
    </row>
    <row r="148" spans="1:12" customFormat="1" ht="17.25" customHeight="1" x14ac:dyDescent="0.3">
      <c r="A148" s="60" t="s">
        <v>382</v>
      </c>
      <c r="B148" s="61" t="s">
        <v>383</v>
      </c>
      <c r="C148" s="37">
        <v>39180.699999999997</v>
      </c>
      <c r="D148" s="37">
        <v>28000</v>
      </c>
      <c r="E148" s="37">
        <v>52000</v>
      </c>
      <c r="F148" s="37">
        <v>56000</v>
      </c>
      <c r="G148" s="37">
        <v>76000</v>
      </c>
      <c r="H148" s="37">
        <v>137550</v>
      </c>
      <c r="I148" s="37">
        <v>217143.75750000001</v>
      </c>
      <c r="J148" s="37">
        <v>107593.75750000001</v>
      </c>
      <c r="K148" s="76">
        <v>0</v>
      </c>
      <c r="L148" s="37">
        <v>713468.21499999997</v>
      </c>
    </row>
    <row r="149" spans="1:12" customFormat="1" ht="17.25" customHeight="1" x14ac:dyDescent="0.3">
      <c r="A149" s="60" t="s">
        <v>384</v>
      </c>
      <c r="B149" s="61" t="s">
        <v>385</v>
      </c>
      <c r="C149" s="37">
        <v>48023.29</v>
      </c>
      <c r="D149" s="37">
        <v>31000</v>
      </c>
      <c r="E149" s="37">
        <v>47500</v>
      </c>
      <c r="F149" s="37">
        <v>53457.83</v>
      </c>
      <c r="G149" s="37">
        <v>61000</v>
      </c>
      <c r="H149" s="37">
        <v>121250</v>
      </c>
      <c r="I149" s="37">
        <v>201773.79500000001</v>
      </c>
      <c r="J149" s="37">
        <v>123550</v>
      </c>
      <c r="K149" s="76">
        <v>0</v>
      </c>
      <c r="L149" s="37">
        <v>687554.91500000004</v>
      </c>
    </row>
    <row r="150" spans="1:12" customFormat="1" ht="17.25" customHeight="1" x14ac:dyDescent="0.3">
      <c r="A150" s="60" t="s">
        <v>386</v>
      </c>
      <c r="B150" s="121" t="s">
        <v>387</v>
      </c>
      <c r="C150" s="79">
        <v>399506.09</v>
      </c>
      <c r="D150" s="79">
        <v>202273.8</v>
      </c>
      <c r="E150" s="79">
        <v>233487.49400000001</v>
      </c>
      <c r="F150" s="79">
        <v>280989.91499999998</v>
      </c>
      <c r="G150" s="79">
        <v>324000</v>
      </c>
      <c r="H150" s="79">
        <v>622671.6</v>
      </c>
      <c r="I150" s="79">
        <v>1240382.5449999999</v>
      </c>
      <c r="J150" s="79">
        <v>793016.44</v>
      </c>
      <c r="K150" s="79">
        <v>350</v>
      </c>
      <c r="L150" s="79">
        <v>4096677.8840000001</v>
      </c>
    </row>
    <row r="151" spans="1:12" customFormat="1" ht="17.25" customHeight="1" x14ac:dyDescent="0.3">
      <c r="A151" s="60" t="s">
        <v>388</v>
      </c>
      <c r="B151" s="61" t="s">
        <v>389</v>
      </c>
      <c r="C151" s="37">
        <v>123857.08</v>
      </c>
      <c r="D151" s="37">
        <v>64586.9</v>
      </c>
      <c r="E151" s="37">
        <v>75487.494000000006</v>
      </c>
      <c r="F151" s="37">
        <v>99000</v>
      </c>
      <c r="G151" s="37">
        <v>118500</v>
      </c>
      <c r="H151" s="37">
        <v>209471.6</v>
      </c>
      <c r="I151" s="37">
        <v>408700</v>
      </c>
      <c r="J151" s="37">
        <v>274316.44</v>
      </c>
      <c r="K151" s="76">
        <v>0</v>
      </c>
      <c r="L151" s="37">
        <v>1373919.514</v>
      </c>
    </row>
    <row r="152" spans="1:12" customFormat="1" ht="17.25" customHeight="1" x14ac:dyDescent="0.3">
      <c r="A152" s="60" t="s">
        <v>390</v>
      </c>
      <c r="B152" s="61" t="s">
        <v>391</v>
      </c>
      <c r="C152" s="37">
        <v>35873.18</v>
      </c>
      <c r="D152" s="37">
        <v>16600</v>
      </c>
      <c r="E152" s="37">
        <v>24000</v>
      </c>
      <c r="F152" s="37">
        <v>27989.915000000001</v>
      </c>
      <c r="G152" s="37">
        <v>37000</v>
      </c>
      <c r="H152" s="37">
        <v>76100</v>
      </c>
      <c r="I152" s="37">
        <v>132300</v>
      </c>
      <c r="J152" s="37">
        <v>85050</v>
      </c>
      <c r="K152" s="76">
        <v>0</v>
      </c>
      <c r="L152" s="37">
        <v>434913.09499999997</v>
      </c>
    </row>
    <row r="153" spans="1:12" customFormat="1" ht="17.25" customHeight="1" x14ac:dyDescent="0.3">
      <c r="A153" s="60" t="s">
        <v>392</v>
      </c>
      <c r="B153" s="61" t="s">
        <v>393</v>
      </c>
      <c r="C153" s="37">
        <v>65527.9</v>
      </c>
      <c r="D153" s="37">
        <v>39300</v>
      </c>
      <c r="E153" s="37">
        <v>31000</v>
      </c>
      <c r="F153" s="37">
        <v>38500</v>
      </c>
      <c r="G153" s="37">
        <v>34500</v>
      </c>
      <c r="H153" s="37">
        <v>76300</v>
      </c>
      <c r="I153" s="37">
        <v>180250</v>
      </c>
      <c r="J153" s="37">
        <v>109900</v>
      </c>
      <c r="K153" s="76">
        <v>350</v>
      </c>
      <c r="L153" s="37">
        <v>575627.9</v>
      </c>
    </row>
    <row r="154" spans="1:12" customFormat="1" ht="17.25" customHeight="1" x14ac:dyDescent="0.3">
      <c r="A154" s="60" t="s">
        <v>394</v>
      </c>
      <c r="B154" s="61" t="s">
        <v>395</v>
      </c>
      <c r="C154" s="37">
        <v>38776.54</v>
      </c>
      <c r="D154" s="37">
        <v>14600</v>
      </c>
      <c r="E154" s="37">
        <v>20500</v>
      </c>
      <c r="F154" s="37">
        <v>21500</v>
      </c>
      <c r="G154" s="37">
        <v>17500</v>
      </c>
      <c r="H154" s="37">
        <v>34550</v>
      </c>
      <c r="I154" s="37">
        <v>83300</v>
      </c>
      <c r="J154" s="37">
        <v>46550</v>
      </c>
      <c r="K154" s="76">
        <v>0</v>
      </c>
      <c r="L154" s="37">
        <v>277276.53999999998</v>
      </c>
    </row>
    <row r="155" spans="1:12" customFormat="1" ht="17.25" customHeight="1" x14ac:dyDescent="0.3">
      <c r="A155" s="60" t="s">
        <v>396</v>
      </c>
      <c r="B155" s="61" t="s">
        <v>397</v>
      </c>
      <c r="C155" s="37">
        <v>63578.6</v>
      </c>
      <c r="D155" s="37">
        <v>39586.9</v>
      </c>
      <c r="E155" s="37">
        <v>44500</v>
      </c>
      <c r="F155" s="37">
        <v>47500</v>
      </c>
      <c r="G155" s="37">
        <v>69000</v>
      </c>
      <c r="H155" s="37">
        <v>134500</v>
      </c>
      <c r="I155" s="37">
        <v>228979.5</v>
      </c>
      <c r="J155" s="37">
        <v>147000</v>
      </c>
      <c r="K155" s="76">
        <v>0</v>
      </c>
      <c r="L155" s="37">
        <v>774645</v>
      </c>
    </row>
    <row r="156" spans="1:12" customFormat="1" ht="17.25" customHeight="1" x14ac:dyDescent="0.3">
      <c r="A156" s="60" t="s">
        <v>398</v>
      </c>
      <c r="B156" s="61" t="s">
        <v>399</v>
      </c>
      <c r="C156" s="37">
        <v>40008.43</v>
      </c>
      <c r="D156" s="37">
        <v>18700</v>
      </c>
      <c r="E156" s="37">
        <v>17000</v>
      </c>
      <c r="F156" s="37">
        <v>29000</v>
      </c>
      <c r="G156" s="37">
        <v>31500</v>
      </c>
      <c r="H156" s="37">
        <v>52750</v>
      </c>
      <c r="I156" s="37">
        <v>122500.78750000001</v>
      </c>
      <c r="J156" s="37">
        <v>77000</v>
      </c>
      <c r="K156" s="76">
        <v>0</v>
      </c>
      <c r="L156" s="37">
        <v>388459.21750000003</v>
      </c>
    </row>
    <row r="157" spans="1:12" customFormat="1" ht="17.25" customHeight="1" x14ac:dyDescent="0.3">
      <c r="A157" s="60" t="s">
        <v>400</v>
      </c>
      <c r="B157" s="61" t="s">
        <v>401</v>
      </c>
      <c r="C157" s="37">
        <v>31884.36</v>
      </c>
      <c r="D157" s="37">
        <v>8900</v>
      </c>
      <c r="E157" s="37">
        <v>21000</v>
      </c>
      <c r="F157" s="37">
        <v>17500</v>
      </c>
      <c r="G157" s="37">
        <v>16000</v>
      </c>
      <c r="H157" s="37">
        <v>39000</v>
      </c>
      <c r="I157" s="37">
        <v>84352.257500000007</v>
      </c>
      <c r="J157" s="37">
        <v>53200</v>
      </c>
      <c r="K157" s="76">
        <v>0</v>
      </c>
      <c r="L157" s="37">
        <v>271836.61749999999</v>
      </c>
    </row>
    <row r="158" spans="1:12" customFormat="1" ht="17.25" customHeight="1" x14ac:dyDescent="0.3">
      <c r="A158" s="60" t="s">
        <v>402</v>
      </c>
      <c r="B158" s="56" t="s">
        <v>403</v>
      </c>
      <c r="C158" s="73">
        <v>172312.25</v>
      </c>
      <c r="D158" s="73">
        <v>91000</v>
      </c>
      <c r="E158" s="73">
        <v>140950</v>
      </c>
      <c r="F158" s="73">
        <v>132918.5</v>
      </c>
      <c r="G158" s="73">
        <v>168490.5</v>
      </c>
      <c r="H158" s="73">
        <v>261550</v>
      </c>
      <c r="I158" s="73">
        <v>521740.3</v>
      </c>
      <c r="J158" s="73">
        <v>347185.1</v>
      </c>
      <c r="K158" s="73">
        <v>0</v>
      </c>
      <c r="L158" s="73">
        <v>1836146.65</v>
      </c>
    </row>
    <row r="159" spans="1:12" customFormat="1" ht="17.25" customHeight="1" x14ac:dyDescent="0.3">
      <c r="A159" s="60" t="s">
        <v>404</v>
      </c>
      <c r="B159" s="61" t="s">
        <v>405</v>
      </c>
      <c r="C159" s="37">
        <v>41992.86</v>
      </c>
      <c r="D159" s="37">
        <v>17000</v>
      </c>
      <c r="E159" s="37">
        <v>34450</v>
      </c>
      <c r="F159" s="37">
        <v>28418.5</v>
      </c>
      <c r="G159" s="37">
        <v>44000</v>
      </c>
      <c r="H159" s="37">
        <v>69800</v>
      </c>
      <c r="I159" s="37">
        <v>127400</v>
      </c>
      <c r="J159" s="37">
        <v>85932</v>
      </c>
      <c r="K159" s="76">
        <v>0</v>
      </c>
      <c r="L159" s="37">
        <v>448993.36</v>
      </c>
    </row>
    <row r="160" spans="1:12" customFormat="1" ht="17.25" customHeight="1" x14ac:dyDescent="0.3">
      <c r="A160" s="60" t="s">
        <v>406</v>
      </c>
      <c r="B160" s="61" t="s">
        <v>407</v>
      </c>
      <c r="C160" s="37">
        <v>24062.95</v>
      </c>
      <c r="D160" s="37">
        <v>13400</v>
      </c>
      <c r="E160" s="37">
        <v>25500</v>
      </c>
      <c r="F160" s="37">
        <v>25000</v>
      </c>
      <c r="G160" s="37">
        <v>19500</v>
      </c>
      <c r="H160" s="37">
        <v>30250</v>
      </c>
      <c r="I160" s="37">
        <v>74550</v>
      </c>
      <c r="J160" s="37">
        <v>43750</v>
      </c>
      <c r="K160" s="76">
        <v>0</v>
      </c>
      <c r="L160" s="37">
        <v>256012.95</v>
      </c>
    </row>
    <row r="161" spans="1:12" customFormat="1" ht="17.25" customHeight="1" x14ac:dyDescent="0.3">
      <c r="A161" s="60" t="s">
        <v>408</v>
      </c>
      <c r="B161" s="61" t="s">
        <v>409</v>
      </c>
      <c r="C161" s="37">
        <v>21937.84</v>
      </c>
      <c r="D161" s="37">
        <v>10400</v>
      </c>
      <c r="E161" s="37">
        <v>15500</v>
      </c>
      <c r="F161" s="37">
        <v>13500</v>
      </c>
      <c r="G161" s="37">
        <v>15500</v>
      </c>
      <c r="H161" s="37">
        <v>28400</v>
      </c>
      <c r="I161" s="37">
        <v>53900</v>
      </c>
      <c r="J161" s="37">
        <v>42000</v>
      </c>
      <c r="K161" s="76">
        <v>0</v>
      </c>
      <c r="L161" s="37">
        <v>201137.84</v>
      </c>
    </row>
    <row r="162" spans="1:12" customFormat="1" ht="17.25" customHeight="1" x14ac:dyDescent="0.3">
      <c r="A162" s="60" t="s">
        <v>410</v>
      </c>
      <c r="B162" s="61" t="s">
        <v>411</v>
      </c>
      <c r="C162" s="37">
        <v>16839.36</v>
      </c>
      <c r="D162" s="37">
        <v>11100</v>
      </c>
      <c r="E162" s="37">
        <v>18500</v>
      </c>
      <c r="F162" s="37">
        <v>12500</v>
      </c>
      <c r="G162" s="37">
        <v>20490.5</v>
      </c>
      <c r="H162" s="37">
        <v>27200</v>
      </c>
      <c r="I162" s="37">
        <v>61600</v>
      </c>
      <c r="J162" s="37">
        <v>40559.599999999999</v>
      </c>
      <c r="K162" s="76">
        <v>0</v>
      </c>
      <c r="L162" s="37">
        <v>208789.46</v>
      </c>
    </row>
    <row r="163" spans="1:12" customFormat="1" ht="17.25" customHeight="1" x14ac:dyDescent="0.3">
      <c r="A163" s="60" t="s">
        <v>412</v>
      </c>
      <c r="B163" s="61" t="s">
        <v>413</v>
      </c>
      <c r="C163" s="37">
        <v>39897.449999999997</v>
      </c>
      <c r="D163" s="37">
        <v>25300</v>
      </c>
      <c r="E163" s="37">
        <v>32500</v>
      </c>
      <c r="F163" s="37">
        <v>38000</v>
      </c>
      <c r="G163" s="37">
        <v>49000</v>
      </c>
      <c r="H163" s="37">
        <v>75400</v>
      </c>
      <c r="I163" s="37">
        <v>146190.29999999999</v>
      </c>
      <c r="J163" s="37">
        <v>93643.5</v>
      </c>
      <c r="K163" s="76">
        <v>0</v>
      </c>
      <c r="L163" s="37">
        <v>499931.25</v>
      </c>
    </row>
    <row r="164" spans="1:12" customFormat="1" ht="17.25" customHeight="1" x14ac:dyDescent="0.3">
      <c r="A164" s="119" t="s">
        <v>414</v>
      </c>
      <c r="B164" s="64" t="s">
        <v>415</v>
      </c>
      <c r="C164" s="78">
        <v>27581.79</v>
      </c>
      <c r="D164" s="78">
        <v>13800</v>
      </c>
      <c r="E164" s="78">
        <v>14500</v>
      </c>
      <c r="F164" s="78">
        <v>15500</v>
      </c>
      <c r="G164" s="78">
        <v>20000</v>
      </c>
      <c r="H164" s="78">
        <v>30500</v>
      </c>
      <c r="I164" s="78">
        <v>58100</v>
      </c>
      <c r="J164" s="78">
        <v>41300</v>
      </c>
      <c r="K164" s="77">
        <v>0</v>
      </c>
      <c r="L164" s="78">
        <v>221281.79</v>
      </c>
    </row>
    <row r="165" spans="1:12" customFormat="1" ht="17.25" customHeight="1" x14ac:dyDescent="0.3">
      <c r="A165" s="136" t="s">
        <v>416</v>
      </c>
      <c r="B165" s="137" t="s">
        <v>417</v>
      </c>
      <c r="C165" s="73">
        <v>1373643.67</v>
      </c>
      <c r="D165" s="73">
        <v>816555.59</v>
      </c>
      <c r="E165" s="73">
        <v>1002482.55</v>
      </c>
      <c r="F165" s="73">
        <v>1231349.5090000001</v>
      </c>
      <c r="G165" s="73">
        <v>1481822.6</v>
      </c>
      <c r="H165" s="73">
        <v>2307112.59</v>
      </c>
      <c r="I165" s="73">
        <v>4592622.915</v>
      </c>
      <c r="J165" s="73">
        <v>2761070.72</v>
      </c>
      <c r="K165" s="73">
        <v>1800</v>
      </c>
      <c r="L165" s="73">
        <v>15568460.143999999</v>
      </c>
    </row>
    <row r="166" spans="1:12" customFormat="1" ht="17.25" customHeight="1" x14ac:dyDescent="0.3">
      <c r="A166" s="60" t="s">
        <v>418</v>
      </c>
      <c r="B166" s="61" t="s">
        <v>419</v>
      </c>
      <c r="C166" s="37">
        <v>39598.720000000001</v>
      </c>
      <c r="D166" s="37">
        <v>26200</v>
      </c>
      <c r="E166" s="37">
        <v>41500</v>
      </c>
      <c r="F166" s="37">
        <v>43500</v>
      </c>
      <c r="G166" s="37">
        <v>43000</v>
      </c>
      <c r="H166" s="37">
        <v>70100</v>
      </c>
      <c r="I166" s="37">
        <v>133700</v>
      </c>
      <c r="J166" s="37">
        <v>84350</v>
      </c>
      <c r="K166" s="76">
        <v>0</v>
      </c>
      <c r="L166" s="37">
        <v>481948.72</v>
      </c>
    </row>
    <row r="167" spans="1:12" customFormat="1" ht="17.25" customHeight="1" x14ac:dyDescent="0.3">
      <c r="A167" s="60" t="s">
        <v>420</v>
      </c>
      <c r="B167" s="61" t="s">
        <v>421</v>
      </c>
      <c r="C167" s="37">
        <v>77398.720000000001</v>
      </c>
      <c r="D167" s="37">
        <v>48700</v>
      </c>
      <c r="E167" s="37">
        <v>64500</v>
      </c>
      <c r="F167" s="37">
        <v>89486.747000000003</v>
      </c>
      <c r="G167" s="37">
        <v>97000</v>
      </c>
      <c r="H167" s="37">
        <v>152600</v>
      </c>
      <c r="I167" s="37">
        <v>302050</v>
      </c>
      <c r="J167" s="37">
        <v>169750</v>
      </c>
      <c r="K167" s="76">
        <v>0</v>
      </c>
      <c r="L167" s="37">
        <v>1001485.4669999999</v>
      </c>
    </row>
    <row r="168" spans="1:12" customFormat="1" ht="17.25" customHeight="1" x14ac:dyDescent="0.3">
      <c r="A168" s="60" t="s">
        <v>422</v>
      </c>
      <c r="B168" s="61" t="s">
        <v>423</v>
      </c>
      <c r="C168" s="37">
        <v>19926.86</v>
      </c>
      <c r="D168" s="37">
        <v>10900</v>
      </c>
      <c r="E168" s="37">
        <v>9500</v>
      </c>
      <c r="F168" s="37">
        <v>11000</v>
      </c>
      <c r="G168" s="37">
        <v>18500</v>
      </c>
      <c r="H168" s="37">
        <v>29450</v>
      </c>
      <c r="I168" s="37">
        <v>62220</v>
      </c>
      <c r="J168" s="37">
        <v>33950</v>
      </c>
      <c r="K168" s="76">
        <v>900</v>
      </c>
      <c r="L168" s="37">
        <v>196346.86</v>
      </c>
    </row>
    <row r="169" spans="1:12" customFormat="1" ht="17.25" customHeight="1" x14ac:dyDescent="0.3">
      <c r="A169" s="60" t="s">
        <v>424</v>
      </c>
      <c r="B169" s="61" t="s">
        <v>425</v>
      </c>
      <c r="C169" s="37">
        <v>32893.08</v>
      </c>
      <c r="D169" s="37">
        <v>15600</v>
      </c>
      <c r="E169" s="37">
        <v>20000</v>
      </c>
      <c r="F169" s="37">
        <v>28000</v>
      </c>
      <c r="G169" s="37">
        <v>29500</v>
      </c>
      <c r="H169" s="37">
        <v>53150</v>
      </c>
      <c r="I169" s="37">
        <v>99730</v>
      </c>
      <c r="J169" s="37">
        <v>57400</v>
      </c>
      <c r="K169" s="76">
        <v>0</v>
      </c>
      <c r="L169" s="37">
        <v>336273.08</v>
      </c>
    </row>
    <row r="170" spans="1:12" customFormat="1" ht="17.25" customHeight="1" x14ac:dyDescent="0.3">
      <c r="A170" s="60" t="s">
        <v>426</v>
      </c>
      <c r="B170" s="61" t="s">
        <v>427</v>
      </c>
      <c r="C170" s="37">
        <v>22451.09</v>
      </c>
      <c r="D170" s="37">
        <v>18700</v>
      </c>
      <c r="E170" s="37">
        <v>20500</v>
      </c>
      <c r="F170" s="37">
        <v>17467.5</v>
      </c>
      <c r="G170" s="37">
        <v>17500</v>
      </c>
      <c r="H170" s="37">
        <v>38250</v>
      </c>
      <c r="I170" s="37">
        <v>84700</v>
      </c>
      <c r="J170" s="37">
        <v>57050</v>
      </c>
      <c r="K170" s="76">
        <v>0</v>
      </c>
      <c r="L170" s="37">
        <v>276618.59000000003</v>
      </c>
    </row>
    <row r="171" spans="1:12" customFormat="1" ht="17.25" customHeight="1" x14ac:dyDescent="0.3">
      <c r="A171" s="60" t="s">
        <v>428</v>
      </c>
      <c r="B171" s="61" t="s">
        <v>429</v>
      </c>
      <c r="C171" s="37">
        <v>23039.360000000001</v>
      </c>
      <c r="D171" s="37">
        <v>10800</v>
      </c>
      <c r="E171" s="37">
        <v>14000</v>
      </c>
      <c r="F171" s="37">
        <v>19500</v>
      </c>
      <c r="G171" s="37">
        <v>24000</v>
      </c>
      <c r="H171" s="37">
        <v>36342.5</v>
      </c>
      <c r="I171" s="37">
        <v>73850</v>
      </c>
      <c r="J171" s="37">
        <v>44450</v>
      </c>
      <c r="K171" s="76">
        <v>0</v>
      </c>
      <c r="L171" s="37">
        <v>245981.86</v>
      </c>
    </row>
    <row r="172" spans="1:12" customFormat="1" ht="17.25" customHeight="1" x14ac:dyDescent="0.3">
      <c r="A172" s="60" t="s">
        <v>430</v>
      </c>
      <c r="B172" s="56" t="s">
        <v>431</v>
      </c>
      <c r="C172" s="73">
        <v>191699.37</v>
      </c>
      <c r="D172" s="73">
        <v>106800</v>
      </c>
      <c r="E172" s="73">
        <v>164200</v>
      </c>
      <c r="F172" s="73">
        <v>177306</v>
      </c>
      <c r="G172" s="73">
        <v>198459</v>
      </c>
      <c r="H172" s="73">
        <v>285350</v>
      </c>
      <c r="I172" s="73">
        <v>550177.74</v>
      </c>
      <c r="J172" s="73">
        <v>352583.95</v>
      </c>
      <c r="K172" s="73">
        <v>0</v>
      </c>
      <c r="L172" s="73">
        <v>2026576.06</v>
      </c>
    </row>
    <row r="173" spans="1:12" customFormat="1" ht="17.25" customHeight="1" x14ac:dyDescent="0.3">
      <c r="A173" s="60" t="s">
        <v>432</v>
      </c>
      <c r="B173" s="61" t="s">
        <v>433</v>
      </c>
      <c r="C173" s="37">
        <v>22964.52</v>
      </c>
      <c r="D173" s="37">
        <v>12000</v>
      </c>
      <c r="E173" s="37">
        <v>19500</v>
      </c>
      <c r="F173" s="37">
        <v>23806</v>
      </c>
      <c r="G173" s="37">
        <v>33500</v>
      </c>
      <c r="H173" s="37">
        <v>28200</v>
      </c>
      <c r="I173" s="37">
        <v>52150</v>
      </c>
      <c r="J173" s="37">
        <v>28350</v>
      </c>
      <c r="K173" s="76">
        <v>0</v>
      </c>
      <c r="L173" s="37">
        <v>220470.52</v>
      </c>
    </row>
    <row r="174" spans="1:12" customFormat="1" ht="17.25" customHeight="1" x14ac:dyDescent="0.3">
      <c r="A174" s="60" t="s">
        <v>434</v>
      </c>
      <c r="B174" s="61" t="s">
        <v>435</v>
      </c>
      <c r="C174" s="37">
        <v>28169.7</v>
      </c>
      <c r="D174" s="37">
        <v>13900</v>
      </c>
      <c r="E174" s="37">
        <v>23000</v>
      </c>
      <c r="F174" s="37">
        <v>16500</v>
      </c>
      <c r="G174" s="37">
        <v>31500</v>
      </c>
      <c r="H174" s="37">
        <v>37700</v>
      </c>
      <c r="I174" s="37">
        <v>73850</v>
      </c>
      <c r="J174" s="37">
        <v>50750</v>
      </c>
      <c r="K174" s="76">
        <v>0</v>
      </c>
      <c r="L174" s="37">
        <v>275369.7</v>
      </c>
    </row>
    <row r="175" spans="1:12" customFormat="1" ht="17.25" customHeight="1" x14ac:dyDescent="0.3">
      <c r="A175" s="60" t="s">
        <v>436</v>
      </c>
      <c r="B175" s="61" t="s">
        <v>437</v>
      </c>
      <c r="C175" s="37">
        <v>16441.77</v>
      </c>
      <c r="D175" s="37">
        <v>3900</v>
      </c>
      <c r="E175" s="37">
        <v>11000</v>
      </c>
      <c r="F175" s="37">
        <v>18000</v>
      </c>
      <c r="G175" s="37">
        <v>14500</v>
      </c>
      <c r="H175" s="37">
        <v>17450</v>
      </c>
      <c r="I175" s="37">
        <v>46550</v>
      </c>
      <c r="J175" s="37">
        <v>34783.949999999997</v>
      </c>
      <c r="K175" s="76">
        <v>0</v>
      </c>
      <c r="L175" s="37">
        <v>162625.72</v>
      </c>
    </row>
    <row r="176" spans="1:12" customFormat="1" ht="17.25" customHeight="1" x14ac:dyDescent="0.3">
      <c r="A176" s="60" t="s">
        <v>438</v>
      </c>
      <c r="B176" s="61" t="s">
        <v>439</v>
      </c>
      <c r="C176" s="37">
        <v>46760.36</v>
      </c>
      <c r="D176" s="37">
        <v>29900</v>
      </c>
      <c r="E176" s="37">
        <v>44500</v>
      </c>
      <c r="F176" s="37">
        <v>53500</v>
      </c>
      <c r="G176" s="37">
        <v>43500</v>
      </c>
      <c r="H176" s="37">
        <v>78700</v>
      </c>
      <c r="I176" s="37">
        <v>177777.74</v>
      </c>
      <c r="J176" s="37">
        <v>116900</v>
      </c>
      <c r="K176" s="76">
        <v>0</v>
      </c>
      <c r="L176" s="37">
        <v>591538.1</v>
      </c>
    </row>
    <row r="177" spans="1:12" customFormat="1" ht="17.25" customHeight="1" x14ac:dyDescent="0.3">
      <c r="A177" s="60" t="s">
        <v>440</v>
      </c>
      <c r="B177" s="61" t="s">
        <v>441</v>
      </c>
      <c r="C177" s="37">
        <v>77363.02</v>
      </c>
      <c r="D177" s="37">
        <v>47100</v>
      </c>
      <c r="E177" s="37">
        <v>66200</v>
      </c>
      <c r="F177" s="37">
        <v>65500</v>
      </c>
      <c r="G177" s="37">
        <v>75459</v>
      </c>
      <c r="H177" s="37">
        <v>123300</v>
      </c>
      <c r="I177" s="37">
        <v>199850</v>
      </c>
      <c r="J177" s="37">
        <v>121800</v>
      </c>
      <c r="K177" s="76">
        <v>0</v>
      </c>
      <c r="L177" s="37">
        <v>776572.02</v>
      </c>
    </row>
    <row r="178" spans="1:12" customFormat="1" ht="17.25" customHeight="1" x14ac:dyDescent="0.3">
      <c r="A178" s="60" t="s">
        <v>442</v>
      </c>
      <c r="B178" s="56" t="s">
        <v>443</v>
      </c>
      <c r="C178" s="73">
        <v>279006.49</v>
      </c>
      <c r="D178" s="73">
        <v>190768</v>
      </c>
      <c r="E178" s="73">
        <v>207475</v>
      </c>
      <c r="F178" s="73">
        <v>256440</v>
      </c>
      <c r="G178" s="73">
        <v>370500</v>
      </c>
      <c r="H178" s="73">
        <v>517565.86</v>
      </c>
      <c r="I178" s="73">
        <v>1129435.72</v>
      </c>
      <c r="J178" s="73">
        <v>673493</v>
      </c>
      <c r="K178" s="73">
        <v>0</v>
      </c>
      <c r="L178" s="73">
        <v>3624684.07</v>
      </c>
    </row>
    <row r="179" spans="1:12" customFormat="1" ht="17.25" customHeight="1" x14ac:dyDescent="0.3">
      <c r="A179" s="60" t="s">
        <v>444</v>
      </c>
      <c r="B179" s="61" t="s">
        <v>445</v>
      </c>
      <c r="C179" s="37">
        <v>27537.78</v>
      </c>
      <c r="D179" s="37">
        <v>14900</v>
      </c>
      <c r="E179" s="37">
        <v>21500</v>
      </c>
      <c r="F179" s="37">
        <v>25500</v>
      </c>
      <c r="G179" s="37">
        <v>31000</v>
      </c>
      <c r="H179" s="37">
        <v>49650</v>
      </c>
      <c r="I179" s="37">
        <v>99691.86</v>
      </c>
      <c r="J179" s="37">
        <v>58450</v>
      </c>
      <c r="K179" s="76">
        <v>0</v>
      </c>
      <c r="L179" s="37">
        <v>328229.64</v>
      </c>
    </row>
    <row r="180" spans="1:12" customFormat="1" ht="17.25" customHeight="1" x14ac:dyDescent="0.3">
      <c r="A180" s="60" t="s">
        <v>446</v>
      </c>
      <c r="B180" s="61" t="s">
        <v>447</v>
      </c>
      <c r="C180" s="37">
        <v>36288.67</v>
      </c>
      <c r="D180" s="37">
        <v>19195</v>
      </c>
      <c r="E180" s="37">
        <v>20495</v>
      </c>
      <c r="F180" s="37">
        <v>19990</v>
      </c>
      <c r="G180" s="37">
        <v>30500</v>
      </c>
      <c r="H180" s="37">
        <v>51150</v>
      </c>
      <c r="I180" s="37">
        <v>113750</v>
      </c>
      <c r="J180" s="37">
        <v>66850</v>
      </c>
      <c r="K180" s="76">
        <v>0</v>
      </c>
      <c r="L180" s="37">
        <v>358218.67</v>
      </c>
    </row>
    <row r="181" spans="1:12" customFormat="1" ht="17.25" customHeight="1" x14ac:dyDescent="0.3">
      <c r="A181" s="60" t="s">
        <v>448</v>
      </c>
      <c r="B181" s="61" t="s">
        <v>449</v>
      </c>
      <c r="C181" s="37">
        <v>25516.86</v>
      </c>
      <c r="D181" s="37">
        <v>13600</v>
      </c>
      <c r="E181" s="37">
        <v>13500</v>
      </c>
      <c r="F181" s="37">
        <v>19500</v>
      </c>
      <c r="G181" s="37">
        <v>35000</v>
      </c>
      <c r="H181" s="37">
        <v>39650</v>
      </c>
      <c r="I181" s="37">
        <v>70350</v>
      </c>
      <c r="J181" s="37">
        <v>43050</v>
      </c>
      <c r="K181" s="76">
        <v>0</v>
      </c>
      <c r="L181" s="37">
        <v>260166.86</v>
      </c>
    </row>
    <row r="182" spans="1:12" customFormat="1" ht="17.25" customHeight="1" x14ac:dyDescent="0.3">
      <c r="A182" s="60" t="s">
        <v>450</v>
      </c>
      <c r="B182" s="61" t="s">
        <v>451</v>
      </c>
      <c r="C182" s="37">
        <v>17651.09</v>
      </c>
      <c r="D182" s="37">
        <v>10300</v>
      </c>
      <c r="E182" s="37">
        <v>9000</v>
      </c>
      <c r="F182" s="37">
        <v>7500</v>
      </c>
      <c r="G182" s="37">
        <v>16500</v>
      </c>
      <c r="H182" s="37">
        <v>18765.86</v>
      </c>
      <c r="I182" s="37">
        <v>54750</v>
      </c>
      <c r="J182" s="37">
        <v>32200</v>
      </c>
      <c r="K182" s="76">
        <v>0</v>
      </c>
      <c r="L182" s="37">
        <v>166666.95000000001</v>
      </c>
    </row>
    <row r="183" spans="1:12" customFormat="1" ht="17.25" customHeight="1" x14ac:dyDescent="0.3">
      <c r="A183" s="60" t="s">
        <v>452</v>
      </c>
      <c r="B183" s="61" t="s">
        <v>453</v>
      </c>
      <c r="C183" s="37">
        <v>32143.27</v>
      </c>
      <c r="D183" s="37">
        <v>29698</v>
      </c>
      <c r="E183" s="37">
        <v>28500</v>
      </c>
      <c r="F183" s="37">
        <v>36495</v>
      </c>
      <c r="G183" s="37">
        <v>46000</v>
      </c>
      <c r="H183" s="37">
        <v>71600</v>
      </c>
      <c r="I183" s="37">
        <v>169958.86</v>
      </c>
      <c r="J183" s="37">
        <v>108500</v>
      </c>
      <c r="K183" s="76">
        <v>0</v>
      </c>
      <c r="L183" s="37">
        <v>522895.13</v>
      </c>
    </row>
    <row r="184" spans="1:12" customFormat="1" ht="17.25" customHeight="1" x14ac:dyDescent="0.3">
      <c r="A184" s="60" t="s">
        <v>454</v>
      </c>
      <c r="B184" s="61" t="s">
        <v>455</v>
      </c>
      <c r="C184" s="37">
        <v>26594.36</v>
      </c>
      <c r="D184" s="37">
        <v>26590</v>
      </c>
      <c r="E184" s="37">
        <v>26490</v>
      </c>
      <c r="F184" s="37">
        <v>24990</v>
      </c>
      <c r="G184" s="37">
        <v>38500</v>
      </c>
      <c r="H184" s="37">
        <v>48650</v>
      </c>
      <c r="I184" s="37">
        <v>126700</v>
      </c>
      <c r="J184" s="37">
        <v>82693</v>
      </c>
      <c r="K184" s="76">
        <v>0</v>
      </c>
      <c r="L184" s="37">
        <v>401207.36</v>
      </c>
    </row>
    <row r="185" spans="1:12" customFormat="1" ht="17.25" customHeight="1" x14ac:dyDescent="0.3">
      <c r="A185" s="60" t="s">
        <v>456</v>
      </c>
      <c r="B185" s="61" t="s">
        <v>457</v>
      </c>
      <c r="C185" s="37">
        <v>28487.86</v>
      </c>
      <c r="D185" s="37">
        <v>24500</v>
      </c>
      <c r="E185" s="37">
        <v>21000</v>
      </c>
      <c r="F185" s="37">
        <v>38995</v>
      </c>
      <c r="G185" s="37">
        <v>67000</v>
      </c>
      <c r="H185" s="37">
        <v>78500</v>
      </c>
      <c r="I185" s="37">
        <v>130900</v>
      </c>
      <c r="J185" s="37">
        <v>68950</v>
      </c>
      <c r="K185" s="76">
        <v>0</v>
      </c>
      <c r="L185" s="37">
        <v>458332.86</v>
      </c>
    </row>
    <row r="186" spans="1:12" customFormat="1" ht="17.25" customHeight="1" x14ac:dyDescent="0.3">
      <c r="A186" s="60" t="s">
        <v>458</v>
      </c>
      <c r="B186" s="61" t="s">
        <v>459</v>
      </c>
      <c r="C186" s="37">
        <v>4092.18</v>
      </c>
      <c r="D186" s="37">
        <v>4000</v>
      </c>
      <c r="E186" s="37">
        <v>5500</v>
      </c>
      <c r="F186" s="37">
        <v>10500</v>
      </c>
      <c r="G186" s="37">
        <v>13000</v>
      </c>
      <c r="H186" s="37">
        <v>10850</v>
      </c>
      <c r="I186" s="37">
        <v>32200</v>
      </c>
      <c r="J186" s="37">
        <v>25550</v>
      </c>
      <c r="K186" s="76">
        <v>0</v>
      </c>
      <c r="L186" s="37">
        <v>105692.18</v>
      </c>
    </row>
    <row r="187" spans="1:12" customFormat="1" ht="17.25" customHeight="1" x14ac:dyDescent="0.3">
      <c r="A187" s="60" t="s">
        <v>460</v>
      </c>
      <c r="B187" s="61" t="s">
        <v>461</v>
      </c>
      <c r="C187" s="37">
        <v>16372.09</v>
      </c>
      <c r="D187" s="37">
        <v>10000</v>
      </c>
      <c r="E187" s="37">
        <v>9495</v>
      </c>
      <c r="F187" s="37">
        <v>8000</v>
      </c>
      <c r="G187" s="37">
        <v>14500</v>
      </c>
      <c r="H187" s="37">
        <v>27150</v>
      </c>
      <c r="I187" s="37">
        <v>66435</v>
      </c>
      <c r="J187" s="37">
        <v>34650</v>
      </c>
      <c r="K187" s="76">
        <v>0</v>
      </c>
      <c r="L187" s="37">
        <v>186602.09</v>
      </c>
    </row>
    <row r="188" spans="1:12" customFormat="1" ht="17.25" customHeight="1" x14ac:dyDescent="0.3">
      <c r="A188" s="60" t="s">
        <v>462</v>
      </c>
      <c r="B188" s="61" t="s">
        <v>463</v>
      </c>
      <c r="C188" s="37">
        <v>16325.22</v>
      </c>
      <c r="D188" s="37">
        <v>8400</v>
      </c>
      <c r="E188" s="37">
        <v>10500</v>
      </c>
      <c r="F188" s="37">
        <v>16000</v>
      </c>
      <c r="G188" s="37">
        <v>19500</v>
      </c>
      <c r="H188" s="37">
        <v>33250</v>
      </c>
      <c r="I188" s="37">
        <v>72100</v>
      </c>
      <c r="J188" s="37">
        <v>39200</v>
      </c>
      <c r="K188" s="76">
        <v>0</v>
      </c>
      <c r="L188" s="37">
        <v>215275.22</v>
      </c>
    </row>
    <row r="189" spans="1:12" customFormat="1" ht="17.25" customHeight="1" x14ac:dyDescent="0.3">
      <c r="A189" s="60" t="s">
        <v>464</v>
      </c>
      <c r="B189" s="61" t="s">
        <v>465</v>
      </c>
      <c r="C189" s="37">
        <v>16351.18</v>
      </c>
      <c r="D189" s="37">
        <v>12590</v>
      </c>
      <c r="E189" s="37">
        <v>17995</v>
      </c>
      <c r="F189" s="37">
        <v>13975</v>
      </c>
      <c r="G189" s="37">
        <v>16500</v>
      </c>
      <c r="H189" s="37">
        <v>31050</v>
      </c>
      <c r="I189" s="37">
        <v>77700</v>
      </c>
      <c r="J189" s="37">
        <v>39200</v>
      </c>
      <c r="K189" s="76">
        <v>0</v>
      </c>
      <c r="L189" s="37">
        <v>225361.18</v>
      </c>
    </row>
    <row r="190" spans="1:12" customFormat="1" ht="17.25" customHeight="1" x14ac:dyDescent="0.3">
      <c r="A190" s="60" t="s">
        <v>466</v>
      </c>
      <c r="B190" s="61" t="s">
        <v>467</v>
      </c>
      <c r="C190" s="37">
        <v>31645.93</v>
      </c>
      <c r="D190" s="37">
        <v>16995</v>
      </c>
      <c r="E190" s="37">
        <v>23500</v>
      </c>
      <c r="F190" s="37">
        <v>34995</v>
      </c>
      <c r="G190" s="37">
        <v>42500</v>
      </c>
      <c r="H190" s="37">
        <v>57300</v>
      </c>
      <c r="I190" s="37">
        <v>114900</v>
      </c>
      <c r="J190" s="37">
        <v>74200</v>
      </c>
      <c r="K190" s="76">
        <v>0</v>
      </c>
      <c r="L190" s="37">
        <v>396035.93</v>
      </c>
    </row>
    <row r="191" spans="1:12" customFormat="1" ht="17.25" customHeight="1" x14ac:dyDescent="0.3">
      <c r="A191" s="60" t="s">
        <v>468</v>
      </c>
      <c r="B191" s="56" t="s">
        <v>469</v>
      </c>
      <c r="C191" s="73">
        <v>353332.58</v>
      </c>
      <c r="D191" s="73">
        <v>223402.59</v>
      </c>
      <c r="E191" s="73">
        <v>248352.75</v>
      </c>
      <c r="F191" s="73">
        <v>323936.25300000003</v>
      </c>
      <c r="G191" s="73">
        <v>418000</v>
      </c>
      <c r="H191" s="73">
        <v>628800</v>
      </c>
      <c r="I191" s="73">
        <v>1142573.45</v>
      </c>
      <c r="J191" s="73">
        <v>694183.95</v>
      </c>
      <c r="K191" s="73">
        <v>0</v>
      </c>
      <c r="L191" s="73">
        <v>4032581.5729999999</v>
      </c>
    </row>
    <row r="192" spans="1:12" customFormat="1" ht="17.25" customHeight="1" x14ac:dyDescent="0.3">
      <c r="A192" s="60" t="s">
        <v>470</v>
      </c>
      <c r="B192" s="61" t="s">
        <v>471</v>
      </c>
      <c r="C192" s="37">
        <v>14700</v>
      </c>
      <c r="D192" s="37">
        <v>3400</v>
      </c>
      <c r="E192" s="37">
        <v>6000</v>
      </c>
      <c r="F192" s="37">
        <v>21500</v>
      </c>
      <c r="G192" s="37">
        <v>27000</v>
      </c>
      <c r="H192" s="37">
        <v>29950</v>
      </c>
      <c r="I192" s="37">
        <v>53900</v>
      </c>
      <c r="J192" s="37">
        <v>34300</v>
      </c>
      <c r="K192" s="76">
        <v>0</v>
      </c>
      <c r="L192" s="37">
        <v>190750</v>
      </c>
    </row>
    <row r="193" spans="1:12" customFormat="1" ht="17.25" customHeight="1" x14ac:dyDescent="0.3">
      <c r="A193" s="60" t="s">
        <v>472</v>
      </c>
      <c r="B193" s="61" t="s">
        <v>473</v>
      </c>
      <c r="C193" s="37">
        <v>56682.66</v>
      </c>
      <c r="D193" s="37">
        <v>31700</v>
      </c>
      <c r="E193" s="37">
        <v>33500</v>
      </c>
      <c r="F193" s="37">
        <v>42500</v>
      </c>
      <c r="G193" s="37">
        <v>53500</v>
      </c>
      <c r="H193" s="37">
        <v>80400</v>
      </c>
      <c r="I193" s="37">
        <v>142800</v>
      </c>
      <c r="J193" s="37">
        <v>96250</v>
      </c>
      <c r="K193" s="76">
        <v>0</v>
      </c>
      <c r="L193" s="37">
        <v>537332.66</v>
      </c>
    </row>
    <row r="194" spans="1:12" customFormat="1" ht="17.25" customHeight="1" x14ac:dyDescent="0.3">
      <c r="A194" s="60" t="s">
        <v>474</v>
      </c>
      <c r="B194" s="61" t="s">
        <v>475</v>
      </c>
      <c r="C194" s="37">
        <v>51823.86</v>
      </c>
      <c r="D194" s="37">
        <v>30686.9</v>
      </c>
      <c r="E194" s="37">
        <v>31500</v>
      </c>
      <c r="F194" s="37">
        <v>50995</v>
      </c>
      <c r="G194" s="37">
        <v>59000</v>
      </c>
      <c r="H194" s="37">
        <v>89300</v>
      </c>
      <c r="I194" s="37">
        <v>155050</v>
      </c>
      <c r="J194" s="37">
        <v>96600</v>
      </c>
      <c r="K194" s="76">
        <v>0</v>
      </c>
      <c r="L194" s="37">
        <v>564955.76</v>
      </c>
    </row>
    <row r="195" spans="1:12" customFormat="1" ht="17.25" customHeight="1" x14ac:dyDescent="0.3">
      <c r="A195" s="60" t="s">
        <v>476</v>
      </c>
      <c r="B195" s="61" t="s">
        <v>477</v>
      </c>
      <c r="C195" s="37">
        <v>39321.57</v>
      </c>
      <c r="D195" s="37">
        <v>31262.79</v>
      </c>
      <c r="E195" s="37">
        <v>27700</v>
      </c>
      <c r="F195" s="37">
        <v>37500</v>
      </c>
      <c r="G195" s="37">
        <v>51500</v>
      </c>
      <c r="H195" s="37">
        <v>86300</v>
      </c>
      <c r="I195" s="37">
        <v>146739.70000000001</v>
      </c>
      <c r="J195" s="37">
        <v>90650</v>
      </c>
      <c r="K195" s="76">
        <v>0</v>
      </c>
      <c r="L195" s="37">
        <v>510974.06</v>
      </c>
    </row>
    <row r="196" spans="1:12" customFormat="1" ht="17.25" customHeight="1" x14ac:dyDescent="0.3">
      <c r="A196" s="60" t="s">
        <v>478</v>
      </c>
      <c r="B196" s="61" t="s">
        <v>479</v>
      </c>
      <c r="C196" s="37">
        <v>36176.449999999997</v>
      </c>
      <c r="D196" s="37">
        <v>30000</v>
      </c>
      <c r="E196" s="37">
        <v>28500</v>
      </c>
      <c r="F196" s="37">
        <v>39965</v>
      </c>
      <c r="G196" s="37">
        <v>39500</v>
      </c>
      <c r="H196" s="37">
        <v>61900</v>
      </c>
      <c r="I196" s="37">
        <v>140687.5</v>
      </c>
      <c r="J196" s="37">
        <v>81900</v>
      </c>
      <c r="K196" s="76">
        <v>0</v>
      </c>
      <c r="L196" s="37">
        <v>458628.95</v>
      </c>
    </row>
    <row r="197" spans="1:12" customFormat="1" ht="17.25" customHeight="1" x14ac:dyDescent="0.3">
      <c r="A197" s="60" t="s">
        <v>480</v>
      </c>
      <c r="B197" s="61" t="s">
        <v>481</v>
      </c>
      <c r="C197" s="37">
        <v>64813.4</v>
      </c>
      <c r="D197" s="37">
        <v>40600</v>
      </c>
      <c r="E197" s="37">
        <v>47000</v>
      </c>
      <c r="F197" s="37">
        <v>53476.252999999997</v>
      </c>
      <c r="G197" s="37">
        <v>69000</v>
      </c>
      <c r="H197" s="37">
        <v>119400</v>
      </c>
      <c r="I197" s="37">
        <v>204346.25</v>
      </c>
      <c r="J197" s="37">
        <v>124383.95</v>
      </c>
      <c r="K197" s="76">
        <v>0</v>
      </c>
      <c r="L197" s="37">
        <v>723019.853</v>
      </c>
    </row>
    <row r="198" spans="1:12" customFormat="1" ht="17.25" customHeight="1" x14ac:dyDescent="0.3">
      <c r="A198" s="60" t="s">
        <v>482</v>
      </c>
      <c r="B198" s="61" t="s">
        <v>483</v>
      </c>
      <c r="C198" s="37">
        <v>12350.6</v>
      </c>
      <c r="D198" s="37">
        <v>5000</v>
      </c>
      <c r="E198" s="37">
        <v>10000</v>
      </c>
      <c r="F198" s="37">
        <v>7000</v>
      </c>
      <c r="G198" s="37">
        <v>12000</v>
      </c>
      <c r="H198" s="37">
        <v>23200</v>
      </c>
      <c r="I198" s="37">
        <v>40950</v>
      </c>
      <c r="J198" s="37">
        <v>18550</v>
      </c>
      <c r="K198" s="76">
        <v>0</v>
      </c>
      <c r="L198" s="37">
        <v>129050.6</v>
      </c>
    </row>
    <row r="199" spans="1:12" customFormat="1" ht="17.25" customHeight="1" x14ac:dyDescent="0.3">
      <c r="A199" s="60" t="s">
        <v>484</v>
      </c>
      <c r="B199" s="61" t="s">
        <v>485</v>
      </c>
      <c r="C199" s="37">
        <v>35116.86</v>
      </c>
      <c r="D199" s="37">
        <v>23666</v>
      </c>
      <c r="E199" s="37">
        <v>29152.75</v>
      </c>
      <c r="F199" s="37">
        <v>32000</v>
      </c>
      <c r="G199" s="37">
        <v>49500</v>
      </c>
      <c r="H199" s="37">
        <v>60300</v>
      </c>
      <c r="I199" s="37">
        <v>111650</v>
      </c>
      <c r="J199" s="37">
        <v>74200</v>
      </c>
      <c r="K199" s="76">
        <v>0</v>
      </c>
      <c r="L199" s="37">
        <v>415585.61</v>
      </c>
    </row>
    <row r="200" spans="1:12" customFormat="1" ht="17.25" customHeight="1" x14ac:dyDescent="0.3">
      <c r="A200" s="60" t="s">
        <v>486</v>
      </c>
      <c r="B200" s="61" t="s">
        <v>487</v>
      </c>
      <c r="C200" s="37">
        <v>14000</v>
      </c>
      <c r="D200" s="37">
        <v>10700</v>
      </c>
      <c r="E200" s="37">
        <v>12500</v>
      </c>
      <c r="F200" s="37">
        <v>14000</v>
      </c>
      <c r="G200" s="37">
        <v>15500</v>
      </c>
      <c r="H200" s="37">
        <v>24550</v>
      </c>
      <c r="I200" s="37">
        <v>47400</v>
      </c>
      <c r="J200" s="37">
        <v>29750</v>
      </c>
      <c r="K200" s="76">
        <v>0</v>
      </c>
      <c r="L200" s="37">
        <v>168400</v>
      </c>
    </row>
    <row r="201" spans="1:12" customFormat="1" ht="17.25" customHeight="1" x14ac:dyDescent="0.3">
      <c r="A201" s="60" t="s">
        <v>488</v>
      </c>
      <c r="B201" s="61" t="s">
        <v>489</v>
      </c>
      <c r="C201" s="37">
        <v>28347.18</v>
      </c>
      <c r="D201" s="37">
        <v>16386.900000000001</v>
      </c>
      <c r="E201" s="37">
        <v>22500</v>
      </c>
      <c r="F201" s="37">
        <v>25000</v>
      </c>
      <c r="G201" s="37">
        <v>41500</v>
      </c>
      <c r="H201" s="37">
        <v>53500</v>
      </c>
      <c r="I201" s="37">
        <v>99050</v>
      </c>
      <c r="J201" s="37">
        <v>47600</v>
      </c>
      <c r="K201" s="76">
        <v>0</v>
      </c>
      <c r="L201" s="37">
        <v>333884.08</v>
      </c>
    </row>
    <row r="202" spans="1:12" customFormat="1" ht="17.25" customHeight="1" x14ac:dyDescent="0.3">
      <c r="A202" s="60" t="s">
        <v>490</v>
      </c>
      <c r="B202" s="56" t="s">
        <v>491</v>
      </c>
      <c r="C202" s="73">
        <v>175084.63</v>
      </c>
      <c r="D202" s="73">
        <v>85200</v>
      </c>
      <c r="E202" s="73">
        <v>111500</v>
      </c>
      <c r="F202" s="73">
        <v>143363.024</v>
      </c>
      <c r="G202" s="73">
        <v>128000</v>
      </c>
      <c r="H202" s="73">
        <v>260054.23</v>
      </c>
      <c r="I202" s="73">
        <v>534336.005</v>
      </c>
      <c r="J202" s="73">
        <v>321786.31</v>
      </c>
      <c r="K202" s="73">
        <v>900</v>
      </c>
      <c r="L202" s="73">
        <v>1760224.199</v>
      </c>
    </row>
    <row r="203" spans="1:12" customFormat="1" ht="17.25" customHeight="1" x14ac:dyDescent="0.3">
      <c r="A203" s="60" t="s">
        <v>492</v>
      </c>
      <c r="B203" s="61" t="s">
        <v>493</v>
      </c>
      <c r="C203" s="37">
        <v>18724.93</v>
      </c>
      <c r="D203" s="37">
        <v>14300</v>
      </c>
      <c r="E203" s="37">
        <v>15500</v>
      </c>
      <c r="F203" s="37">
        <v>26463</v>
      </c>
      <c r="G203" s="37">
        <v>14000</v>
      </c>
      <c r="H203" s="37">
        <v>39200</v>
      </c>
      <c r="I203" s="37">
        <v>79192.257500000007</v>
      </c>
      <c r="J203" s="37">
        <v>47950</v>
      </c>
      <c r="K203" s="76">
        <v>0</v>
      </c>
      <c r="L203" s="37">
        <v>255330.1875</v>
      </c>
    </row>
    <row r="204" spans="1:12" customFormat="1" ht="17.25" customHeight="1" x14ac:dyDescent="0.3">
      <c r="A204" s="60" t="s">
        <v>494</v>
      </c>
      <c r="B204" s="61" t="s">
        <v>495</v>
      </c>
      <c r="C204" s="37">
        <v>36919.269999999997</v>
      </c>
      <c r="D204" s="37">
        <v>13800</v>
      </c>
      <c r="E204" s="37">
        <v>23500</v>
      </c>
      <c r="F204" s="37">
        <v>22975.006000000001</v>
      </c>
      <c r="G204" s="37">
        <v>23500</v>
      </c>
      <c r="H204" s="37">
        <v>53100</v>
      </c>
      <c r="I204" s="37">
        <v>102550</v>
      </c>
      <c r="J204" s="37">
        <v>60900</v>
      </c>
      <c r="K204" s="76">
        <v>0</v>
      </c>
      <c r="L204" s="37">
        <v>337244.27600000001</v>
      </c>
    </row>
    <row r="205" spans="1:12" customFormat="1" ht="17.25" customHeight="1" x14ac:dyDescent="0.3">
      <c r="A205" s="60" t="s">
        <v>496</v>
      </c>
      <c r="B205" s="61" t="s">
        <v>497</v>
      </c>
      <c r="C205" s="37">
        <v>12800</v>
      </c>
      <c r="D205" s="37">
        <v>3700</v>
      </c>
      <c r="E205" s="37">
        <v>7500</v>
      </c>
      <c r="F205" s="37">
        <v>7500</v>
      </c>
      <c r="G205" s="37">
        <v>5500</v>
      </c>
      <c r="H205" s="37">
        <v>13600</v>
      </c>
      <c r="I205" s="37">
        <v>32550</v>
      </c>
      <c r="J205" s="37">
        <v>21350</v>
      </c>
      <c r="K205" s="76">
        <v>0</v>
      </c>
      <c r="L205" s="37">
        <v>104500</v>
      </c>
    </row>
    <row r="206" spans="1:12" customFormat="1" ht="17.25" customHeight="1" x14ac:dyDescent="0.3">
      <c r="A206" s="60" t="s">
        <v>498</v>
      </c>
      <c r="B206" s="61" t="s">
        <v>499</v>
      </c>
      <c r="C206" s="37">
        <v>27412.95</v>
      </c>
      <c r="D206" s="37">
        <v>10400</v>
      </c>
      <c r="E206" s="37">
        <v>17000</v>
      </c>
      <c r="F206" s="37">
        <v>23000</v>
      </c>
      <c r="G206" s="37">
        <v>21000</v>
      </c>
      <c r="H206" s="37">
        <v>31454.23</v>
      </c>
      <c r="I206" s="37">
        <v>73850</v>
      </c>
      <c r="J206" s="37">
        <v>39900</v>
      </c>
      <c r="K206" s="76">
        <v>0</v>
      </c>
      <c r="L206" s="37">
        <v>244017.18</v>
      </c>
    </row>
    <row r="207" spans="1:12" customFormat="1" ht="17.25" customHeight="1" x14ac:dyDescent="0.3">
      <c r="A207" s="60" t="s">
        <v>500</v>
      </c>
      <c r="B207" s="61" t="s">
        <v>501</v>
      </c>
      <c r="C207" s="37">
        <v>29876.27</v>
      </c>
      <c r="D207" s="37">
        <v>14900</v>
      </c>
      <c r="E207" s="37">
        <v>15000</v>
      </c>
      <c r="F207" s="37">
        <v>16962.508999999998</v>
      </c>
      <c r="G207" s="37">
        <v>17500</v>
      </c>
      <c r="H207" s="37">
        <v>34500</v>
      </c>
      <c r="I207" s="37">
        <v>64900</v>
      </c>
      <c r="J207" s="37">
        <v>37100</v>
      </c>
      <c r="K207" s="76">
        <v>900</v>
      </c>
      <c r="L207" s="37">
        <v>231638.77900000001</v>
      </c>
    </row>
    <row r="208" spans="1:12" customFormat="1" ht="17.25" customHeight="1" x14ac:dyDescent="0.3">
      <c r="A208" s="60" t="s">
        <v>502</v>
      </c>
      <c r="B208" s="61" t="s">
        <v>503</v>
      </c>
      <c r="C208" s="37">
        <v>5492.18</v>
      </c>
      <c r="D208" s="37">
        <v>4100</v>
      </c>
      <c r="E208" s="37">
        <v>6500</v>
      </c>
      <c r="F208" s="37">
        <v>7487.5029999999997</v>
      </c>
      <c r="G208" s="37">
        <v>9000</v>
      </c>
      <c r="H208" s="37">
        <v>18250</v>
      </c>
      <c r="I208" s="37">
        <v>37800</v>
      </c>
      <c r="J208" s="37">
        <v>21000</v>
      </c>
      <c r="K208" s="76">
        <v>0</v>
      </c>
      <c r="L208" s="37">
        <v>109629.683</v>
      </c>
    </row>
    <row r="209" spans="1:12" customFormat="1" ht="17.25" customHeight="1" x14ac:dyDescent="0.3">
      <c r="A209" s="60" t="s">
        <v>504</v>
      </c>
      <c r="B209" s="61" t="s">
        <v>505</v>
      </c>
      <c r="C209" s="37">
        <v>43859.03</v>
      </c>
      <c r="D209" s="37">
        <v>24000</v>
      </c>
      <c r="E209" s="37">
        <v>26500</v>
      </c>
      <c r="F209" s="37">
        <v>38975.006000000001</v>
      </c>
      <c r="G209" s="37">
        <v>37500</v>
      </c>
      <c r="H209" s="37">
        <v>69950</v>
      </c>
      <c r="I209" s="37">
        <v>143493.7475</v>
      </c>
      <c r="J209" s="37">
        <v>93586.31</v>
      </c>
      <c r="K209" s="76">
        <v>0</v>
      </c>
      <c r="L209" s="37">
        <v>477864.09350000002</v>
      </c>
    </row>
    <row r="210" spans="1:12" customFormat="1" ht="17.25" customHeight="1" x14ac:dyDescent="0.3">
      <c r="A210" s="60" t="s">
        <v>506</v>
      </c>
      <c r="B210" s="56" t="s">
        <v>507</v>
      </c>
      <c r="C210" s="73">
        <v>159212.76999999999</v>
      </c>
      <c r="D210" s="73">
        <v>79485</v>
      </c>
      <c r="E210" s="73">
        <v>100954.8</v>
      </c>
      <c r="F210" s="73">
        <v>121349.985</v>
      </c>
      <c r="G210" s="73">
        <v>137363.6</v>
      </c>
      <c r="H210" s="73">
        <v>235450</v>
      </c>
      <c r="I210" s="73">
        <v>479850</v>
      </c>
      <c r="J210" s="73">
        <v>272073.51</v>
      </c>
      <c r="K210" s="73">
        <v>0</v>
      </c>
      <c r="L210" s="73">
        <v>1585739.665</v>
      </c>
    </row>
    <row r="211" spans="1:12" customFormat="1" ht="17.25" customHeight="1" x14ac:dyDescent="0.3">
      <c r="A211" s="60" t="s">
        <v>508</v>
      </c>
      <c r="B211" s="61" t="s">
        <v>509</v>
      </c>
      <c r="C211" s="37">
        <v>23974.04</v>
      </c>
      <c r="D211" s="37">
        <v>13595</v>
      </c>
      <c r="E211" s="37">
        <v>14495</v>
      </c>
      <c r="F211" s="37">
        <v>17982.503000000001</v>
      </c>
      <c r="G211" s="37">
        <v>17500</v>
      </c>
      <c r="H211" s="37">
        <v>31950</v>
      </c>
      <c r="I211" s="37">
        <v>72800</v>
      </c>
      <c r="J211" s="37">
        <v>37100</v>
      </c>
      <c r="K211" s="76">
        <v>0</v>
      </c>
      <c r="L211" s="37">
        <v>229396.54300000001</v>
      </c>
    </row>
    <row r="212" spans="1:12" customFormat="1" ht="17.25" customHeight="1" x14ac:dyDescent="0.3">
      <c r="A212" s="60" t="s">
        <v>510</v>
      </c>
      <c r="B212" s="61" t="s">
        <v>511</v>
      </c>
      <c r="C212" s="37">
        <v>62725.1</v>
      </c>
      <c r="D212" s="37">
        <v>24695</v>
      </c>
      <c r="E212" s="37">
        <v>33964.800000000003</v>
      </c>
      <c r="F212" s="37">
        <v>44927.476000000002</v>
      </c>
      <c r="G212" s="37">
        <v>51863.6</v>
      </c>
      <c r="H212" s="37">
        <v>80500</v>
      </c>
      <c r="I212" s="37">
        <v>149800</v>
      </c>
      <c r="J212" s="37">
        <v>82250</v>
      </c>
      <c r="K212" s="76">
        <v>0</v>
      </c>
      <c r="L212" s="37">
        <v>530725.97600000002</v>
      </c>
    </row>
    <row r="213" spans="1:12" customFormat="1" ht="17.25" customHeight="1" x14ac:dyDescent="0.3">
      <c r="A213" s="60" t="s">
        <v>512</v>
      </c>
      <c r="B213" s="61" t="s">
        <v>513</v>
      </c>
      <c r="C213" s="37">
        <v>14824.68</v>
      </c>
      <c r="D213" s="37">
        <v>9600</v>
      </c>
      <c r="E213" s="37">
        <v>13000</v>
      </c>
      <c r="F213" s="37">
        <v>10495</v>
      </c>
      <c r="G213" s="37">
        <v>12500</v>
      </c>
      <c r="H213" s="37">
        <v>19600</v>
      </c>
      <c r="I213" s="37">
        <v>48650</v>
      </c>
      <c r="J213" s="37">
        <v>26950</v>
      </c>
      <c r="K213" s="76">
        <v>0</v>
      </c>
      <c r="L213" s="37">
        <v>155619.68</v>
      </c>
    </row>
    <row r="214" spans="1:12" customFormat="1" ht="17.25" customHeight="1" x14ac:dyDescent="0.3">
      <c r="A214" s="60" t="s">
        <v>514</v>
      </c>
      <c r="B214" s="61" t="s">
        <v>515</v>
      </c>
      <c r="C214" s="37">
        <v>25400</v>
      </c>
      <c r="D214" s="37">
        <v>15895</v>
      </c>
      <c r="E214" s="37">
        <v>17000</v>
      </c>
      <c r="F214" s="37">
        <v>15495</v>
      </c>
      <c r="G214" s="37">
        <v>22500</v>
      </c>
      <c r="H214" s="37">
        <v>41300</v>
      </c>
      <c r="I214" s="37">
        <v>95900</v>
      </c>
      <c r="J214" s="37">
        <v>57523.51</v>
      </c>
      <c r="K214" s="76">
        <v>0</v>
      </c>
      <c r="L214" s="37">
        <v>291013.51</v>
      </c>
    </row>
    <row r="215" spans="1:12" customFormat="1" ht="17.25" customHeight="1" x14ac:dyDescent="0.3">
      <c r="A215" s="119" t="s">
        <v>516</v>
      </c>
      <c r="B215" s="64" t="s">
        <v>517</v>
      </c>
      <c r="C215" s="78">
        <v>32288.95</v>
      </c>
      <c r="D215" s="78">
        <v>15700</v>
      </c>
      <c r="E215" s="78">
        <v>22495</v>
      </c>
      <c r="F215" s="78">
        <v>32450.006000000001</v>
      </c>
      <c r="G215" s="78">
        <v>33000</v>
      </c>
      <c r="H215" s="78">
        <v>62100</v>
      </c>
      <c r="I215" s="78">
        <v>112700</v>
      </c>
      <c r="J215" s="78">
        <v>68250</v>
      </c>
      <c r="K215" s="77">
        <v>0</v>
      </c>
      <c r="L215" s="78">
        <v>378983.95600000001</v>
      </c>
    </row>
    <row r="216" spans="1:12" customFormat="1" ht="17.25" customHeight="1" x14ac:dyDescent="0.3">
      <c r="A216" s="136" t="s">
        <v>518</v>
      </c>
      <c r="B216" s="123" t="s">
        <v>519</v>
      </c>
      <c r="C216" s="73">
        <v>940127.36</v>
      </c>
      <c r="D216" s="73">
        <v>610042.65</v>
      </c>
      <c r="E216" s="73">
        <v>707600</v>
      </c>
      <c r="F216" s="73">
        <v>1008669.176</v>
      </c>
      <c r="G216" s="73">
        <v>1450995</v>
      </c>
      <c r="H216" s="73">
        <v>1641390.3470000001</v>
      </c>
      <c r="I216" s="73">
        <v>2883596.6</v>
      </c>
      <c r="J216" s="73">
        <v>1683962.5</v>
      </c>
      <c r="K216" s="73">
        <v>1400</v>
      </c>
      <c r="L216" s="73">
        <v>10927783.632999999</v>
      </c>
    </row>
    <row r="217" spans="1:12" customFormat="1" ht="17.25" customHeight="1" x14ac:dyDescent="0.3">
      <c r="A217" s="60" t="s">
        <v>520</v>
      </c>
      <c r="B217" s="66" t="s">
        <v>521</v>
      </c>
      <c r="C217" s="73">
        <v>189510.37</v>
      </c>
      <c r="D217" s="73">
        <v>123300</v>
      </c>
      <c r="E217" s="73">
        <v>128000</v>
      </c>
      <c r="F217" s="73">
        <v>161947.519</v>
      </c>
      <c r="G217" s="73">
        <v>224000</v>
      </c>
      <c r="H217" s="73">
        <v>255000</v>
      </c>
      <c r="I217" s="73">
        <v>389340</v>
      </c>
      <c r="J217" s="73">
        <v>181300</v>
      </c>
      <c r="K217" s="73">
        <v>0</v>
      </c>
      <c r="L217" s="73">
        <v>1652397.889</v>
      </c>
    </row>
    <row r="218" spans="1:12" customFormat="1" ht="17.25" customHeight="1" x14ac:dyDescent="0.3">
      <c r="A218" s="60" t="s">
        <v>522</v>
      </c>
      <c r="B218" s="61" t="s">
        <v>523</v>
      </c>
      <c r="C218" s="37">
        <v>37223.18</v>
      </c>
      <c r="D218" s="37">
        <v>20400</v>
      </c>
      <c r="E218" s="37">
        <v>16500</v>
      </c>
      <c r="F218" s="37">
        <v>17500</v>
      </c>
      <c r="G218" s="37">
        <v>27000</v>
      </c>
      <c r="H218" s="37">
        <v>34750</v>
      </c>
      <c r="I218" s="37">
        <v>40870</v>
      </c>
      <c r="J218" s="37">
        <v>21700</v>
      </c>
      <c r="K218" s="76">
        <v>0</v>
      </c>
      <c r="L218" s="37">
        <v>215943.18</v>
      </c>
    </row>
    <row r="219" spans="1:12" customFormat="1" ht="17.25" customHeight="1" x14ac:dyDescent="0.3">
      <c r="A219" s="60" t="s">
        <v>524</v>
      </c>
      <c r="B219" s="61" t="s">
        <v>525</v>
      </c>
      <c r="C219" s="37">
        <v>0</v>
      </c>
      <c r="D219" s="37">
        <v>0</v>
      </c>
      <c r="E219" s="37">
        <v>0</v>
      </c>
      <c r="F219" s="37">
        <v>0</v>
      </c>
      <c r="G219" s="37">
        <v>0</v>
      </c>
      <c r="H219" s="37">
        <v>0</v>
      </c>
      <c r="I219" s="37">
        <v>0</v>
      </c>
      <c r="J219" s="37">
        <v>0</v>
      </c>
      <c r="K219" s="76">
        <v>0</v>
      </c>
      <c r="L219" s="37">
        <v>0</v>
      </c>
    </row>
    <row r="220" spans="1:12" customFormat="1" ht="17.25" customHeight="1" x14ac:dyDescent="0.3">
      <c r="A220" s="60" t="s">
        <v>526</v>
      </c>
      <c r="B220" s="61" t="s">
        <v>527</v>
      </c>
      <c r="C220" s="37">
        <v>2500</v>
      </c>
      <c r="D220" s="37">
        <v>2000</v>
      </c>
      <c r="E220" s="37">
        <v>3500</v>
      </c>
      <c r="F220" s="37">
        <v>5000</v>
      </c>
      <c r="G220" s="37">
        <v>4000</v>
      </c>
      <c r="H220" s="37">
        <v>5050</v>
      </c>
      <c r="I220" s="37">
        <v>8050</v>
      </c>
      <c r="J220" s="37">
        <v>3500</v>
      </c>
      <c r="K220" s="76">
        <v>0</v>
      </c>
      <c r="L220" s="37">
        <v>33600</v>
      </c>
    </row>
    <row r="221" spans="1:12" customFormat="1" ht="17.25" customHeight="1" x14ac:dyDescent="0.3">
      <c r="A221" s="60" t="s">
        <v>528</v>
      </c>
      <c r="B221" s="61" t="s">
        <v>529</v>
      </c>
      <c r="C221" s="37">
        <v>6546.75</v>
      </c>
      <c r="D221" s="37">
        <v>2700</v>
      </c>
      <c r="E221" s="37">
        <v>2000</v>
      </c>
      <c r="F221" s="37">
        <v>3500</v>
      </c>
      <c r="G221" s="37">
        <v>8500</v>
      </c>
      <c r="H221" s="37">
        <v>6750</v>
      </c>
      <c r="I221" s="37">
        <v>14700</v>
      </c>
      <c r="J221" s="37">
        <v>4200</v>
      </c>
      <c r="K221" s="76">
        <v>0</v>
      </c>
      <c r="L221" s="37">
        <v>48896.75</v>
      </c>
    </row>
    <row r="222" spans="1:12" customFormat="1" ht="17.25" customHeight="1" x14ac:dyDescent="0.3">
      <c r="A222" s="60" t="s">
        <v>530</v>
      </c>
      <c r="B222" s="61" t="s">
        <v>531</v>
      </c>
      <c r="C222" s="37">
        <v>17726.86</v>
      </c>
      <c r="D222" s="37">
        <v>16700</v>
      </c>
      <c r="E222" s="37">
        <v>18000</v>
      </c>
      <c r="F222" s="37">
        <v>22487.251</v>
      </c>
      <c r="G222" s="37">
        <v>26500</v>
      </c>
      <c r="H222" s="37">
        <v>34250</v>
      </c>
      <c r="I222" s="37">
        <v>49850</v>
      </c>
      <c r="J222" s="37">
        <v>25550</v>
      </c>
      <c r="K222" s="76">
        <v>0</v>
      </c>
      <c r="L222" s="37">
        <v>211064.111</v>
      </c>
    </row>
    <row r="223" spans="1:12" customFormat="1" ht="17.25" customHeight="1" x14ac:dyDescent="0.3">
      <c r="A223" s="60" t="s">
        <v>532</v>
      </c>
      <c r="B223" s="61" t="s">
        <v>533</v>
      </c>
      <c r="C223" s="37">
        <v>9543.27</v>
      </c>
      <c r="D223" s="37">
        <v>3000</v>
      </c>
      <c r="E223" s="37">
        <v>2500</v>
      </c>
      <c r="F223" s="37">
        <v>7000</v>
      </c>
      <c r="G223" s="37">
        <v>6000</v>
      </c>
      <c r="H223" s="37">
        <v>7400</v>
      </c>
      <c r="I223" s="37">
        <v>10850</v>
      </c>
      <c r="J223" s="37">
        <v>3500</v>
      </c>
      <c r="K223" s="76">
        <v>0</v>
      </c>
      <c r="L223" s="37">
        <v>49793.27</v>
      </c>
    </row>
    <row r="224" spans="1:12" customFormat="1" ht="17.25" customHeight="1" x14ac:dyDescent="0.3">
      <c r="A224" s="60" t="s">
        <v>534</v>
      </c>
      <c r="B224" s="61" t="s">
        <v>535</v>
      </c>
      <c r="C224" s="37">
        <v>24576</v>
      </c>
      <c r="D224" s="37">
        <v>6900</v>
      </c>
      <c r="E224" s="37">
        <v>6000</v>
      </c>
      <c r="F224" s="37">
        <v>7500</v>
      </c>
      <c r="G224" s="37">
        <v>8000</v>
      </c>
      <c r="H224" s="37">
        <v>15450</v>
      </c>
      <c r="I224" s="37">
        <v>14350</v>
      </c>
      <c r="J224" s="37">
        <v>6300</v>
      </c>
      <c r="K224" s="76">
        <v>0</v>
      </c>
      <c r="L224" s="37">
        <v>89076</v>
      </c>
    </row>
    <row r="225" spans="1:12" customFormat="1" ht="17.25" customHeight="1" x14ac:dyDescent="0.3">
      <c r="A225" s="60" t="s">
        <v>536</v>
      </c>
      <c r="B225" s="61" t="s">
        <v>537</v>
      </c>
      <c r="C225" s="37">
        <v>11200</v>
      </c>
      <c r="D225" s="37">
        <v>9800</v>
      </c>
      <c r="E225" s="37">
        <v>18500</v>
      </c>
      <c r="F225" s="37">
        <v>17000</v>
      </c>
      <c r="G225" s="37">
        <v>28000</v>
      </c>
      <c r="H225" s="37">
        <v>28850</v>
      </c>
      <c r="I225" s="37">
        <v>42850</v>
      </c>
      <c r="J225" s="37">
        <v>20300</v>
      </c>
      <c r="K225" s="76">
        <v>0</v>
      </c>
      <c r="L225" s="37">
        <v>176500</v>
      </c>
    </row>
    <row r="226" spans="1:12" customFormat="1" ht="17.25" customHeight="1" x14ac:dyDescent="0.3">
      <c r="A226" s="60" t="s">
        <v>538</v>
      </c>
      <c r="B226" s="61" t="s">
        <v>539</v>
      </c>
      <c r="C226" s="37">
        <v>11473.59</v>
      </c>
      <c r="D226" s="37">
        <v>14300</v>
      </c>
      <c r="E226" s="37">
        <v>13500</v>
      </c>
      <c r="F226" s="37">
        <v>20473.511999999999</v>
      </c>
      <c r="G226" s="37">
        <v>28000</v>
      </c>
      <c r="H226" s="37">
        <v>30250</v>
      </c>
      <c r="I226" s="37">
        <v>54600</v>
      </c>
      <c r="J226" s="37">
        <v>31850</v>
      </c>
      <c r="K226" s="76">
        <v>0</v>
      </c>
      <c r="L226" s="37">
        <v>204447.10200000001</v>
      </c>
    </row>
    <row r="227" spans="1:12" customFormat="1" ht="17.25" customHeight="1" x14ac:dyDescent="0.3">
      <c r="A227" s="60" t="s">
        <v>540</v>
      </c>
      <c r="B227" s="61" t="s">
        <v>541</v>
      </c>
      <c r="C227" s="37">
        <v>3173.59</v>
      </c>
      <c r="D227" s="37">
        <v>2400</v>
      </c>
      <c r="E227" s="37">
        <v>1500</v>
      </c>
      <c r="F227" s="37">
        <v>4500</v>
      </c>
      <c r="G227" s="37">
        <v>8500</v>
      </c>
      <c r="H227" s="37">
        <v>10050</v>
      </c>
      <c r="I227" s="37">
        <v>17500</v>
      </c>
      <c r="J227" s="37">
        <v>6650</v>
      </c>
      <c r="K227" s="76">
        <v>0</v>
      </c>
      <c r="L227" s="37">
        <v>54273.59</v>
      </c>
    </row>
    <row r="228" spans="1:12" customFormat="1" ht="17.25" customHeight="1" x14ac:dyDescent="0.3">
      <c r="A228" s="60" t="s">
        <v>542</v>
      </c>
      <c r="B228" s="61" t="s">
        <v>543</v>
      </c>
      <c r="C228" s="37">
        <v>11824.68</v>
      </c>
      <c r="D228" s="37">
        <v>11200</v>
      </c>
      <c r="E228" s="37">
        <v>15000</v>
      </c>
      <c r="F228" s="37">
        <v>15000</v>
      </c>
      <c r="G228" s="37">
        <v>24000</v>
      </c>
      <c r="H228" s="37">
        <v>24800</v>
      </c>
      <c r="I228" s="37">
        <v>42350</v>
      </c>
      <c r="J228" s="37">
        <v>19600</v>
      </c>
      <c r="K228" s="76">
        <v>0</v>
      </c>
      <c r="L228" s="37">
        <v>163774.68</v>
      </c>
    </row>
    <row r="229" spans="1:12" customFormat="1" ht="17.25" customHeight="1" x14ac:dyDescent="0.3">
      <c r="A229" s="60" t="s">
        <v>544</v>
      </c>
      <c r="B229" s="61" t="s">
        <v>545</v>
      </c>
      <c r="C229" s="37">
        <v>3200</v>
      </c>
      <c r="D229" s="37">
        <v>6800</v>
      </c>
      <c r="E229" s="37">
        <v>3500</v>
      </c>
      <c r="F229" s="37">
        <v>8500</v>
      </c>
      <c r="G229" s="37">
        <v>8500</v>
      </c>
      <c r="H229" s="37">
        <v>5150</v>
      </c>
      <c r="I229" s="37">
        <v>9100</v>
      </c>
      <c r="J229" s="37">
        <v>2800</v>
      </c>
      <c r="K229" s="76">
        <v>0</v>
      </c>
      <c r="L229" s="37">
        <v>47550</v>
      </c>
    </row>
    <row r="230" spans="1:12" customFormat="1" ht="17.25" customHeight="1" x14ac:dyDescent="0.3">
      <c r="A230" s="60" t="s">
        <v>546</v>
      </c>
      <c r="B230" s="61" t="s">
        <v>547</v>
      </c>
      <c r="C230" s="37">
        <v>20040.68</v>
      </c>
      <c r="D230" s="37">
        <v>16700</v>
      </c>
      <c r="E230" s="37">
        <v>20500</v>
      </c>
      <c r="F230" s="37">
        <v>19986.756000000001</v>
      </c>
      <c r="G230" s="37">
        <v>32000</v>
      </c>
      <c r="H230" s="37">
        <v>34700</v>
      </c>
      <c r="I230" s="37">
        <v>65020</v>
      </c>
      <c r="J230" s="37">
        <v>26950</v>
      </c>
      <c r="K230" s="76">
        <v>0</v>
      </c>
      <c r="L230" s="37">
        <v>235897.43599999999</v>
      </c>
    </row>
    <row r="231" spans="1:12" customFormat="1" ht="17.25" customHeight="1" x14ac:dyDescent="0.3">
      <c r="A231" s="60" t="s">
        <v>548</v>
      </c>
      <c r="B231" s="61" t="s">
        <v>549</v>
      </c>
      <c r="C231" s="37">
        <v>30481.77</v>
      </c>
      <c r="D231" s="37">
        <v>10400</v>
      </c>
      <c r="E231" s="37">
        <v>7000</v>
      </c>
      <c r="F231" s="37">
        <v>13500</v>
      </c>
      <c r="G231" s="37">
        <v>15000</v>
      </c>
      <c r="H231" s="37">
        <v>17550</v>
      </c>
      <c r="I231" s="37">
        <v>19250</v>
      </c>
      <c r="J231" s="37">
        <v>8400</v>
      </c>
      <c r="K231" s="76">
        <v>0</v>
      </c>
      <c r="L231" s="37">
        <v>121581.77</v>
      </c>
    </row>
    <row r="232" spans="1:12" customFormat="1" ht="17.25" customHeight="1" x14ac:dyDescent="0.3">
      <c r="A232" s="60" t="s">
        <v>550</v>
      </c>
      <c r="B232" s="66" t="s">
        <v>551</v>
      </c>
      <c r="C232" s="73">
        <v>750616.99</v>
      </c>
      <c r="D232" s="73">
        <v>486742.65</v>
      </c>
      <c r="E232" s="73">
        <v>579600</v>
      </c>
      <c r="F232" s="73">
        <v>846721.65700000001</v>
      </c>
      <c r="G232" s="73">
        <v>1226995</v>
      </c>
      <c r="H232" s="73">
        <v>1386390.3470000001</v>
      </c>
      <c r="I232" s="73">
        <v>2494256.6</v>
      </c>
      <c r="J232" s="73">
        <v>1502662.5</v>
      </c>
      <c r="K232" s="73">
        <v>1400</v>
      </c>
      <c r="L232" s="73">
        <v>9275385.7440000009</v>
      </c>
    </row>
    <row r="233" spans="1:12" customFormat="1" ht="17.25" customHeight="1" x14ac:dyDescent="0.3">
      <c r="A233" s="60" t="s">
        <v>552</v>
      </c>
      <c r="B233" s="61" t="s">
        <v>553</v>
      </c>
      <c r="C233" s="37">
        <v>9646.09</v>
      </c>
      <c r="D233" s="37">
        <v>6700</v>
      </c>
      <c r="E233" s="37">
        <v>6000</v>
      </c>
      <c r="F233" s="37">
        <v>13976.587</v>
      </c>
      <c r="G233" s="37">
        <v>20500</v>
      </c>
      <c r="H233" s="37">
        <v>18800</v>
      </c>
      <c r="I233" s="37">
        <v>33250</v>
      </c>
      <c r="J233" s="37">
        <v>20300</v>
      </c>
      <c r="K233" s="76">
        <v>500</v>
      </c>
      <c r="L233" s="37">
        <v>129672.677</v>
      </c>
    </row>
    <row r="234" spans="1:12" customFormat="1" ht="17.25" customHeight="1" x14ac:dyDescent="0.3">
      <c r="A234" s="60" t="s">
        <v>554</v>
      </c>
      <c r="B234" s="61" t="s">
        <v>555</v>
      </c>
      <c r="C234" s="37">
        <v>146297.67000000001</v>
      </c>
      <c r="D234" s="37">
        <v>91037.25</v>
      </c>
      <c r="E234" s="37">
        <v>90700</v>
      </c>
      <c r="F234" s="37">
        <v>122000</v>
      </c>
      <c r="G234" s="37">
        <v>173000</v>
      </c>
      <c r="H234" s="37">
        <v>223950</v>
      </c>
      <c r="I234" s="37">
        <v>362950</v>
      </c>
      <c r="J234" s="37">
        <v>208250</v>
      </c>
      <c r="K234" s="76">
        <v>0</v>
      </c>
      <c r="L234" s="37">
        <v>1418184.92</v>
      </c>
    </row>
    <row r="235" spans="1:12" customFormat="1" ht="17.25" customHeight="1" x14ac:dyDescent="0.3">
      <c r="A235" s="60" t="s">
        <v>556</v>
      </c>
      <c r="B235" s="61" t="s">
        <v>557</v>
      </c>
      <c r="C235" s="37">
        <v>21843.27</v>
      </c>
      <c r="D235" s="37">
        <v>18200</v>
      </c>
      <c r="E235" s="37">
        <v>24000</v>
      </c>
      <c r="F235" s="37">
        <v>57470.506000000001</v>
      </c>
      <c r="G235" s="37">
        <v>69000</v>
      </c>
      <c r="H235" s="37">
        <v>66750</v>
      </c>
      <c r="I235" s="37">
        <v>142800</v>
      </c>
      <c r="J235" s="37">
        <v>85050</v>
      </c>
      <c r="K235" s="76">
        <v>900</v>
      </c>
      <c r="L235" s="37">
        <v>486013.77600000001</v>
      </c>
    </row>
    <row r="236" spans="1:12" customFormat="1" ht="17.25" customHeight="1" x14ac:dyDescent="0.3">
      <c r="A236" s="60" t="s">
        <v>558</v>
      </c>
      <c r="B236" s="61" t="s">
        <v>559</v>
      </c>
      <c r="C236" s="37">
        <v>41190.449999999997</v>
      </c>
      <c r="D236" s="37">
        <v>24700</v>
      </c>
      <c r="E236" s="37">
        <v>26500</v>
      </c>
      <c r="F236" s="37">
        <v>37463</v>
      </c>
      <c r="G236" s="37">
        <v>52000</v>
      </c>
      <c r="H236" s="37">
        <v>50900</v>
      </c>
      <c r="I236" s="37">
        <v>93800</v>
      </c>
      <c r="J236" s="37">
        <v>56350</v>
      </c>
      <c r="K236" s="76">
        <v>0</v>
      </c>
      <c r="L236" s="37">
        <v>382903.45</v>
      </c>
    </row>
    <row r="237" spans="1:12" customFormat="1" ht="17.25" customHeight="1" x14ac:dyDescent="0.3">
      <c r="A237" s="60" t="s">
        <v>560</v>
      </c>
      <c r="B237" s="61" t="s">
        <v>561</v>
      </c>
      <c r="C237" s="37">
        <v>83840.600000000006</v>
      </c>
      <c r="D237" s="37">
        <v>49600</v>
      </c>
      <c r="E237" s="37">
        <v>52000</v>
      </c>
      <c r="F237" s="37">
        <v>83947.021999999997</v>
      </c>
      <c r="G237" s="37">
        <v>119000</v>
      </c>
      <c r="H237" s="37">
        <v>135840.34700000001</v>
      </c>
      <c r="I237" s="37">
        <v>256700</v>
      </c>
      <c r="J237" s="37">
        <v>146062.5</v>
      </c>
      <c r="K237" s="76">
        <v>0</v>
      </c>
      <c r="L237" s="37">
        <v>926990.46900000004</v>
      </c>
    </row>
    <row r="238" spans="1:12" customFormat="1" ht="17.25" customHeight="1" x14ac:dyDescent="0.3">
      <c r="A238" s="60" t="s">
        <v>562</v>
      </c>
      <c r="B238" s="61" t="s">
        <v>563</v>
      </c>
      <c r="C238" s="37">
        <v>41150.449999999997</v>
      </c>
      <c r="D238" s="37">
        <v>24700</v>
      </c>
      <c r="E238" s="37">
        <v>33000</v>
      </c>
      <c r="F238" s="37">
        <v>50460.256000000001</v>
      </c>
      <c r="G238" s="37">
        <v>70500</v>
      </c>
      <c r="H238" s="37">
        <v>84000</v>
      </c>
      <c r="I238" s="37">
        <v>155050</v>
      </c>
      <c r="J238" s="37">
        <v>82250</v>
      </c>
      <c r="K238" s="76">
        <v>0</v>
      </c>
      <c r="L238" s="37">
        <v>541110.70600000001</v>
      </c>
    </row>
    <row r="239" spans="1:12" customFormat="1" ht="17.25" customHeight="1" x14ac:dyDescent="0.3">
      <c r="A239" s="60" t="s">
        <v>564</v>
      </c>
      <c r="B239" s="61" t="s">
        <v>565</v>
      </c>
      <c r="C239" s="37">
        <v>34440.269999999997</v>
      </c>
      <c r="D239" s="37">
        <v>24800</v>
      </c>
      <c r="E239" s="37">
        <v>31700</v>
      </c>
      <c r="F239" s="37">
        <v>28000</v>
      </c>
      <c r="G239" s="37">
        <v>53500</v>
      </c>
      <c r="H239" s="37">
        <v>50200</v>
      </c>
      <c r="I239" s="37">
        <v>103600</v>
      </c>
      <c r="J239" s="37">
        <v>62650</v>
      </c>
      <c r="K239" s="76">
        <v>0</v>
      </c>
      <c r="L239" s="37">
        <v>388890.27</v>
      </c>
    </row>
    <row r="240" spans="1:12" customFormat="1" ht="17.25" customHeight="1" x14ac:dyDescent="0.3">
      <c r="A240" s="60" t="s">
        <v>566</v>
      </c>
      <c r="B240" s="61" t="s">
        <v>567</v>
      </c>
      <c r="C240" s="37">
        <v>40773.129999999997</v>
      </c>
      <c r="D240" s="37">
        <v>21400</v>
      </c>
      <c r="E240" s="37">
        <v>28000</v>
      </c>
      <c r="F240" s="37">
        <v>50968.18</v>
      </c>
      <c r="G240" s="37">
        <v>65500</v>
      </c>
      <c r="H240" s="37">
        <v>62200</v>
      </c>
      <c r="I240" s="37">
        <v>126276.7</v>
      </c>
      <c r="J240" s="37">
        <v>78400</v>
      </c>
      <c r="K240" s="76">
        <v>0</v>
      </c>
      <c r="L240" s="37">
        <v>473518.01</v>
      </c>
    </row>
    <row r="241" spans="1:12" customFormat="1" ht="17.25" customHeight="1" x14ac:dyDescent="0.3">
      <c r="A241" s="60" t="s">
        <v>568</v>
      </c>
      <c r="B241" s="61" t="s">
        <v>569</v>
      </c>
      <c r="C241" s="37">
        <v>17668.04</v>
      </c>
      <c r="D241" s="37">
        <v>13042.5</v>
      </c>
      <c r="E241" s="37">
        <v>14500</v>
      </c>
      <c r="F241" s="37">
        <v>19500</v>
      </c>
      <c r="G241" s="37">
        <v>30500</v>
      </c>
      <c r="H241" s="37">
        <v>41550</v>
      </c>
      <c r="I241" s="37">
        <v>71200</v>
      </c>
      <c r="J241" s="37">
        <v>43400</v>
      </c>
      <c r="K241" s="76">
        <v>0</v>
      </c>
      <c r="L241" s="37">
        <v>251360.54</v>
      </c>
    </row>
    <row r="242" spans="1:12" customFormat="1" ht="17.25" customHeight="1" x14ac:dyDescent="0.3">
      <c r="A242" s="60" t="s">
        <v>570</v>
      </c>
      <c r="B242" s="61" t="s">
        <v>571</v>
      </c>
      <c r="C242" s="37">
        <v>42392.18</v>
      </c>
      <c r="D242" s="37">
        <v>32600</v>
      </c>
      <c r="E242" s="37">
        <v>30500</v>
      </c>
      <c r="F242" s="37">
        <v>55500</v>
      </c>
      <c r="G242" s="37">
        <v>70500</v>
      </c>
      <c r="H242" s="37">
        <v>91250</v>
      </c>
      <c r="I242" s="37">
        <v>164822.20000000001</v>
      </c>
      <c r="J242" s="37">
        <v>106050</v>
      </c>
      <c r="K242" s="76">
        <v>0</v>
      </c>
      <c r="L242" s="37">
        <v>593614.38</v>
      </c>
    </row>
    <row r="243" spans="1:12" customFormat="1" ht="17.25" customHeight="1" x14ac:dyDescent="0.3">
      <c r="A243" s="60" t="s">
        <v>572</v>
      </c>
      <c r="B243" s="61" t="s">
        <v>573</v>
      </c>
      <c r="C243" s="37">
        <v>32994.36</v>
      </c>
      <c r="D243" s="37">
        <v>19100</v>
      </c>
      <c r="E243" s="37">
        <v>30000</v>
      </c>
      <c r="F243" s="37">
        <v>42995</v>
      </c>
      <c r="G243" s="37">
        <v>75000</v>
      </c>
      <c r="H243" s="37">
        <v>85550</v>
      </c>
      <c r="I243" s="37">
        <v>136422.20000000001</v>
      </c>
      <c r="J243" s="37">
        <v>87150</v>
      </c>
      <c r="K243" s="76">
        <v>0</v>
      </c>
      <c r="L243" s="37">
        <v>509211.56</v>
      </c>
    </row>
    <row r="244" spans="1:12" customFormat="1" ht="17.25" customHeight="1" x14ac:dyDescent="0.3">
      <c r="A244" s="60" t="s">
        <v>574</v>
      </c>
      <c r="B244" s="61" t="s">
        <v>575</v>
      </c>
      <c r="C244" s="37">
        <v>26693.5</v>
      </c>
      <c r="D244" s="37">
        <v>31400</v>
      </c>
      <c r="E244" s="37">
        <v>36500</v>
      </c>
      <c r="F244" s="37">
        <v>46000</v>
      </c>
      <c r="G244" s="37">
        <v>57000</v>
      </c>
      <c r="H244" s="37">
        <v>72450</v>
      </c>
      <c r="I244" s="37">
        <v>147000</v>
      </c>
      <c r="J244" s="37">
        <v>88200</v>
      </c>
      <c r="K244" s="76">
        <v>0</v>
      </c>
      <c r="L244" s="37">
        <v>505243.5</v>
      </c>
    </row>
    <row r="245" spans="1:12" customFormat="1" ht="17.25" customHeight="1" x14ac:dyDescent="0.3">
      <c r="A245" s="60" t="s">
        <v>576</v>
      </c>
      <c r="B245" s="61" t="s">
        <v>577</v>
      </c>
      <c r="C245" s="37">
        <v>34971.86</v>
      </c>
      <c r="D245" s="37">
        <v>16300</v>
      </c>
      <c r="E245" s="37">
        <v>19000</v>
      </c>
      <c r="F245" s="37">
        <v>24000</v>
      </c>
      <c r="G245" s="37">
        <v>37500</v>
      </c>
      <c r="H245" s="37">
        <v>38900</v>
      </c>
      <c r="I245" s="37">
        <v>68950</v>
      </c>
      <c r="J245" s="37">
        <v>49350</v>
      </c>
      <c r="K245" s="76">
        <v>0</v>
      </c>
      <c r="L245" s="37">
        <v>288971.86</v>
      </c>
    </row>
    <row r="246" spans="1:12" customFormat="1" ht="17.25" customHeight="1" x14ac:dyDescent="0.3">
      <c r="A246" s="60" t="s">
        <v>578</v>
      </c>
      <c r="B246" s="61" t="s">
        <v>579</v>
      </c>
      <c r="C246" s="37">
        <v>32961.86</v>
      </c>
      <c r="D246" s="37">
        <v>19000</v>
      </c>
      <c r="E246" s="37">
        <v>24000</v>
      </c>
      <c r="F246" s="37">
        <v>28486.75</v>
      </c>
      <c r="G246" s="37">
        <v>59000</v>
      </c>
      <c r="H246" s="37">
        <v>63050</v>
      </c>
      <c r="I246" s="37">
        <v>105700</v>
      </c>
      <c r="J246" s="37">
        <v>61950</v>
      </c>
      <c r="K246" s="76">
        <v>0</v>
      </c>
      <c r="L246" s="37">
        <v>394148.61</v>
      </c>
    </row>
    <row r="247" spans="1:12" customFormat="1" ht="17.25" customHeight="1" x14ac:dyDescent="0.3">
      <c r="A247" s="60" t="s">
        <v>580</v>
      </c>
      <c r="B247" s="61" t="s">
        <v>581</v>
      </c>
      <c r="C247" s="37">
        <v>21669.68</v>
      </c>
      <c r="D247" s="37">
        <v>10786.9</v>
      </c>
      <c r="E247" s="37">
        <v>16500</v>
      </c>
      <c r="F247" s="37">
        <v>31494.1</v>
      </c>
      <c r="G247" s="37">
        <v>44495</v>
      </c>
      <c r="H247" s="37">
        <v>52950</v>
      </c>
      <c r="I247" s="37">
        <v>72800</v>
      </c>
      <c r="J247" s="37">
        <v>53200</v>
      </c>
      <c r="K247" s="76">
        <v>0</v>
      </c>
      <c r="L247" s="37">
        <v>303895.67999999999</v>
      </c>
    </row>
    <row r="248" spans="1:12" customFormat="1" ht="17.25" customHeight="1" x14ac:dyDescent="0.3">
      <c r="A248" s="60" t="s">
        <v>582</v>
      </c>
      <c r="B248" s="61" t="s">
        <v>583</v>
      </c>
      <c r="C248" s="37">
        <v>43662.54</v>
      </c>
      <c r="D248" s="37">
        <v>28200</v>
      </c>
      <c r="E248" s="37">
        <v>37000</v>
      </c>
      <c r="F248" s="37">
        <v>49500</v>
      </c>
      <c r="G248" s="37">
        <v>84500</v>
      </c>
      <c r="H248" s="37">
        <v>75250</v>
      </c>
      <c r="I248" s="37">
        <v>148400</v>
      </c>
      <c r="J248" s="37">
        <v>114100</v>
      </c>
      <c r="K248" s="76">
        <v>0</v>
      </c>
      <c r="L248" s="37">
        <v>580612.54</v>
      </c>
    </row>
    <row r="249" spans="1:12" customFormat="1" ht="17.25" customHeight="1" x14ac:dyDescent="0.3">
      <c r="A249" s="60" t="s">
        <v>584</v>
      </c>
      <c r="B249" s="61" t="s">
        <v>585</v>
      </c>
      <c r="C249" s="37">
        <v>35503.089999999997</v>
      </c>
      <c r="D249" s="37">
        <v>26100</v>
      </c>
      <c r="E249" s="37">
        <v>40200</v>
      </c>
      <c r="F249" s="37">
        <v>49486.75</v>
      </c>
      <c r="G249" s="37">
        <v>75000</v>
      </c>
      <c r="H249" s="37">
        <v>88200</v>
      </c>
      <c r="I249" s="37">
        <v>140350</v>
      </c>
      <c r="J249" s="37">
        <v>73500</v>
      </c>
      <c r="K249" s="76">
        <v>0</v>
      </c>
      <c r="L249" s="37">
        <v>528339.84</v>
      </c>
    </row>
    <row r="250" spans="1:12" customFormat="1" ht="17.25" customHeight="1" x14ac:dyDescent="0.3">
      <c r="A250" s="60" t="s">
        <v>586</v>
      </c>
      <c r="B250" s="61" t="s">
        <v>587</v>
      </c>
      <c r="C250" s="37">
        <v>30170.77</v>
      </c>
      <c r="D250" s="37">
        <v>21876</v>
      </c>
      <c r="E250" s="37">
        <v>27000</v>
      </c>
      <c r="F250" s="37">
        <v>37473.506000000001</v>
      </c>
      <c r="G250" s="37">
        <v>47000</v>
      </c>
      <c r="H250" s="37">
        <v>56350</v>
      </c>
      <c r="I250" s="37">
        <v>119735.5</v>
      </c>
      <c r="J250" s="37">
        <v>58800</v>
      </c>
      <c r="K250" s="76">
        <v>0</v>
      </c>
      <c r="L250" s="37">
        <v>398405.77600000001</v>
      </c>
    </row>
    <row r="251" spans="1:12" customFormat="1" ht="17.25" customHeight="1" x14ac:dyDescent="0.3">
      <c r="A251" s="119" t="s">
        <v>588</v>
      </c>
      <c r="B251" s="64" t="s">
        <v>589</v>
      </c>
      <c r="C251" s="78">
        <v>12747.18</v>
      </c>
      <c r="D251" s="78">
        <v>7200</v>
      </c>
      <c r="E251" s="78">
        <v>12500</v>
      </c>
      <c r="F251" s="78">
        <v>18000</v>
      </c>
      <c r="G251" s="78">
        <v>23500</v>
      </c>
      <c r="H251" s="78">
        <v>28250</v>
      </c>
      <c r="I251" s="78">
        <v>44450</v>
      </c>
      <c r="J251" s="78">
        <v>27650</v>
      </c>
      <c r="K251" s="77">
        <v>0</v>
      </c>
      <c r="L251" s="78">
        <v>174297.18</v>
      </c>
    </row>
    <row r="252" spans="1:12" customFormat="1" ht="17.25" customHeight="1" x14ac:dyDescent="0.3">
      <c r="A252" s="136" t="s">
        <v>590</v>
      </c>
      <c r="B252" s="123" t="s">
        <v>591</v>
      </c>
      <c r="C252" s="73">
        <v>2338619.16</v>
      </c>
      <c r="D252" s="73">
        <v>1463446.25</v>
      </c>
      <c r="E252" s="73">
        <v>1776363.5560000001</v>
      </c>
      <c r="F252" s="73">
        <v>2253523.1209999998</v>
      </c>
      <c r="G252" s="73">
        <v>2715129.5240000002</v>
      </c>
      <c r="H252" s="73">
        <v>4004566.2025000001</v>
      </c>
      <c r="I252" s="73">
        <v>7439557.3049999997</v>
      </c>
      <c r="J252" s="73">
        <v>4290322.1174999997</v>
      </c>
      <c r="K252" s="73">
        <v>2300</v>
      </c>
      <c r="L252" s="73">
        <v>26283827.236000001</v>
      </c>
    </row>
    <row r="253" spans="1:12" customFormat="1" ht="17.25" customHeight="1" x14ac:dyDescent="0.3">
      <c r="A253" s="60" t="s">
        <v>592</v>
      </c>
      <c r="B253" s="61" t="s">
        <v>593</v>
      </c>
      <c r="C253" s="37">
        <v>20843.27</v>
      </c>
      <c r="D253" s="37">
        <v>23000</v>
      </c>
      <c r="E253" s="37">
        <v>17450</v>
      </c>
      <c r="F253" s="37">
        <v>31500</v>
      </c>
      <c r="G253" s="37">
        <v>26500</v>
      </c>
      <c r="H253" s="37">
        <v>48050</v>
      </c>
      <c r="I253" s="37">
        <v>122337.5</v>
      </c>
      <c r="J253" s="37">
        <v>67900</v>
      </c>
      <c r="K253" s="76">
        <v>0</v>
      </c>
      <c r="L253" s="37">
        <v>357580.77</v>
      </c>
    </row>
    <row r="254" spans="1:12" customFormat="1" ht="17.25" customHeight="1" x14ac:dyDescent="0.3">
      <c r="A254" s="60" t="s">
        <v>594</v>
      </c>
      <c r="B254" s="61" t="s">
        <v>595</v>
      </c>
      <c r="C254" s="37">
        <v>36034.43</v>
      </c>
      <c r="D254" s="37">
        <v>29900</v>
      </c>
      <c r="E254" s="37">
        <v>26000</v>
      </c>
      <c r="F254" s="37">
        <v>34986.756000000001</v>
      </c>
      <c r="G254" s="37">
        <v>38500</v>
      </c>
      <c r="H254" s="37">
        <v>59900</v>
      </c>
      <c r="I254" s="37">
        <v>108300</v>
      </c>
      <c r="J254" s="37">
        <v>56350</v>
      </c>
      <c r="K254" s="76">
        <v>0</v>
      </c>
      <c r="L254" s="37">
        <v>389971.18599999999</v>
      </c>
    </row>
    <row r="255" spans="1:12" customFormat="1" ht="17.25" customHeight="1" x14ac:dyDescent="0.3">
      <c r="A255" s="60" t="s">
        <v>596</v>
      </c>
      <c r="B255" s="61" t="s">
        <v>597</v>
      </c>
      <c r="C255" s="37">
        <v>191935.32</v>
      </c>
      <c r="D255" s="37">
        <v>133586.9</v>
      </c>
      <c r="E255" s="37">
        <v>185450</v>
      </c>
      <c r="F255" s="37">
        <v>216465.003</v>
      </c>
      <c r="G255" s="37">
        <v>240000</v>
      </c>
      <c r="H255" s="37">
        <v>355270.54499999998</v>
      </c>
      <c r="I255" s="37">
        <v>685065.75</v>
      </c>
      <c r="J255" s="37">
        <v>381150</v>
      </c>
      <c r="K255" s="76">
        <v>0</v>
      </c>
      <c r="L255" s="37">
        <v>2388923.5180000002</v>
      </c>
    </row>
    <row r="256" spans="1:12" customFormat="1" ht="17.25" customHeight="1" x14ac:dyDescent="0.3">
      <c r="A256" s="60" t="s">
        <v>598</v>
      </c>
      <c r="B256" s="61" t="s">
        <v>599</v>
      </c>
      <c r="C256" s="37">
        <v>31996.54</v>
      </c>
      <c r="D256" s="37">
        <v>9700</v>
      </c>
      <c r="E256" s="37">
        <v>16500</v>
      </c>
      <c r="F256" s="37">
        <v>21913.746999999999</v>
      </c>
      <c r="G256" s="37">
        <v>23000</v>
      </c>
      <c r="H256" s="37">
        <v>30750</v>
      </c>
      <c r="I256" s="37">
        <v>66150</v>
      </c>
      <c r="J256" s="37">
        <v>42000</v>
      </c>
      <c r="K256" s="76">
        <v>0</v>
      </c>
      <c r="L256" s="37">
        <v>242010.28700000001</v>
      </c>
    </row>
    <row r="257" spans="1:12" customFormat="1" ht="17.25" customHeight="1" x14ac:dyDescent="0.3">
      <c r="A257" s="60" t="s">
        <v>600</v>
      </c>
      <c r="B257" s="61" t="s">
        <v>601</v>
      </c>
      <c r="C257" s="37">
        <v>35539.360000000001</v>
      </c>
      <c r="D257" s="37">
        <v>29200</v>
      </c>
      <c r="E257" s="37">
        <v>27500</v>
      </c>
      <c r="F257" s="37">
        <v>30500</v>
      </c>
      <c r="G257" s="37">
        <v>38500</v>
      </c>
      <c r="H257" s="37">
        <v>47450</v>
      </c>
      <c r="I257" s="37">
        <v>133700</v>
      </c>
      <c r="J257" s="37">
        <v>71050</v>
      </c>
      <c r="K257" s="76">
        <v>0</v>
      </c>
      <c r="L257" s="37">
        <v>413439.36</v>
      </c>
    </row>
    <row r="258" spans="1:12" customFormat="1" ht="17.25" customHeight="1" x14ac:dyDescent="0.3">
      <c r="A258" s="60" t="s">
        <v>602</v>
      </c>
      <c r="B258" s="61" t="s">
        <v>603</v>
      </c>
      <c r="C258" s="37">
        <v>115166.67</v>
      </c>
      <c r="D258" s="37">
        <v>73800</v>
      </c>
      <c r="E258" s="37">
        <v>83000</v>
      </c>
      <c r="F258" s="37">
        <v>87986.747000000003</v>
      </c>
      <c r="G258" s="37">
        <v>95000</v>
      </c>
      <c r="H258" s="37">
        <v>124950</v>
      </c>
      <c r="I258" s="37">
        <v>261250</v>
      </c>
      <c r="J258" s="37">
        <v>146433.95000000001</v>
      </c>
      <c r="K258" s="76">
        <v>0</v>
      </c>
      <c r="L258" s="37">
        <v>987587.36699999997</v>
      </c>
    </row>
    <row r="259" spans="1:12" customFormat="1" ht="17.25" customHeight="1" x14ac:dyDescent="0.3">
      <c r="A259" s="60" t="s">
        <v>604</v>
      </c>
      <c r="B259" s="61" t="s">
        <v>605</v>
      </c>
      <c r="C259" s="37">
        <v>9983.3799999999992</v>
      </c>
      <c r="D259" s="37">
        <v>6600</v>
      </c>
      <c r="E259" s="37">
        <v>10500</v>
      </c>
      <c r="F259" s="37">
        <v>12986.75</v>
      </c>
      <c r="G259" s="37">
        <v>12500</v>
      </c>
      <c r="H259" s="37">
        <v>19250</v>
      </c>
      <c r="I259" s="37">
        <v>33600</v>
      </c>
      <c r="J259" s="37">
        <v>23800</v>
      </c>
      <c r="K259" s="76">
        <v>0</v>
      </c>
      <c r="L259" s="37">
        <v>129220.13</v>
      </c>
    </row>
    <row r="260" spans="1:12" customFormat="1" ht="17.25" customHeight="1" x14ac:dyDescent="0.3">
      <c r="A260" s="60" t="s">
        <v>606</v>
      </c>
      <c r="B260" s="61" t="s">
        <v>607</v>
      </c>
      <c r="C260" s="37">
        <v>18488.27</v>
      </c>
      <c r="D260" s="37">
        <v>13800</v>
      </c>
      <c r="E260" s="37">
        <v>20000</v>
      </c>
      <c r="F260" s="37">
        <v>25500</v>
      </c>
      <c r="G260" s="37">
        <v>31000</v>
      </c>
      <c r="H260" s="37">
        <v>38050</v>
      </c>
      <c r="I260" s="37">
        <v>65100</v>
      </c>
      <c r="J260" s="37">
        <v>37800</v>
      </c>
      <c r="K260" s="76">
        <v>350</v>
      </c>
      <c r="L260" s="37">
        <v>250088.27</v>
      </c>
    </row>
    <row r="261" spans="1:12" customFormat="1" ht="17.25" customHeight="1" x14ac:dyDescent="0.3">
      <c r="A261" s="60" t="s">
        <v>608</v>
      </c>
      <c r="B261" s="61" t="s">
        <v>609</v>
      </c>
      <c r="C261" s="37">
        <v>10792.18</v>
      </c>
      <c r="D261" s="37">
        <v>5986.9</v>
      </c>
      <c r="E261" s="37">
        <v>15500</v>
      </c>
      <c r="F261" s="37">
        <v>14000</v>
      </c>
      <c r="G261" s="37">
        <v>17000</v>
      </c>
      <c r="H261" s="37">
        <v>22100</v>
      </c>
      <c r="I261" s="37">
        <v>35350</v>
      </c>
      <c r="J261" s="37">
        <v>31850</v>
      </c>
      <c r="K261" s="76">
        <v>0</v>
      </c>
      <c r="L261" s="37">
        <v>152579.07999999999</v>
      </c>
    </row>
    <row r="262" spans="1:12" customFormat="1" ht="17.25" customHeight="1" x14ac:dyDescent="0.3">
      <c r="A262" s="60" t="s">
        <v>610</v>
      </c>
      <c r="B262" s="61" t="s">
        <v>611</v>
      </c>
      <c r="C262" s="37">
        <v>23337.200000000001</v>
      </c>
      <c r="D262" s="37">
        <v>11500</v>
      </c>
      <c r="E262" s="37">
        <v>12500</v>
      </c>
      <c r="F262" s="37">
        <v>28000</v>
      </c>
      <c r="G262" s="37">
        <v>26000</v>
      </c>
      <c r="H262" s="37">
        <v>33350</v>
      </c>
      <c r="I262" s="37">
        <v>67200</v>
      </c>
      <c r="J262" s="37">
        <v>31150</v>
      </c>
      <c r="K262" s="76">
        <v>0</v>
      </c>
      <c r="L262" s="37">
        <v>233037.2</v>
      </c>
    </row>
    <row r="263" spans="1:12" customFormat="1" ht="17.25" customHeight="1" x14ac:dyDescent="0.3">
      <c r="A263" s="60" t="s">
        <v>612</v>
      </c>
      <c r="B263" s="61" t="s">
        <v>613</v>
      </c>
      <c r="C263" s="37">
        <v>65294.720000000001</v>
      </c>
      <c r="D263" s="37">
        <v>38386.9</v>
      </c>
      <c r="E263" s="37">
        <v>43000</v>
      </c>
      <c r="F263" s="37">
        <v>45000</v>
      </c>
      <c r="G263" s="37">
        <v>62000</v>
      </c>
      <c r="H263" s="37">
        <v>95400</v>
      </c>
      <c r="I263" s="37">
        <v>168850</v>
      </c>
      <c r="J263" s="37">
        <v>100450</v>
      </c>
      <c r="K263" s="76">
        <v>0</v>
      </c>
      <c r="L263" s="37">
        <v>618381.62</v>
      </c>
    </row>
    <row r="264" spans="1:12" customFormat="1" ht="17.25" customHeight="1" x14ac:dyDescent="0.3">
      <c r="A264" s="60" t="s">
        <v>614</v>
      </c>
      <c r="B264" s="61" t="s">
        <v>615</v>
      </c>
      <c r="C264" s="37">
        <v>46936.2</v>
      </c>
      <c r="D264" s="37">
        <v>36700</v>
      </c>
      <c r="E264" s="37">
        <v>37000</v>
      </c>
      <c r="F264" s="37">
        <v>47500</v>
      </c>
      <c r="G264" s="37">
        <v>68000</v>
      </c>
      <c r="H264" s="37">
        <v>93200</v>
      </c>
      <c r="I264" s="37">
        <v>158195</v>
      </c>
      <c r="J264" s="37">
        <v>87150</v>
      </c>
      <c r="K264" s="76">
        <v>0</v>
      </c>
      <c r="L264" s="37">
        <v>574681.19999999995</v>
      </c>
    </row>
    <row r="265" spans="1:12" customFormat="1" ht="17.25" customHeight="1" x14ac:dyDescent="0.3">
      <c r="A265" s="60" t="s">
        <v>616</v>
      </c>
      <c r="B265" s="61" t="s">
        <v>617</v>
      </c>
      <c r="C265" s="37">
        <v>56453.22</v>
      </c>
      <c r="D265" s="37">
        <v>54586.9</v>
      </c>
      <c r="E265" s="37">
        <v>49500</v>
      </c>
      <c r="F265" s="37">
        <v>70000</v>
      </c>
      <c r="G265" s="37">
        <v>97500</v>
      </c>
      <c r="H265" s="37">
        <v>133800</v>
      </c>
      <c r="I265" s="37">
        <v>240100</v>
      </c>
      <c r="J265" s="37">
        <v>154000</v>
      </c>
      <c r="K265" s="76">
        <v>0</v>
      </c>
      <c r="L265" s="37">
        <v>855940.12</v>
      </c>
    </row>
    <row r="266" spans="1:12" customFormat="1" ht="17.25" customHeight="1" x14ac:dyDescent="0.3">
      <c r="A266" s="60" t="s">
        <v>618</v>
      </c>
      <c r="B266" s="66" t="s">
        <v>619</v>
      </c>
      <c r="C266" s="73">
        <v>117157.46</v>
      </c>
      <c r="D266" s="73">
        <v>83686.899999999994</v>
      </c>
      <c r="E266" s="73">
        <v>95000</v>
      </c>
      <c r="F266" s="73">
        <v>98942.012000000002</v>
      </c>
      <c r="G266" s="73">
        <v>125486.75599999999</v>
      </c>
      <c r="H266" s="73">
        <v>191500</v>
      </c>
      <c r="I266" s="73">
        <v>333200</v>
      </c>
      <c r="J266" s="73">
        <v>195650</v>
      </c>
      <c r="K266" s="73">
        <v>900</v>
      </c>
      <c r="L266" s="73">
        <v>1241523.128</v>
      </c>
    </row>
    <row r="267" spans="1:12" customFormat="1" ht="17.25" customHeight="1" x14ac:dyDescent="0.3">
      <c r="A267" s="60" t="s">
        <v>620</v>
      </c>
      <c r="B267" s="61" t="s">
        <v>621</v>
      </c>
      <c r="C267" s="37">
        <v>9396.09</v>
      </c>
      <c r="D267" s="37">
        <v>3900</v>
      </c>
      <c r="E267" s="37">
        <v>6500</v>
      </c>
      <c r="F267" s="37">
        <v>7000</v>
      </c>
      <c r="G267" s="37">
        <v>9500</v>
      </c>
      <c r="H267" s="37">
        <v>16600</v>
      </c>
      <c r="I267" s="37">
        <v>39550</v>
      </c>
      <c r="J267" s="37">
        <v>19600</v>
      </c>
      <c r="K267" s="76">
        <v>0</v>
      </c>
      <c r="L267" s="37">
        <v>112046.09</v>
      </c>
    </row>
    <row r="268" spans="1:12" customFormat="1" ht="17.25" customHeight="1" x14ac:dyDescent="0.3">
      <c r="A268" s="60" t="s">
        <v>622</v>
      </c>
      <c r="B268" s="61" t="s">
        <v>623</v>
      </c>
      <c r="C268" s="37">
        <v>7600</v>
      </c>
      <c r="D268" s="37">
        <v>7600</v>
      </c>
      <c r="E268" s="37">
        <v>7000</v>
      </c>
      <c r="F268" s="37">
        <v>5500</v>
      </c>
      <c r="G268" s="37">
        <v>7500</v>
      </c>
      <c r="H268" s="37">
        <v>11950</v>
      </c>
      <c r="I268" s="37">
        <v>16450</v>
      </c>
      <c r="J268" s="37">
        <v>16100</v>
      </c>
      <c r="K268" s="76">
        <v>0</v>
      </c>
      <c r="L268" s="37">
        <v>79700</v>
      </c>
    </row>
    <row r="269" spans="1:12" customFormat="1" ht="17.25" customHeight="1" x14ac:dyDescent="0.3">
      <c r="A269" s="60" t="s">
        <v>624</v>
      </c>
      <c r="B269" s="61" t="s">
        <v>625</v>
      </c>
      <c r="C269" s="37">
        <v>25981.77</v>
      </c>
      <c r="D269" s="37">
        <v>17286.900000000001</v>
      </c>
      <c r="E269" s="37">
        <v>18000</v>
      </c>
      <c r="F269" s="37">
        <v>22973.506000000001</v>
      </c>
      <c r="G269" s="37">
        <v>32986.756000000001</v>
      </c>
      <c r="H269" s="37">
        <v>41250</v>
      </c>
      <c r="I269" s="37">
        <v>71750</v>
      </c>
      <c r="J269" s="37">
        <v>35350</v>
      </c>
      <c r="K269" s="76">
        <v>0</v>
      </c>
      <c r="L269" s="37">
        <v>265578.93199999997</v>
      </c>
    </row>
    <row r="270" spans="1:12" customFormat="1" ht="17.25" customHeight="1" x14ac:dyDescent="0.3">
      <c r="A270" s="60" t="s">
        <v>626</v>
      </c>
      <c r="B270" s="61" t="s">
        <v>627</v>
      </c>
      <c r="C270" s="37">
        <v>20705.38</v>
      </c>
      <c r="D270" s="37">
        <v>15300</v>
      </c>
      <c r="E270" s="37">
        <v>24000</v>
      </c>
      <c r="F270" s="37">
        <v>19973.506000000001</v>
      </c>
      <c r="G270" s="37">
        <v>19500</v>
      </c>
      <c r="H270" s="37">
        <v>32600</v>
      </c>
      <c r="I270" s="37">
        <v>59500</v>
      </c>
      <c r="J270" s="37">
        <v>31850</v>
      </c>
      <c r="K270" s="76">
        <v>0</v>
      </c>
      <c r="L270" s="37">
        <v>223428.886</v>
      </c>
    </row>
    <row r="271" spans="1:12" customFormat="1" ht="17.25" customHeight="1" x14ac:dyDescent="0.3">
      <c r="A271" s="60" t="s">
        <v>628</v>
      </c>
      <c r="B271" s="61" t="s">
        <v>629</v>
      </c>
      <c r="C271" s="37">
        <v>53474.22</v>
      </c>
      <c r="D271" s="37">
        <v>39600</v>
      </c>
      <c r="E271" s="37">
        <v>39500</v>
      </c>
      <c r="F271" s="37">
        <v>43495</v>
      </c>
      <c r="G271" s="37">
        <v>56000</v>
      </c>
      <c r="H271" s="37">
        <v>89100</v>
      </c>
      <c r="I271" s="37">
        <v>145950</v>
      </c>
      <c r="J271" s="37">
        <v>92750</v>
      </c>
      <c r="K271" s="76">
        <v>900</v>
      </c>
      <c r="L271" s="37">
        <v>560769.22</v>
      </c>
    </row>
    <row r="272" spans="1:12" customFormat="1" ht="17.25" customHeight="1" x14ac:dyDescent="0.3">
      <c r="A272" s="60" t="s">
        <v>630</v>
      </c>
      <c r="B272" s="66" t="s">
        <v>631</v>
      </c>
      <c r="C272" s="73">
        <v>388876.64</v>
      </c>
      <c r="D272" s="73">
        <v>234060.7</v>
      </c>
      <c r="E272" s="73">
        <v>279483.3</v>
      </c>
      <c r="F272" s="73">
        <v>366405.14799999999</v>
      </c>
      <c r="G272" s="73">
        <v>465332.5</v>
      </c>
      <c r="H272" s="73">
        <v>667052.84499999997</v>
      </c>
      <c r="I272" s="73">
        <v>1250926.75</v>
      </c>
      <c r="J272" s="73">
        <v>737164</v>
      </c>
      <c r="K272" s="73">
        <v>0</v>
      </c>
      <c r="L272" s="73">
        <v>4389301.8830000004</v>
      </c>
    </row>
    <row r="273" spans="1:12" customFormat="1" ht="17.25" customHeight="1" x14ac:dyDescent="0.3">
      <c r="A273" s="60" t="s">
        <v>632</v>
      </c>
      <c r="B273" s="61" t="s">
        <v>633</v>
      </c>
      <c r="C273" s="37">
        <v>48842.99</v>
      </c>
      <c r="D273" s="37">
        <v>34786.9</v>
      </c>
      <c r="E273" s="37">
        <v>32000</v>
      </c>
      <c r="F273" s="37">
        <v>57500</v>
      </c>
      <c r="G273" s="37">
        <v>65500</v>
      </c>
      <c r="H273" s="37">
        <v>105050</v>
      </c>
      <c r="I273" s="37">
        <v>168350</v>
      </c>
      <c r="J273" s="37">
        <v>106750</v>
      </c>
      <c r="K273" s="76">
        <v>0</v>
      </c>
      <c r="L273" s="37">
        <v>618779.89</v>
      </c>
    </row>
    <row r="274" spans="1:12" customFormat="1" ht="17.25" customHeight="1" x14ac:dyDescent="0.3">
      <c r="A274" s="60" t="s">
        <v>634</v>
      </c>
      <c r="B274" s="61" t="s">
        <v>635</v>
      </c>
      <c r="C274" s="37">
        <v>46856.22</v>
      </c>
      <c r="D274" s="37">
        <v>37400</v>
      </c>
      <c r="E274" s="37">
        <v>45983.3</v>
      </c>
      <c r="F274" s="37">
        <v>36473.512000000002</v>
      </c>
      <c r="G274" s="37">
        <v>57500</v>
      </c>
      <c r="H274" s="37">
        <v>80250</v>
      </c>
      <c r="I274" s="37">
        <v>144356.75</v>
      </c>
      <c r="J274" s="37">
        <v>91350</v>
      </c>
      <c r="K274" s="76">
        <v>0</v>
      </c>
      <c r="L274" s="37">
        <v>540169.78200000001</v>
      </c>
    </row>
    <row r="275" spans="1:12" customFormat="1" ht="17.25" customHeight="1" x14ac:dyDescent="0.3">
      <c r="A275" s="60" t="s">
        <v>636</v>
      </c>
      <c r="B275" s="61" t="s">
        <v>637</v>
      </c>
      <c r="C275" s="37">
        <v>37274.81</v>
      </c>
      <c r="D275" s="37">
        <v>10586.9</v>
      </c>
      <c r="E275" s="37">
        <v>17500</v>
      </c>
      <c r="F275" s="37">
        <v>31486.756000000001</v>
      </c>
      <c r="G275" s="37">
        <v>36500</v>
      </c>
      <c r="H275" s="37">
        <v>58700</v>
      </c>
      <c r="I275" s="37">
        <v>114020</v>
      </c>
      <c r="J275" s="37">
        <v>75685.5</v>
      </c>
      <c r="K275" s="76">
        <v>0</v>
      </c>
      <c r="L275" s="37">
        <v>381753.96600000001</v>
      </c>
    </row>
    <row r="276" spans="1:12" customFormat="1" ht="17.25" customHeight="1" x14ac:dyDescent="0.3">
      <c r="A276" s="60" t="s">
        <v>638</v>
      </c>
      <c r="B276" s="61" t="s">
        <v>639</v>
      </c>
      <c r="C276" s="37">
        <v>33334.36</v>
      </c>
      <c r="D276" s="37">
        <v>21700</v>
      </c>
      <c r="E276" s="37">
        <v>23000</v>
      </c>
      <c r="F276" s="37">
        <v>32471.38</v>
      </c>
      <c r="G276" s="37">
        <v>37000</v>
      </c>
      <c r="H276" s="37">
        <v>50920</v>
      </c>
      <c r="I276" s="37">
        <v>106400</v>
      </c>
      <c r="J276" s="37">
        <v>67550</v>
      </c>
      <c r="K276" s="76">
        <v>0</v>
      </c>
      <c r="L276" s="37">
        <v>372375.74</v>
      </c>
    </row>
    <row r="277" spans="1:12" customFormat="1" ht="17.25" customHeight="1" x14ac:dyDescent="0.3">
      <c r="A277" s="60" t="s">
        <v>640</v>
      </c>
      <c r="B277" s="61" t="s">
        <v>641</v>
      </c>
      <c r="C277" s="37">
        <v>8992.18</v>
      </c>
      <c r="D277" s="37">
        <v>6386.9</v>
      </c>
      <c r="E277" s="37">
        <v>5500</v>
      </c>
      <c r="F277" s="37">
        <v>9500</v>
      </c>
      <c r="G277" s="37">
        <v>7500</v>
      </c>
      <c r="H277" s="37">
        <v>11000</v>
      </c>
      <c r="I277" s="37">
        <v>41300</v>
      </c>
      <c r="J277" s="37">
        <v>16100</v>
      </c>
      <c r="K277" s="76">
        <v>0</v>
      </c>
      <c r="L277" s="37">
        <v>106279.08</v>
      </c>
    </row>
    <row r="278" spans="1:12" customFormat="1" ht="17.25" customHeight="1" x14ac:dyDescent="0.3">
      <c r="A278" s="60" t="s">
        <v>642</v>
      </c>
      <c r="B278" s="61" t="s">
        <v>643</v>
      </c>
      <c r="C278" s="37">
        <v>35831.54</v>
      </c>
      <c r="D278" s="37">
        <v>23800</v>
      </c>
      <c r="E278" s="37">
        <v>34500</v>
      </c>
      <c r="F278" s="37">
        <v>35000</v>
      </c>
      <c r="G278" s="37">
        <v>48837.5</v>
      </c>
      <c r="H278" s="37">
        <v>64650</v>
      </c>
      <c r="I278" s="37">
        <v>137200</v>
      </c>
      <c r="J278" s="37">
        <v>86450</v>
      </c>
      <c r="K278" s="76">
        <v>0</v>
      </c>
      <c r="L278" s="37">
        <v>466269.04</v>
      </c>
    </row>
    <row r="279" spans="1:12" customFormat="1" ht="17.25" customHeight="1" x14ac:dyDescent="0.3">
      <c r="A279" s="60" t="s">
        <v>644</v>
      </c>
      <c r="B279" s="61" t="s">
        <v>645</v>
      </c>
      <c r="C279" s="37">
        <v>34821.17</v>
      </c>
      <c r="D279" s="37">
        <v>12500</v>
      </c>
      <c r="E279" s="37">
        <v>15000</v>
      </c>
      <c r="F279" s="37">
        <v>17500</v>
      </c>
      <c r="G279" s="37">
        <v>21500</v>
      </c>
      <c r="H279" s="37">
        <v>38500</v>
      </c>
      <c r="I279" s="37">
        <v>72800</v>
      </c>
      <c r="J279" s="37">
        <v>45850</v>
      </c>
      <c r="K279" s="76">
        <v>0</v>
      </c>
      <c r="L279" s="37">
        <v>258471.17</v>
      </c>
    </row>
    <row r="280" spans="1:12" customFormat="1" ht="17.25" customHeight="1" x14ac:dyDescent="0.3">
      <c r="A280" s="60" t="s">
        <v>646</v>
      </c>
      <c r="B280" s="61" t="s">
        <v>647</v>
      </c>
      <c r="C280" s="37">
        <v>44215.9</v>
      </c>
      <c r="D280" s="37">
        <v>30300</v>
      </c>
      <c r="E280" s="37">
        <v>32000</v>
      </c>
      <c r="F280" s="37">
        <v>41000</v>
      </c>
      <c r="G280" s="37">
        <v>57000</v>
      </c>
      <c r="H280" s="37">
        <v>83100</v>
      </c>
      <c r="I280" s="37">
        <v>132800</v>
      </c>
      <c r="J280" s="37">
        <v>75578.5</v>
      </c>
      <c r="K280" s="76">
        <v>0</v>
      </c>
      <c r="L280" s="37">
        <v>495994.4</v>
      </c>
    </row>
    <row r="281" spans="1:12" customFormat="1" ht="17.25" customHeight="1" x14ac:dyDescent="0.3">
      <c r="A281" s="60" t="s">
        <v>648</v>
      </c>
      <c r="B281" s="61" t="s">
        <v>649</v>
      </c>
      <c r="C281" s="37">
        <v>19571.86</v>
      </c>
      <c r="D281" s="37">
        <v>7800</v>
      </c>
      <c r="E281" s="37">
        <v>8500</v>
      </c>
      <c r="F281" s="37">
        <v>15500</v>
      </c>
      <c r="G281" s="37">
        <v>13500</v>
      </c>
      <c r="H281" s="37">
        <v>17650</v>
      </c>
      <c r="I281" s="37">
        <v>50200</v>
      </c>
      <c r="J281" s="37">
        <v>28700</v>
      </c>
      <c r="K281" s="76">
        <v>0</v>
      </c>
      <c r="L281" s="37">
        <v>161421.85999999999</v>
      </c>
    </row>
    <row r="282" spans="1:12" customFormat="1" ht="17.25" customHeight="1" x14ac:dyDescent="0.3">
      <c r="A282" s="60" t="s">
        <v>650</v>
      </c>
      <c r="B282" s="61" t="s">
        <v>651</v>
      </c>
      <c r="C282" s="37">
        <v>33306.959999999999</v>
      </c>
      <c r="D282" s="37">
        <v>18600</v>
      </c>
      <c r="E282" s="37">
        <v>31000</v>
      </c>
      <c r="F282" s="37">
        <v>39000</v>
      </c>
      <c r="G282" s="37">
        <v>48495</v>
      </c>
      <c r="H282" s="37">
        <v>62150</v>
      </c>
      <c r="I282" s="37">
        <v>138250</v>
      </c>
      <c r="J282" s="37">
        <v>72800</v>
      </c>
      <c r="K282" s="76">
        <v>0</v>
      </c>
      <c r="L282" s="37">
        <v>443601.96</v>
      </c>
    </row>
    <row r="283" spans="1:12" customFormat="1" ht="17.25" customHeight="1" x14ac:dyDescent="0.3">
      <c r="A283" s="60" t="s">
        <v>652</v>
      </c>
      <c r="B283" s="61" t="s">
        <v>653</v>
      </c>
      <c r="C283" s="37">
        <v>45828.65</v>
      </c>
      <c r="D283" s="37">
        <v>30200</v>
      </c>
      <c r="E283" s="37">
        <v>34500</v>
      </c>
      <c r="F283" s="37">
        <v>50973.5</v>
      </c>
      <c r="G283" s="37">
        <v>72000</v>
      </c>
      <c r="H283" s="37">
        <v>95082.845000000001</v>
      </c>
      <c r="I283" s="37">
        <v>145250</v>
      </c>
      <c r="J283" s="37">
        <v>70350</v>
      </c>
      <c r="K283" s="76">
        <v>0</v>
      </c>
      <c r="L283" s="37">
        <v>544184.995</v>
      </c>
    </row>
    <row r="284" spans="1:12" customFormat="1" ht="17.25" customHeight="1" x14ac:dyDescent="0.3">
      <c r="A284" s="60" t="s">
        <v>654</v>
      </c>
      <c r="B284" s="66" t="s">
        <v>655</v>
      </c>
      <c r="C284" s="73">
        <v>373082.7</v>
      </c>
      <c r="D284" s="73">
        <v>185477.25</v>
      </c>
      <c r="E284" s="73">
        <v>240480.25599999999</v>
      </c>
      <c r="F284" s="73">
        <v>294886.76899999997</v>
      </c>
      <c r="G284" s="73">
        <v>349336.75599999999</v>
      </c>
      <c r="H284" s="73">
        <v>581750</v>
      </c>
      <c r="I284" s="73">
        <v>1092883.8325</v>
      </c>
      <c r="J284" s="73">
        <v>634293.75749999995</v>
      </c>
      <c r="K284" s="73">
        <v>350</v>
      </c>
      <c r="L284" s="73">
        <v>3752541.321</v>
      </c>
    </row>
    <row r="285" spans="1:12" customFormat="1" ht="17.25" customHeight="1" x14ac:dyDescent="0.3">
      <c r="A285" s="60" t="s">
        <v>656</v>
      </c>
      <c r="B285" s="61" t="s">
        <v>657</v>
      </c>
      <c r="C285" s="37">
        <v>35092.18</v>
      </c>
      <c r="D285" s="37">
        <v>16000</v>
      </c>
      <c r="E285" s="37">
        <v>22993.5</v>
      </c>
      <c r="F285" s="37">
        <v>30964.003000000001</v>
      </c>
      <c r="G285" s="37">
        <v>32000</v>
      </c>
      <c r="H285" s="37">
        <v>63100</v>
      </c>
      <c r="I285" s="37">
        <v>103600</v>
      </c>
      <c r="J285" s="37">
        <v>52243.7575</v>
      </c>
      <c r="K285" s="76">
        <v>350</v>
      </c>
      <c r="L285" s="37">
        <v>356343.44050000003</v>
      </c>
    </row>
    <row r="286" spans="1:12" customFormat="1" ht="17.25" customHeight="1" x14ac:dyDescent="0.3">
      <c r="A286" s="60" t="s">
        <v>658</v>
      </c>
      <c r="B286" s="61" t="s">
        <v>659</v>
      </c>
      <c r="C286" s="37">
        <v>24070.36</v>
      </c>
      <c r="D286" s="37">
        <v>10600</v>
      </c>
      <c r="E286" s="37">
        <v>21500</v>
      </c>
      <c r="F286" s="37">
        <v>32986.756000000001</v>
      </c>
      <c r="G286" s="37">
        <v>29350</v>
      </c>
      <c r="H286" s="37">
        <v>59900</v>
      </c>
      <c r="I286" s="37">
        <v>109682.83</v>
      </c>
      <c r="J286" s="37">
        <v>53550</v>
      </c>
      <c r="K286" s="76">
        <v>0</v>
      </c>
      <c r="L286" s="37">
        <v>341639.946</v>
      </c>
    </row>
    <row r="287" spans="1:12" customFormat="1" ht="17.25" customHeight="1" x14ac:dyDescent="0.3">
      <c r="A287" s="60" t="s">
        <v>660</v>
      </c>
      <c r="B287" s="61" t="s">
        <v>661</v>
      </c>
      <c r="C287" s="37">
        <v>17843.27</v>
      </c>
      <c r="D287" s="37">
        <v>11200</v>
      </c>
      <c r="E287" s="37">
        <v>11986.755999999999</v>
      </c>
      <c r="F287" s="37">
        <v>17000</v>
      </c>
      <c r="G287" s="37">
        <v>24500</v>
      </c>
      <c r="H287" s="37">
        <v>27300</v>
      </c>
      <c r="I287" s="37">
        <v>79525.322499999995</v>
      </c>
      <c r="J287" s="37">
        <v>43050</v>
      </c>
      <c r="K287" s="76">
        <v>0</v>
      </c>
      <c r="L287" s="37">
        <v>232405.34849999999</v>
      </c>
    </row>
    <row r="288" spans="1:12" customFormat="1" ht="17.25" customHeight="1" x14ac:dyDescent="0.3">
      <c r="A288" s="60" t="s">
        <v>662</v>
      </c>
      <c r="B288" s="61" t="s">
        <v>663</v>
      </c>
      <c r="C288" s="37">
        <v>14372.09</v>
      </c>
      <c r="D288" s="37">
        <v>12200</v>
      </c>
      <c r="E288" s="37">
        <v>11000</v>
      </c>
      <c r="F288" s="37">
        <v>15500</v>
      </c>
      <c r="G288" s="37">
        <v>17000</v>
      </c>
      <c r="H288" s="37">
        <v>29700</v>
      </c>
      <c r="I288" s="37">
        <v>59500</v>
      </c>
      <c r="J288" s="37">
        <v>41650</v>
      </c>
      <c r="K288" s="76">
        <v>0</v>
      </c>
      <c r="L288" s="37">
        <v>200922.09</v>
      </c>
    </row>
    <row r="289" spans="1:12" customFormat="1" ht="17.25" customHeight="1" x14ac:dyDescent="0.3">
      <c r="A289" s="60" t="s">
        <v>664</v>
      </c>
      <c r="B289" s="61" t="s">
        <v>665</v>
      </c>
      <c r="C289" s="37">
        <v>26371.86</v>
      </c>
      <c r="D289" s="37">
        <v>9900</v>
      </c>
      <c r="E289" s="37">
        <v>11500</v>
      </c>
      <c r="F289" s="37">
        <v>14986.75</v>
      </c>
      <c r="G289" s="37">
        <v>12500</v>
      </c>
      <c r="H289" s="37">
        <v>28650</v>
      </c>
      <c r="I289" s="37">
        <v>56700</v>
      </c>
      <c r="J289" s="37">
        <v>35000</v>
      </c>
      <c r="K289" s="76">
        <v>0</v>
      </c>
      <c r="L289" s="37">
        <v>195608.61</v>
      </c>
    </row>
    <row r="290" spans="1:12" customFormat="1" ht="17.25" customHeight="1" x14ac:dyDescent="0.3">
      <c r="A290" s="60" t="s">
        <v>666</v>
      </c>
      <c r="B290" s="61" t="s">
        <v>667</v>
      </c>
      <c r="C290" s="37">
        <v>15427.09</v>
      </c>
      <c r="D290" s="37">
        <v>11600</v>
      </c>
      <c r="E290" s="37">
        <v>8000</v>
      </c>
      <c r="F290" s="37">
        <v>13500</v>
      </c>
      <c r="G290" s="37">
        <v>12500</v>
      </c>
      <c r="H290" s="37">
        <v>25650</v>
      </c>
      <c r="I290" s="37">
        <v>51450</v>
      </c>
      <c r="J290" s="37">
        <v>29750</v>
      </c>
      <c r="K290" s="76">
        <v>0</v>
      </c>
      <c r="L290" s="37">
        <v>167877.09</v>
      </c>
    </row>
    <row r="291" spans="1:12" customFormat="1" ht="17.25" customHeight="1" x14ac:dyDescent="0.3">
      <c r="A291" s="60" t="s">
        <v>668</v>
      </c>
      <c r="B291" s="61" t="s">
        <v>669</v>
      </c>
      <c r="C291" s="37">
        <v>50203.42</v>
      </c>
      <c r="D291" s="37">
        <v>22979.25</v>
      </c>
      <c r="E291" s="37">
        <v>30000</v>
      </c>
      <c r="F291" s="37">
        <v>36975.000999999997</v>
      </c>
      <c r="G291" s="37">
        <v>45000</v>
      </c>
      <c r="H291" s="37">
        <v>72250</v>
      </c>
      <c r="I291" s="37">
        <v>150297.19</v>
      </c>
      <c r="J291" s="37">
        <v>86800</v>
      </c>
      <c r="K291" s="76">
        <v>0</v>
      </c>
      <c r="L291" s="37">
        <v>494504.86099999998</v>
      </c>
    </row>
    <row r="292" spans="1:12" customFormat="1" ht="17.25" customHeight="1" x14ac:dyDescent="0.3">
      <c r="A292" s="60" t="s">
        <v>670</v>
      </c>
      <c r="B292" s="61" t="s">
        <v>671</v>
      </c>
      <c r="C292" s="37">
        <v>49419.27</v>
      </c>
      <c r="D292" s="37">
        <v>21300</v>
      </c>
      <c r="E292" s="37">
        <v>29000</v>
      </c>
      <c r="F292" s="37">
        <v>42474.258999999998</v>
      </c>
      <c r="G292" s="37">
        <v>51500</v>
      </c>
      <c r="H292" s="37">
        <v>74650</v>
      </c>
      <c r="I292" s="37">
        <v>114750</v>
      </c>
      <c r="J292" s="37">
        <v>74550</v>
      </c>
      <c r="K292" s="76">
        <v>0</v>
      </c>
      <c r="L292" s="37">
        <v>457643.52899999998</v>
      </c>
    </row>
    <row r="293" spans="1:12" customFormat="1" ht="17.25" customHeight="1" x14ac:dyDescent="0.3">
      <c r="A293" s="60" t="s">
        <v>672</v>
      </c>
      <c r="B293" s="61" t="s">
        <v>673</v>
      </c>
      <c r="C293" s="37">
        <v>22364.04</v>
      </c>
      <c r="D293" s="37">
        <v>11798</v>
      </c>
      <c r="E293" s="37">
        <v>15500</v>
      </c>
      <c r="F293" s="37">
        <v>21500</v>
      </c>
      <c r="G293" s="37">
        <v>26500</v>
      </c>
      <c r="H293" s="37">
        <v>39600</v>
      </c>
      <c r="I293" s="37">
        <v>89722.2</v>
      </c>
      <c r="J293" s="37">
        <v>49350</v>
      </c>
      <c r="K293" s="76">
        <v>0</v>
      </c>
      <c r="L293" s="37">
        <v>276334.24</v>
      </c>
    </row>
    <row r="294" spans="1:12" customFormat="1" ht="17.25" customHeight="1" x14ac:dyDescent="0.3">
      <c r="A294" s="60" t="s">
        <v>674</v>
      </c>
      <c r="B294" s="61" t="s">
        <v>675</v>
      </c>
      <c r="C294" s="37">
        <v>24931.11</v>
      </c>
      <c r="D294" s="37">
        <v>14700</v>
      </c>
      <c r="E294" s="37">
        <v>16000</v>
      </c>
      <c r="F294" s="37">
        <v>14000</v>
      </c>
      <c r="G294" s="37">
        <v>14000</v>
      </c>
      <c r="H294" s="37">
        <v>33550</v>
      </c>
      <c r="I294" s="37">
        <v>60900</v>
      </c>
      <c r="J294" s="37">
        <v>35000</v>
      </c>
      <c r="K294" s="76">
        <v>0</v>
      </c>
      <c r="L294" s="37">
        <v>213081.11</v>
      </c>
    </row>
    <row r="295" spans="1:12" customFormat="1" ht="17.25" customHeight="1" x14ac:dyDescent="0.3">
      <c r="A295" s="60" t="s">
        <v>676</v>
      </c>
      <c r="B295" s="61" t="s">
        <v>677</v>
      </c>
      <c r="C295" s="37">
        <v>48384.38</v>
      </c>
      <c r="D295" s="37">
        <v>20900</v>
      </c>
      <c r="E295" s="37">
        <v>32000</v>
      </c>
      <c r="F295" s="37">
        <v>29000</v>
      </c>
      <c r="G295" s="37">
        <v>40000</v>
      </c>
      <c r="H295" s="37">
        <v>63250</v>
      </c>
      <c r="I295" s="37">
        <v>119456.29</v>
      </c>
      <c r="J295" s="37">
        <v>71400</v>
      </c>
      <c r="K295" s="76">
        <v>0</v>
      </c>
      <c r="L295" s="37">
        <v>424390.67</v>
      </c>
    </row>
    <row r="296" spans="1:12" customFormat="1" ht="17.25" customHeight="1" x14ac:dyDescent="0.3">
      <c r="A296" s="60" t="s">
        <v>678</v>
      </c>
      <c r="B296" s="61" t="s">
        <v>679</v>
      </c>
      <c r="C296" s="37">
        <v>44603.63</v>
      </c>
      <c r="D296" s="37">
        <v>22300</v>
      </c>
      <c r="E296" s="37">
        <v>31000</v>
      </c>
      <c r="F296" s="37">
        <v>26000</v>
      </c>
      <c r="G296" s="37">
        <v>44486.756000000001</v>
      </c>
      <c r="H296" s="37">
        <v>64150</v>
      </c>
      <c r="I296" s="37">
        <v>97300</v>
      </c>
      <c r="J296" s="37">
        <v>61950</v>
      </c>
      <c r="K296" s="76">
        <v>0</v>
      </c>
      <c r="L296" s="37">
        <v>391790.386</v>
      </c>
    </row>
    <row r="297" spans="1:12" customFormat="1" ht="17.25" customHeight="1" x14ac:dyDescent="0.3">
      <c r="A297" s="60" t="s">
        <v>680</v>
      </c>
      <c r="B297" s="66" t="s">
        <v>681</v>
      </c>
      <c r="C297" s="73">
        <v>193602</v>
      </c>
      <c r="D297" s="73">
        <v>120700</v>
      </c>
      <c r="E297" s="73">
        <v>141500</v>
      </c>
      <c r="F297" s="73">
        <v>211460.24100000001</v>
      </c>
      <c r="G297" s="73">
        <v>271000</v>
      </c>
      <c r="H297" s="73">
        <v>396052.25750000001</v>
      </c>
      <c r="I297" s="73">
        <v>703500</v>
      </c>
      <c r="J297" s="73">
        <v>397600</v>
      </c>
      <c r="K297" s="73">
        <v>350</v>
      </c>
      <c r="L297" s="73">
        <v>2435764.4985000002</v>
      </c>
    </row>
    <row r="298" spans="1:12" customFormat="1" ht="17.25" customHeight="1" x14ac:dyDescent="0.3">
      <c r="A298" s="60" t="s">
        <v>682</v>
      </c>
      <c r="B298" s="61" t="s">
        <v>683</v>
      </c>
      <c r="C298" s="37">
        <v>38385.769999999997</v>
      </c>
      <c r="D298" s="37">
        <v>27400</v>
      </c>
      <c r="E298" s="37">
        <v>32500</v>
      </c>
      <c r="F298" s="37">
        <v>45000</v>
      </c>
      <c r="G298" s="37">
        <v>52000</v>
      </c>
      <c r="H298" s="37">
        <v>94050</v>
      </c>
      <c r="I298" s="37">
        <v>192500</v>
      </c>
      <c r="J298" s="37">
        <v>93450</v>
      </c>
      <c r="K298" s="76">
        <v>0</v>
      </c>
      <c r="L298" s="37">
        <v>575285.77</v>
      </c>
    </row>
    <row r="299" spans="1:12" customFormat="1" ht="17.25" customHeight="1" x14ac:dyDescent="0.3">
      <c r="A299" s="60" t="s">
        <v>684</v>
      </c>
      <c r="B299" s="61" t="s">
        <v>685</v>
      </c>
      <c r="C299" s="37">
        <v>15747.18</v>
      </c>
      <c r="D299" s="37">
        <v>15300</v>
      </c>
      <c r="E299" s="37">
        <v>17500</v>
      </c>
      <c r="F299" s="37">
        <v>23973.493999999999</v>
      </c>
      <c r="G299" s="37">
        <v>28500</v>
      </c>
      <c r="H299" s="37">
        <v>46700</v>
      </c>
      <c r="I299" s="37">
        <v>56700</v>
      </c>
      <c r="J299" s="37">
        <v>32550</v>
      </c>
      <c r="K299" s="76">
        <v>0</v>
      </c>
      <c r="L299" s="37">
        <v>236970.674</v>
      </c>
    </row>
    <row r="300" spans="1:12" customFormat="1" ht="17.25" customHeight="1" x14ac:dyDescent="0.3">
      <c r="A300" s="60" t="s">
        <v>686</v>
      </c>
      <c r="B300" s="61" t="s">
        <v>687</v>
      </c>
      <c r="C300" s="37">
        <v>51732.95</v>
      </c>
      <c r="D300" s="37">
        <v>31400</v>
      </c>
      <c r="E300" s="37">
        <v>32500</v>
      </c>
      <c r="F300" s="37">
        <v>61486.747000000003</v>
      </c>
      <c r="G300" s="37">
        <v>79500</v>
      </c>
      <c r="H300" s="37">
        <v>102352.25750000001</v>
      </c>
      <c r="I300" s="37">
        <v>188650</v>
      </c>
      <c r="J300" s="37">
        <v>100100</v>
      </c>
      <c r="K300" s="76">
        <v>0</v>
      </c>
      <c r="L300" s="37">
        <v>647721.95449999999</v>
      </c>
    </row>
    <row r="301" spans="1:12" customFormat="1" ht="17.25" customHeight="1" x14ac:dyDescent="0.3">
      <c r="A301" s="60" t="s">
        <v>688</v>
      </c>
      <c r="B301" s="61" t="s">
        <v>689</v>
      </c>
      <c r="C301" s="37">
        <v>38917.81</v>
      </c>
      <c r="D301" s="37">
        <v>25500</v>
      </c>
      <c r="E301" s="37">
        <v>33500</v>
      </c>
      <c r="F301" s="37">
        <v>46000</v>
      </c>
      <c r="G301" s="37">
        <v>62500</v>
      </c>
      <c r="H301" s="37">
        <v>91800</v>
      </c>
      <c r="I301" s="37">
        <v>155750</v>
      </c>
      <c r="J301" s="37">
        <v>103600</v>
      </c>
      <c r="K301" s="76">
        <v>350</v>
      </c>
      <c r="L301" s="37">
        <v>557917.81000000006</v>
      </c>
    </row>
    <row r="302" spans="1:12" customFormat="1" ht="17.25" customHeight="1" x14ac:dyDescent="0.3">
      <c r="A302" s="60" t="s">
        <v>690</v>
      </c>
      <c r="B302" s="61" t="s">
        <v>691</v>
      </c>
      <c r="C302" s="37">
        <v>48818.29</v>
      </c>
      <c r="D302" s="37">
        <v>21100</v>
      </c>
      <c r="E302" s="37">
        <v>25500</v>
      </c>
      <c r="F302" s="37">
        <v>35000</v>
      </c>
      <c r="G302" s="37">
        <v>48500</v>
      </c>
      <c r="H302" s="37">
        <v>61150</v>
      </c>
      <c r="I302" s="37">
        <v>109900</v>
      </c>
      <c r="J302" s="37">
        <v>67900</v>
      </c>
      <c r="K302" s="76">
        <v>0</v>
      </c>
      <c r="L302" s="37">
        <v>417868.29</v>
      </c>
    </row>
    <row r="303" spans="1:12" customFormat="1" ht="17.25" customHeight="1" x14ac:dyDescent="0.3">
      <c r="A303" s="60" t="s">
        <v>692</v>
      </c>
      <c r="B303" s="66" t="s">
        <v>693</v>
      </c>
      <c r="C303" s="73">
        <v>395716.67</v>
      </c>
      <c r="D303" s="73">
        <v>244873.8</v>
      </c>
      <c r="E303" s="73">
        <v>306000</v>
      </c>
      <c r="F303" s="73">
        <v>404144.18699999998</v>
      </c>
      <c r="G303" s="73">
        <v>503486.75599999999</v>
      </c>
      <c r="H303" s="73">
        <v>720050</v>
      </c>
      <c r="I303" s="73">
        <v>1218748.4724999999</v>
      </c>
      <c r="J303" s="73">
        <v>718900</v>
      </c>
      <c r="K303" s="73">
        <v>350</v>
      </c>
      <c r="L303" s="73">
        <v>4512269.8854999999</v>
      </c>
    </row>
    <row r="304" spans="1:12" customFormat="1" ht="17.25" customHeight="1" x14ac:dyDescent="0.3">
      <c r="A304" s="60" t="s">
        <v>694</v>
      </c>
      <c r="B304" s="61" t="s">
        <v>695</v>
      </c>
      <c r="C304" s="37">
        <v>50365.59</v>
      </c>
      <c r="D304" s="37">
        <v>36700</v>
      </c>
      <c r="E304" s="37">
        <v>52500</v>
      </c>
      <c r="F304" s="37">
        <v>54486.756000000001</v>
      </c>
      <c r="G304" s="37">
        <v>79500</v>
      </c>
      <c r="H304" s="37">
        <v>109300</v>
      </c>
      <c r="I304" s="37">
        <v>191251.00750000001</v>
      </c>
      <c r="J304" s="37">
        <v>108500</v>
      </c>
      <c r="K304" s="76">
        <v>350</v>
      </c>
      <c r="L304" s="37">
        <v>682953.35349999997</v>
      </c>
    </row>
    <row r="305" spans="1:12" customFormat="1" ht="17.25" customHeight="1" x14ac:dyDescent="0.3">
      <c r="A305" s="60" t="s">
        <v>696</v>
      </c>
      <c r="B305" s="61" t="s">
        <v>697</v>
      </c>
      <c r="C305" s="37">
        <v>21638.27</v>
      </c>
      <c r="D305" s="37">
        <v>11100</v>
      </c>
      <c r="E305" s="37">
        <v>12500</v>
      </c>
      <c r="F305" s="37">
        <v>25486.756000000001</v>
      </c>
      <c r="G305" s="37">
        <v>28000</v>
      </c>
      <c r="H305" s="37">
        <v>47000</v>
      </c>
      <c r="I305" s="37">
        <v>65800</v>
      </c>
      <c r="J305" s="37">
        <v>50050</v>
      </c>
      <c r="K305" s="76">
        <v>0</v>
      </c>
      <c r="L305" s="37">
        <v>261575.02600000001</v>
      </c>
    </row>
    <row r="306" spans="1:12" customFormat="1" ht="17.25" customHeight="1" x14ac:dyDescent="0.3">
      <c r="A306" s="60" t="s">
        <v>698</v>
      </c>
      <c r="B306" s="61" t="s">
        <v>699</v>
      </c>
      <c r="C306" s="37">
        <v>43326.86</v>
      </c>
      <c r="D306" s="37">
        <v>33700</v>
      </c>
      <c r="E306" s="37">
        <v>42500</v>
      </c>
      <c r="F306" s="37">
        <v>55460.266000000003</v>
      </c>
      <c r="G306" s="37">
        <v>65000</v>
      </c>
      <c r="H306" s="37">
        <v>82100</v>
      </c>
      <c r="I306" s="37">
        <v>149800</v>
      </c>
      <c r="J306" s="37">
        <v>81900</v>
      </c>
      <c r="K306" s="76">
        <v>0</v>
      </c>
      <c r="L306" s="37">
        <v>553787.12600000005</v>
      </c>
    </row>
    <row r="307" spans="1:12" customFormat="1" ht="17.25" customHeight="1" x14ac:dyDescent="0.3">
      <c r="A307" s="60" t="s">
        <v>700</v>
      </c>
      <c r="B307" s="61" t="s">
        <v>701</v>
      </c>
      <c r="C307" s="37">
        <v>29638.93</v>
      </c>
      <c r="D307" s="37">
        <v>20600</v>
      </c>
      <c r="E307" s="37">
        <v>23000</v>
      </c>
      <c r="F307" s="37">
        <v>37357.500999999997</v>
      </c>
      <c r="G307" s="37">
        <v>40500</v>
      </c>
      <c r="H307" s="37">
        <v>62800</v>
      </c>
      <c r="I307" s="37">
        <v>98350</v>
      </c>
      <c r="J307" s="37">
        <v>53900</v>
      </c>
      <c r="K307" s="76">
        <v>0</v>
      </c>
      <c r="L307" s="37">
        <v>366146.43099999998</v>
      </c>
    </row>
    <row r="308" spans="1:12" customFormat="1" ht="17.25" customHeight="1" x14ac:dyDescent="0.3">
      <c r="A308" s="60" t="s">
        <v>702</v>
      </c>
      <c r="B308" s="61" t="s">
        <v>703</v>
      </c>
      <c r="C308" s="37">
        <v>47090.02</v>
      </c>
      <c r="D308" s="37">
        <v>25700</v>
      </c>
      <c r="E308" s="37">
        <v>30500</v>
      </c>
      <c r="F308" s="37">
        <v>38432.377999999997</v>
      </c>
      <c r="G308" s="37">
        <v>49486.756000000001</v>
      </c>
      <c r="H308" s="37">
        <v>82650</v>
      </c>
      <c r="I308" s="37">
        <v>143850</v>
      </c>
      <c r="J308" s="37">
        <v>89250</v>
      </c>
      <c r="K308" s="76">
        <v>0</v>
      </c>
      <c r="L308" s="37">
        <v>506959.15399999998</v>
      </c>
    </row>
    <row r="309" spans="1:12" customFormat="1" ht="17.25" customHeight="1" x14ac:dyDescent="0.3">
      <c r="A309" s="60" t="s">
        <v>704</v>
      </c>
      <c r="B309" s="61" t="s">
        <v>705</v>
      </c>
      <c r="C309" s="37">
        <v>23163.61</v>
      </c>
      <c r="D309" s="37">
        <v>15400</v>
      </c>
      <c r="E309" s="37">
        <v>14500</v>
      </c>
      <c r="F309" s="37">
        <v>20973.506000000001</v>
      </c>
      <c r="G309" s="37">
        <v>28000</v>
      </c>
      <c r="H309" s="37">
        <v>34300</v>
      </c>
      <c r="I309" s="37">
        <v>68600</v>
      </c>
      <c r="J309" s="37">
        <v>45500</v>
      </c>
      <c r="K309" s="76">
        <v>0</v>
      </c>
      <c r="L309" s="37">
        <v>250437.11600000001</v>
      </c>
    </row>
    <row r="310" spans="1:12" customFormat="1" ht="17.25" customHeight="1" x14ac:dyDescent="0.3">
      <c r="A310" s="60" t="s">
        <v>706</v>
      </c>
      <c r="B310" s="61" t="s">
        <v>707</v>
      </c>
      <c r="C310" s="37">
        <v>20118.84</v>
      </c>
      <c r="D310" s="37">
        <v>15186.9</v>
      </c>
      <c r="E310" s="37">
        <v>20000</v>
      </c>
      <c r="F310" s="37">
        <v>19000</v>
      </c>
      <c r="G310" s="37">
        <v>23000</v>
      </c>
      <c r="H310" s="37">
        <v>26100</v>
      </c>
      <c r="I310" s="37">
        <v>55222.625</v>
      </c>
      <c r="J310" s="37">
        <v>36050</v>
      </c>
      <c r="K310" s="76">
        <v>0</v>
      </c>
      <c r="L310" s="37">
        <v>214678.36499999999</v>
      </c>
    </row>
    <row r="311" spans="1:12" customFormat="1" ht="17.25" customHeight="1" x14ac:dyDescent="0.3">
      <c r="A311" s="60" t="s">
        <v>708</v>
      </c>
      <c r="B311" s="61" t="s">
        <v>709</v>
      </c>
      <c r="C311" s="37">
        <v>37306.22</v>
      </c>
      <c r="D311" s="37">
        <v>24400</v>
      </c>
      <c r="E311" s="37">
        <v>28000</v>
      </c>
      <c r="F311" s="37">
        <v>31486.756000000001</v>
      </c>
      <c r="G311" s="37">
        <v>43000</v>
      </c>
      <c r="H311" s="37">
        <v>62700</v>
      </c>
      <c r="I311" s="37">
        <v>103950</v>
      </c>
      <c r="J311" s="37">
        <v>69650</v>
      </c>
      <c r="K311" s="76">
        <v>0</v>
      </c>
      <c r="L311" s="37">
        <v>400492.97600000002</v>
      </c>
    </row>
    <row r="312" spans="1:12" customFormat="1" ht="17.25" customHeight="1" x14ac:dyDescent="0.3">
      <c r="A312" s="60" t="s">
        <v>710</v>
      </c>
      <c r="B312" s="61" t="s">
        <v>711</v>
      </c>
      <c r="C312" s="37">
        <v>38690.449999999997</v>
      </c>
      <c r="D312" s="37">
        <v>17586.900000000001</v>
      </c>
      <c r="E312" s="37">
        <v>24500</v>
      </c>
      <c r="F312" s="37">
        <v>26500</v>
      </c>
      <c r="G312" s="37">
        <v>32500</v>
      </c>
      <c r="H312" s="37">
        <v>54400</v>
      </c>
      <c r="I312" s="37">
        <v>83249.84</v>
      </c>
      <c r="J312" s="37">
        <v>49350</v>
      </c>
      <c r="K312" s="76">
        <v>0</v>
      </c>
      <c r="L312" s="37">
        <v>326777.19</v>
      </c>
    </row>
    <row r="313" spans="1:12" customFormat="1" ht="17.25" customHeight="1" x14ac:dyDescent="0.3">
      <c r="A313" s="60" t="s">
        <v>712</v>
      </c>
      <c r="B313" s="61" t="s">
        <v>713</v>
      </c>
      <c r="C313" s="37">
        <v>59001.88</v>
      </c>
      <c r="D313" s="37">
        <v>28000</v>
      </c>
      <c r="E313" s="37">
        <v>34000</v>
      </c>
      <c r="F313" s="37">
        <v>58473.512000000002</v>
      </c>
      <c r="G313" s="37">
        <v>70000</v>
      </c>
      <c r="H313" s="37">
        <v>99100</v>
      </c>
      <c r="I313" s="37">
        <v>165200</v>
      </c>
      <c r="J313" s="37">
        <v>81550</v>
      </c>
      <c r="K313" s="76">
        <v>0</v>
      </c>
      <c r="L313" s="37">
        <v>595325.39199999999</v>
      </c>
    </row>
    <row r="314" spans="1:12" customFormat="1" ht="17.25" customHeight="1" x14ac:dyDescent="0.3">
      <c r="A314" s="60" t="s">
        <v>714</v>
      </c>
      <c r="B314" s="61" t="s">
        <v>715</v>
      </c>
      <c r="C314" s="37">
        <v>25376</v>
      </c>
      <c r="D314" s="37">
        <v>16500</v>
      </c>
      <c r="E314" s="37">
        <v>24000</v>
      </c>
      <c r="F314" s="37">
        <v>36486.756000000001</v>
      </c>
      <c r="G314" s="37">
        <v>44500</v>
      </c>
      <c r="H314" s="37">
        <v>59600</v>
      </c>
      <c r="I314" s="37">
        <v>93475</v>
      </c>
      <c r="J314" s="37">
        <v>53200</v>
      </c>
      <c r="K314" s="76">
        <v>0</v>
      </c>
      <c r="L314" s="37">
        <v>353137.75599999999</v>
      </c>
    </row>
    <row r="315" spans="1:12" customFormat="1" ht="17.25" customHeight="1" x14ac:dyDescent="0.3">
      <c r="A315" s="60" t="s">
        <v>716</v>
      </c>
      <c r="B315" s="66" t="s">
        <v>717</v>
      </c>
      <c r="C315" s="73">
        <v>207382.93</v>
      </c>
      <c r="D315" s="73">
        <v>127900</v>
      </c>
      <c r="E315" s="73">
        <v>170000</v>
      </c>
      <c r="F315" s="73">
        <v>211345.761</v>
      </c>
      <c r="G315" s="73">
        <v>224986.75599999999</v>
      </c>
      <c r="H315" s="73">
        <v>346640.55499999999</v>
      </c>
      <c r="I315" s="73">
        <v>695100</v>
      </c>
      <c r="J315" s="73">
        <v>375630.41</v>
      </c>
      <c r="K315" s="73">
        <v>0</v>
      </c>
      <c r="L315" s="73">
        <v>2358986.412</v>
      </c>
    </row>
    <row r="316" spans="1:12" customFormat="1" ht="17.25" customHeight="1" x14ac:dyDescent="0.3">
      <c r="A316" s="60" t="s">
        <v>718</v>
      </c>
      <c r="B316" s="61" t="s">
        <v>719</v>
      </c>
      <c r="C316" s="37">
        <v>13096.09</v>
      </c>
      <c r="D316" s="37">
        <v>4500</v>
      </c>
      <c r="E316" s="37">
        <v>8000</v>
      </c>
      <c r="F316" s="37">
        <v>11000</v>
      </c>
      <c r="G316" s="37">
        <v>14500</v>
      </c>
      <c r="H316" s="37">
        <v>17250</v>
      </c>
      <c r="I316" s="37">
        <v>30450</v>
      </c>
      <c r="J316" s="37">
        <v>21350</v>
      </c>
      <c r="K316" s="76">
        <v>0</v>
      </c>
      <c r="L316" s="37">
        <v>120146.09</v>
      </c>
    </row>
    <row r="317" spans="1:12" customFormat="1" ht="17.25" customHeight="1" x14ac:dyDescent="0.3">
      <c r="A317" s="60" t="s">
        <v>720</v>
      </c>
      <c r="B317" s="61" t="s">
        <v>721</v>
      </c>
      <c r="C317" s="37">
        <v>33190.93</v>
      </c>
      <c r="D317" s="37">
        <v>20000</v>
      </c>
      <c r="E317" s="37">
        <v>25000</v>
      </c>
      <c r="F317" s="37">
        <v>33960.256000000001</v>
      </c>
      <c r="G317" s="37">
        <v>25500</v>
      </c>
      <c r="H317" s="37">
        <v>48518.355000000003</v>
      </c>
      <c r="I317" s="37">
        <v>101850</v>
      </c>
      <c r="J317" s="37">
        <v>45495</v>
      </c>
      <c r="K317" s="76">
        <v>0</v>
      </c>
      <c r="L317" s="37">
        <v>333514.54100000003</v>
      </c>
    </row>
    <row r="318" spans="1:12" customFormat="1" ht="17.25" customHeight="1" x14ac:dyDescent="0.3">
      <c r="A318" s="60" t="s">
        <v>722</v>
      </c>
      <c r="B318" s="61" t="s">
        <v>723</v>
      </c>
      <c r="C318" s="37">
        <v>43503.199999999997</v>
      </c>
      <c r="D318" s="37">
        <v>16600</v>
      </c>
      <c r="E318" s="37">
        <v>33500</v>
      </c>
      <c r="F318" s="37">
        <v>33486.756000000001</v>
      </c>
      <c r="G318" s="37">
        <v>45000</v>
      </c>
      <c r="H318" s="37">
        <v>60500</v>
      </c>
      <c r="I318" s="37">
        <v>114800</v>
      </c>
      <c r="J318" s="37">
        <v>58100</v>
      </c>
      <c r="K318" s="76">
        <v>0</v>
      </c>
      <c r="L318" s="37">
        <v>405489.95600000001</v>
      </c>
    </row>
    <row r="319" spans="1:12" customFormat="1" ht="17.25" customHeight="1" x14ac:dyDescent="0.3">
      <c r="A319" s="60" t="s">
        <v>724</v>
      </c>
      <c r="B319" s="61" t="s">
        <v>725</v>
      </c>
      <c r="C319" s="37">
        <v>11351.09</v>
      </c>
      <c r="D319" s="37">
        <v>9100</v>
      </c>
      <c r="E319" s="37">
        <v>9500</v>
      </c>
      <c r="F319" s="37">
        <v>16500</v>
      </c>
      <c r="G319" s="37">
        <v>10000</v>
      </c>
      <c r="H319" s="37">
        <v>20850</v>
      </c>
      <c r="I319" s="37">
        <v>51100</v>
      </c>
      <c r="J319" s="37">
        <v>29400</v>
      </c>
      <c r="K319" s="76">
        <v>0</v>
      </c>
      <c r="L319" s="37">
        <v>157801.09</v>
      </c>
    </row>
    <row r="320" spans="1:12" customFormat="1" ht="17.25" customHeight="1" x14ac:dyDescent="0.3">
      <c r="A320" s="60" t="s">
        <v>726</v>
      </c>
      <c r="B320" s="61" t="s">
        <v>727</v>
      </c>
      <c r="C320" s="37">
        <v>41326.699999999997</v>
      </c>
      <c r="D320" s="37">
        <v>32400</v>
      </c>
      <c r="E320" s="37">
        <v>39500</v>
      </c>
      <c r="F320" s="37">
        <v>45000</v>
      </c>
      <c r="G320" s="37">
        <v>64000</v>
      </c>
      <c r="H320" s="37">
        <v>90762.2</v>
      </c>
      <c r="I320" s="37">
        <v>170100</v>
      </c>
      <c r="J320" s="37">
        <v>85050</v>
      </c>
      <c r="K320" s="76">
        <v>0</v>
      </c>
      <c r="L320" s="37">
        <v>568138.9</v>
      </c>
    </row>
    <row r="321" spans="1:12" customFormat="1" ht="17.25" customHeight="1" x14ac:dyDescent="0.3">
      <c r="A321" s="60" t="s">
        <v>728</v>
      </c>
      <c r="B321" s="61" t="s">
        <v>729</v>
      </c>
      <c r="C321" s="37">
        <v>45191.360000000001</v>
      </c>
      <c r="D321" s="37">
        <v>35200</v>
      </c>
      <c r="E321" s="37">
        <v>36000</v>
      </c>
      <c r="F321" s="37">
        <v>50411.245999999999</v>
      </c>
      <c r="G321" s="37">
        <v>50986.756000000001</v>
      </c>
      <c r="H321" s="37">
        <v>79410</v>
      </c>
      <c r="I321" s="37">
        <v>171500</v>
      </c>
      <c r="J321" s="37">
        <v>98785.41</v>
      </c>
      <c r="K321" s="76">
        <v>0</v>
      </c>
      <c r="L321" s="37">
        <v>567484.772</v>
      </c>
    </row>
    <row r="322" spans="1:12" customFormat="1" ht="17.25" customHeight="1" x14ac:dyDescent="0.3">
      <c r="A322" s="119" t="s">
        <v>730</v>
      </c>
      <c r="B322" s="64" t="s">
        <v>731</v>
      </c>
      <c r="C322" s="78">
        <v>19723.560000000001</v>
      </c>
      <c r="D322" s="78">
        <v>10100</v>
      </c>
      <c r="E322" s="78">
        <v>18500</v>
      </c>
      <c r="F322" s="78">
        <v>20987.503000000001</v>
      </c>
      <c r="G322" s="78">
        <v>15000</v>
      </c>
      <c r="H322" s="78">
        <v>29350</v>
      </c>
      <c r="I322" s="78">
        <v>55300</v>
      </c>
      <c r="J322" s="78">
        <v>37450</v>
      </c>
      <c r="K322" s="77">
        <v>0</v>
      </c>
      <c r="L322" s="78">
        <v>206411.06299999999</v>
      </c>
    </row>
    <row r="323" spans="1:12" customFormat="1" ht="17.25" customHeight="1" x14ac:dyDescent="0.3">
      <c r="A323" s="136" t="s">
        <v>732</v>
      </c>
      <c r="B323" s="123" t="s">
        <v>733</v>
      </c>
      <c r="C323" s="73">
        <v>1216147.53</v>
      </c>
      <c r="D323" s="73">
        <v>651751.88</v>
      </c>
      <c r="E323" s="73">
        <v>848996.11699999997</v>
      </c>
      <c r="F323" s="73">
        <v>1004751.701</v>
      </c>
      <c r="G323" s="73">
        <v>1240216.013</v>
      </c>
      <c r="H323" s="73">
        <v>1957155.01</v>
      </c>
      <c r="I323" s="73">
        <v>3514536.65</v>
      </c>
      <c r="J323" s="73">
        <v>2043169.5075000001</v>
      </c>
      <c r="K323" s="73">
        <v>700</v>
      </c>
      <c r="L323" s="73">
        <v>12477424.408500001</v>
      </c>
    </row>
    <row r="324" spans="1:12" customFormat="1" ht="17.25" customHeight="1" x14ac:dyDescent="0.3">
      <c r="A324" s="60" t="s">
        <v>734</v>
      </c>
      <c r="B324" s="61" t="s">
        <v>735</v>
      </c>
      <c r="C324" s="37">
        <v>39575.72</v>
      </c>
      <c r="D324" s="37">
        <v>23700</v>
      </c>
      <c r="E324" s="37">
        <v>41986.75</v>
      </c>
      <c r="F324" s="37">
        <v>41903</v>
      </c>
      <c r="G324" s="37">
        <v>62000</v>
      </c>
      <c r="H324" s="37">
        <v>97050</v>
      </c>
      <c r="I324" s="37">
        <v>156600</v>
      </c>
      <c r="J324" s="37">
        <v>85036.15</v>
      </c>
      <c r="K324" s="76">
        <v>350</v>
      </c>
      <c r="L324" s="37">
        <v>548201.62</v>
      </c>
    </row>
    <row r="325" spans="1:12" customFormat="1" ht="17.25" customHeight="1" x14ac:dyDescent="0.3">
      <c r="A325" s="60" t="s">
        <v>736</v>
      </c>
      <c r="B325" s="61" t="s">
        <v>737</v>
      </c>
      <c r="C325" s="37">
        <v>75607.59</v>
      </c>
      <c r="D325" s="37">
        <v>52800</v>
      </c>
      <c r="E325" s="37">
        <v>61000</v>
      </c>
      <c r="F325" s="37">
        <v>69986.75</v>
      </c>
      <c r="G325" s="37">
        <v>82971.600000000006</v>
      </c>
      <c r="H325" s="37">
        <v>105800</v>
      </c>
      <c r="I325" s="37">
        <v>207350</v>
      </c>
      <c r="J325" s="37">
        <v>109900</v>
      </c>
      <c r="K325" s="76">
        <v>0</v>
      </c>
      <c r="L325" s="37">
        <v>765415.94</v>
      </c>
    </row>
    <row r="326" spans="1:12" customFormat="1" ht="17.25" customHeight="1" x14ac:dyDescent="0.3">
      <c r="A326" s="60" t="s">
        <v>738</v>
      </c>
      <c r="B326" s="61" t="s">
        <v>739</v>
      </c>
      <c r="C326" s="37">
        <v>44103.24</v>
      </c>
      <c r="D326" s="37">
        <v>25100</v>
      </c>
      <c r="E326" s="37">
        <v>43000</v>
      </c>
      <c r="F326" s="37">
        <v>53000</v>
      </c>
      <c r="G326" s="37">
        <v>64500</v>
      </c>
      <c r="H326" s="37">
        <v>101900</v>
      </c>
      <c r="I326" s="37">
        <v>154700</v>
      </c>
      <c r="J326" s="37">
        <v>94983.8</v>
      </c>
      <c r="K326" s="76">
        <v>0</v>
      </c>
      <c r="L326" s="37">
        <v>581287.04</v>
      </c>
    </row>
    <row r="327" spans="1:12" customFormat="1" ht="17.25" customHeight="1" x14ac:dyDescent="0.3">
      <c r="A327" s="60" t="s">
        <v>740</v>
      </c>
      <c r="B327" s="61" t="s">
        <v>741</v>
      </c>
      <c r="C327" s="37">
        <v>103185.79</v>
      </c>
      <c r="D327" s="37">
        <v>48400</v>
      </c>
      <c r="E327" s="37">
        <v>70486.75</v>
      </c>
      <c r="F327" s="37">
        <v>77986.747000000003</v>
      </c>
      <c r="G327" s="37">
        <v>83821.342999999993</v>
      </c>
      <c r="H327" s="37">
        <v>155411.25</v>
      </c>
      <c r="I327" s="37">
        <v>259000</v>
      </c>
      <c r="J327" s="37">
        <v>151887.5</v>
      </c>
      <c r="K327" s="76">
        <v>0</v>
      </c>
      <c r="L327" s="37">
        <v>950179.38</v>
      </c>
    </row>
    <row r="328" spans="1:12" customFormat="1" ht="17.25" customHeight="1" x14ac:dyDescent="0.3">
      <c r="A328" s="60" t="s">
        <v>742</v>
      </c>
      <c r="B328" s="61" t="s">
        <v>743</v>
      </c>
      <c r="C328" s="37">
        <v>85811.61</v>
      </c>
      <c r="D328" s="37">
        <v>54400</v>
      </c>
      <c r="E328" s="37">
        <v>78958.58</v>
      </c>
      <c r="F328" s="37">
        <v>87973.56</v>
      </c>
      <c r="G328" s="37">
        <v>102986</v>
      </c>
      <c r="H328" s="37">
        <v>144900</v>
      </c>
      <c r="I328" s="37">
        <v>239900</v>
      </c>
      <c r="J328" s="37">
        <v>132300</v>
      </c>
      <c r="K328" s="76">
        <v>0</v>
      </c>
      <c r="L328" s="37">
        <v>927229.75</v>
      </c>
    </row>
    <row r="329" spans="1:12" customFormat="1" ht="17.25" customHeight="1" x14ac:dyDescent="0.3">
      <c r="A329" s="60" t="s">
        <v>744</v>
      </c>
      <c r="B329" s="61" t="s">
        <v>745</v>
      </c>
      <c r="C329" s="37">
        <v>0</v>
      </c>
      <c r="D329" s="37">
        <v>0</v>
      </c>
      <c r="E329" s="37">
        <v>0</v>
      </c>
      <c r="F329" s="37">
        <v>0</v>
      </c>
      <c r="G329" s="37">
        <v>0</v>
      </c>
      <c r="H329" s="37">
        <v>0</v>
      </c>
      <c r="I329" s="37">
        <v>0</v>
      </c>
      <c r="J329" s="37">
        <v>0</v>
      </c>
      <c r="K329" s="76">
        <v>0</v>
      </c>
      <c r="L329" s="37">
        <v>0</v>
      </c>
    </row>
    <row r="330" spans="1:12" customFormat="1" ht="17.25" customHeight="1" x14ac:dyDescent="0.3">
      <c r="A330" s="60" t="s">
        <v>746</v>
      </c>
      <c r="B330" s="61" t="s">
        <v>747</v>
      </c>
      <c r="C330" s="37">
        <v>63020.49</v>
      </c>
      <c r="D330" s="37">
        <v>38000</v>
      </c>
      <c r="E330" s="37">
        <v>36996.5</v>
      </c>
      <c r="F330" s="37">
        <v>63464.127</v>
      </c>
      <c r="G330" s="37">
        <v>66000</v>
      </c>
      <c r="H330" s="37">
        <v>106000</v>
      </c>
      <c r="I330" s="37">
        <v>218835.60500000001</v>
      </c>
      <c r="J330" s="37">
        <v>120446.5</v>
      </c>
      <c r="K330" s="76">
        <v>0</v>
      </c>
      <c r="L330" s="37">
        <v>712763.22199999995</v>
      </c>
    </row>
    <row r="331" spans="1:12" customFormat="1" ht="17.25" customHeight="1" x14ac:dyDescent="0.3">
      <c r="A331" s="60" t="s">
        <v>748</v>
      </c>
      <c r="B331" s="61" t="s">
        <v>749</v>
      </c>
      <c r="C331" s="37">
        <v>18424.09</v>
      </c>
      <c r="D331" s="37">
        <v>6600</v>
      </c>
      <c r="E331" s="37">
        <v>14000</v>
      </c>
      <c r="F331" s="37">
        <v>17978.8</v>
      </c>
      <c r="G331" s="37">
        <v>15500</v>
      </c>
      <c r="H331" s="37">
        <v>38450</v>
      </c>
      <c r="I331" s="37">
        <v>74700</v>
      </c>
      <c r="J331" s="37">
        <v>45850</v>
      </c>
      <c r="K331" s="76">
        <v>0</v>
      </c>
      <c r="L331" s="37">
        <v>231502.89</v>
      </c>
    </row>
    <row r="332" spans="1:12" customFormat="1" ht="17.25" customHeight="1" x14ac:dyDescent="0.3">
      <c r="A332" s="60" t="s">
        <v>750</v>
      </c>
      <c r="B332" s="61" t="s">
        <v>751</v>
      </c>
      <c r="C332" s="37">
        <v>83027.679999999993</v>
      </c>
      <c r="D332" s="37">
        <v>36700</v>
      </c>
      <c r="E332" s="37">
        <v>51500</v>
      </c>
      <c r="F332" s="37">
        <v>61951.5</v>
      </c>
      <c r="G332" s="37">
        <v>76500</v>
      </c>
      <c r="H332" s="37">
        <v>128650</v>
      </c>
      <c r="I332" s="37">
        <v>236250</v>
      </c>
      <c r="J332" s="37">
        <v>155685.85500000001</v>
      </c>
      <c r="K332" s="76">
        <v>0</v>
      </c>
      <c r="L332" s="37">
        <v>830265.03500000003</v>
      </c>
    </row>
    <row r="333" spans="1:12" customFormat="1" ht="17.25" customHeight="1" x14ac:dyDescent="0.3">
      <c r="A333" s="60" t="s">
        <v>752</v>
      </c>
      <c r="B333" s="61" t="s">
        <v>753</v>
      </c>
      <c r="C333" s="37">
        <v>51385.72</v>
      </c>
      <c r="D333" s="37">
        <v>26100</v>
      </c>
      <c r="E333" s="37">
        <v>33500</v>
      </c>
      <c r="F333" s="37">
        <v>36500</v>
      </c>
      <c r="G333" s="37">
        <v>36500</v>
      </c>
      <c r="H333" s="37">
        <v>74900</v>
      </c>
      <c r="I333" s="37">
        <v>141750</v>
      </c>
      <c r="J333" s="37">
        <v>78346.25</v>
      </c>
      <c r="K333" s="76">
        <v>0</v>
      </c>
      <c r="L333" s="37">
        <v>478981.97</v>
      </c>
    </row>
    <row r="334" spans="1:12" customFormat="1" ht="17.25" customHeight="1" x14ac:dyDescent="0.3">
      <c r="A334" s="60" t="s">
        <v>754</v>
      </c>
      <c r="B334" s="61" t="s">
        <v>755</v>
      </c>
      <c r="C334" s="37">
        <v>15172.09</v>
      </c>
      <c r="D334" s="37">
        <v>7965.12</v>
      </c>
      <c r="E334" s="37">
        <v>13500</v>
      </c>
      <c r="F334" s="37">
        <v>11473.557000000001</v>
      </c>
      <c r="G334" s="37">
        <v>15500</v>
      </c>
      <c r="H334" s="37">
        <v>25850</v>
      </c>
      <c r="I334" s="37">
        <v>55482.502500000002</v>
      </c>
      <c r="J334" s="37">
        <v>26950</v>
      </c>
      <c r="K334" s="76">
        <v>0</v>
      </c>
      <c r="L334" s="37">
        <v>171893.26949999999</v>
      </c>
    </row>
    <row r="335" spans="1:12" customFormat="1" ht="17.25" customHeight="1" x14ac:dyDescent="0.3">
      <c r="A335" s="60" t="s">
        <v>756</v>
      </c>
      <c r="B335" s="61" t="s">
        <v>757</v>
      </c>
      <c r="C335" s="37">
        <v>153248.32999999999</v>
      </c>
      <c r="D335" s="37">
        <v>89000</v>
      </c>
      <c r="E335" s="37">
        <v>101000</v>
      </c>
      <c r="F335" s="37">
        <v>129992.705</v>
      </c>
      <c r="G335" s="37">
        <v>151500</v>
      </c>
      <c r="H335" s="37">
        <v>242693.76000000001</v>
      </c>
      <c r="I335" s="37">
        <v>410681.04249999998</v>
      </c>
      <c r="J335" s="37">
        <v>235733.45250000001</v>
      </c>
      <c r="K335" s="76">
        <v>350</v>
      </c>
      <c r="L335" s="37">
        <v>1514199.29</v>
      </c>
    </row>
    <row r="336" spans="1:12" customFormat="1" ht="17.25" customHeight="1" x14ac:dyDescent="0.3">
      <c r="A336" s="60" t="s">
        <v>758</v>
      </c>
      <c r="B336" s="56" t="s">
        <v>759</v>
      </c>
      <c r="C336" s="73">
        <v>174469.78</v>
      </c>
      <c r="D336" s="73">
        <v>80500</v>
      </c>
      <c r="E336" s="73">
        <v>102380.777</v>
      </c>
      <c r="F336" s="73">
        <v>124196.47500000001</v>
      </c>
      <c r="G336" s="73">
        <v>159437.07</v>
      </c>
      <c r="H336" s="73">
        <v>262000</v>
      </c>
      <c r="I336" s="73">
        <v>478250</v>
      </c>
      <c r="J336" s="73">
        <v>278250</v>
      </c>
      <c r="K336" s="73">
        <v>0</v>
      </c>
      <c r="L336" s="73">
        <v>1659484.102</v>
      </c>
    </row>
    <row r="337" spans="1:12" customFormat="1" ht="17.25" customHeight="1" x14ac:dyDescent="0.3">
      <c r="A337" s="60" t="s">
        <v>760</v>
      </c>
      <c r="B337" s="61" t="s">
        <v>761</v>
      </c>
      <c r="C337" s="37">
        <v>27393.77</v>
      </c>
      <c r="D337" s="37">
        <v>13400</v>
      </c>
      <c r="E337" s="37">
        <v>21973.51</v>
      </c>
      <c r="F337" s="37">
        <v>26407.544000000002</v>
      </c>
      <c r="G337" s="37">
        <v>35486.81</v>
      </c>
      <c r="H337" s="37">
        <v>58200</v>
      </c>
      <c r="I337" s="37">
        <v>111300</v>
      </c>
      <c r="J337" s="37">
        <v>64750</v>
      </c>
      <c r="K337" s="76">
        <v>0</v>
      </c>
      <c r="L337" s="37">
        <v>358911.63400000002</v>
      </c>
    </row>
    <row r="338" spans="1:12" customFormat="1" ht="17.25" customHeight="1" x14ac:dyDescent="0.3">
      <c r="A338" s="60" t="s">
        <v>762</v>
      </c>
      <c r="B338" s="61" t="s">
        <v>763</v>
      </c>
      <c r="C338" s="37">
        <v>10592.18</v>
      </c>
      <c r="D338" s="37">
        <v>8600</v>
      </c>
      <c r="E338" s="37">
        <v>7473.5</v>
      </c>
      <c r="F338" s="37">
        <v>11947.24</v>
      </c>
      <c r="G338" s="37">
        <v>14500</v>
      </c>
      <c r="H338" s="37">
        <v>31750</v>
      </c>
      <c r="I338" s="37">
        <v>46550</v>
      </c>
      <c r="J338" s="37">
        <v>27300</v>
      </c>
      <c r="K338" s="76">
        <v>0</v>
      </c>
      <c r="L338" s="37">
        <v>158712.92000000001</v>
      </c>
    </row>
    <row r="339" spans="1:12" customFormat="1" ht="17.25" customHeight="1" x14ac:dyDescent="0.3">
      <c r="A339" s="60" t="s">
        <v>764</v>
      </c>
      <c r="B339" s="61" t="s">
        <v>765</v>
      </c>
      <c r="C339" s="37">
        <v>16992.5</v>
      </c>
      <c r="D339" s="37">
        <v>9200</v>
      </c>
      <c r="E339" s="37">
        <v>10473.51</v>
      </c>
      <c r="F339" s="37">
        <v>12447.24</v>
      </c>
      <c r="G339" s="37">
        <v>17500</v>
      </c>
      <c r="H339" s="37">
        <v>22400</v>
      </c>
      <c r="I339" s="37">
        <v>47950</v>
      </c>
      <c r="J339" s="37">
        <v>30100</v>
      </c>
      <c r="K339" s="76">
        <v>0</v>
      </c>
      <c r="L339" s="37">
        <v>167063.25</v>
      </c>
    </row>
    <row r="340" spans="1:12" customFormat="1" ht="17.25" customHeight="1" x14ac:dyDescent="0.3">
      <c r="A340" s="60" t="s">
        <v>766</v>
      </c>
      <c r="B340" s="61" t="s">
        <v>767</v>
      </c>
      <c r="C340" s="37">
        <v>26031.27</v>
      </c>
      <c r="D340" s="37">
        <v>9500</v>
      </c>
      <c r="E340" s="37">
        <v>11000</v>
      </c>
      <c r="F340" s="37">
        <v>12491.25</v>
      </c>
      <c r="G340" s="37">
        <v>17000</v>
      </c>
      <c r="H340" s="37">
        <v>21200</v>
      </c>
      <c r="I340" s="37">
        <v>43750</v>
      </c>
      <c r="J340" s="37">
        <v>31500</v>
      </c>
      <c r="K340" s="76">
        <v>0</v>
      </c>
      <c r="L340" s="37">
        <v>172472.52</v>
      </c>
    </row>
    <row r="341" spans="1:12" customFormat="1" ht="17.25" customHeight="1" x14ac:dyDescent="0.3">
      <c r="A341" s="60" t="s">
        <v>768</v>
      </c>
      <c r="B341" s="61" t="s">
        <v>769</v>
      </c>
      <c r="C341" s="37">
        <v>33267.019999999997</v>
      </c>
      <c r="D341" s="37">
        <v>13200</v>
      </c>
      <c r="E341" s="37">
        <v>13500</v>
      </c>
      <c r="F341" s="37">
        <v>15486.81</v>
      </c>
      <c r="G341" s="37">
        <v>26500</v>
      </c>
      <c r="H341" s="37">
        <v>40300</v>
      </c>
      <c r="I341" s="37">
        <v>67700</v>
      </c>
      <c r="J341" s="37">
        <v>36050</v>
      </c>
      <c r="K341" s="76">
        <v>0</v>
      </c>
      <c r="L341" s="37">
        <v>246003.83</v>
      </c>
    </row>
    <row r="342" spans="1:12" customFormat="1" ht="17.25" customHeight="1" x14ac:dyDescent="0.3">
      <c r="A342" s="60" t="s">
        <v>770</v>
      </c>
      <c r="B342" s="61" t="s">
        <v>771</v>
      </c>
      <c r="C342" s="37">
        <v>29573.68</v>
      </c>
      <c r="D342" s="37">
        <v>14600</v>
      </c>
      <c r="E342" s="37">
        <v>22473.507000000001</v>
      </c>
      <c r="F342" s="37">
        <v>22929.580999999998</v>
      </c>
      <c r="G342" s="37">
        <v>24986.81</v>
      </c>
      <c r="H342" s="37">
        <v>55450</v>
      </c>
      <c r="I342" s="37">
        <v>97300</v>
      </c>
      <c r="J342" s="37">
        <v>50050</v>
      </c>
      <c r="K342" s="76">
        <v>0</v>
      </c>
      <c r="L342" s="37">
        <v>317363.57799999998</v>
      </c>
    </row>
    <row r="343" spans="1:12" customFormat="1" ht="17.25" customHeight="1" x14ac:dyDescent="0.3">
      <c r="A343" s="60" t="s">
        <v>772</v>
      </c>
      <c r="B343" s="61" t="s">
        <v>773</v>
      </c>
      <c r="C343" s="37">
        <v>22647.27</v>
      </c>
      <c r="D343" s="37">
        <v>5000</v>
      </c>
      <c r="E343" s="37">
        <v>8986.75</v>
      </c>
      <c r="F343" s="37">
        <v>13000</v>
      </c>
      <c r="G343" s="37">
        <v>10463.450000000001</v>
      </c>
      <c r="H343" s="37">
        <v>14950</v>
      </c>
      <c r="I343" s="37">
        <v>29750</v>
      </c>
      <c r="J343" s="37">
        <v>22750</v>
      </c>
      <c r="K343" s="76">
        <v>0</v>
      </c>
      <c r="L343" s="37">
        <v>127547.47</v>
      </c>
    </row>
    <row r="344" spans="1:12" customFormat="1" ht="17.25" customHeight="1" x14ac:dyDescent="0.3">
      <c r="A344" s="60" t="s">
        <v>774</v>
      </c>
      <c r="B344" s="61" t="s">
        <v>775</v>
      </c>
      <c r="C344" s="37">
        <v>7972.09</v>
      </c>
      <c r="D344" s="37">
        <v>7000</v>
      </c>
      <c r="E344" s="37">
        <v>6500</v>
      </c>
      <c r="F344" s="37">
        <v>9486.81</v>
      </c>
      <c r="G344" s="37">
        <v>13000</v>
      </c>
      <c r="H344" s="37">
        <v>17750</v>
      </c>
      <c r="I344" s="37">
        <v>33950</v>
      </c>
      <c r="J344" s="37">
        <v>15750</v>
      </c>
      <c r="K344" s="76">
        <v>0</v>
      </c>
      <c r="L344" s="37">
        <v>111408.9</v>
      </c>
    </row>
    <row r="345" spans="1:12" customFormat="1" ht="17.25" customHeight="1" x14ac:dyDescent="0.3">
      <c r="A345" s="60" t="s">
        <v>776</v>
      </c>
      <c r="B345" s="56" t="s">
        <v>777</v>
      </c>
      <c r="C345" s="73">
        <v>205186.87</v>
      </c>
      <c r="D345" s="73">
        <v>101000</v>
      </c>
      <c r="E345" s="73">
        <v>112500</v>
      </c>
      <c r="F345" s="73">
        <v>140000</v>
      </c>
      <c r="G345" s="73">
        <v>207500</v>
      </c>
      <c r="H345" s="73">
        <v>293450</v>
      </c>
      <c r="I345" s="73">
        <v>547137.5</v>
      </c>
      <c r="J345" s="73">
        <v>332150</v>
      </c>
      <c r="K345" s="73">
        <v>0</v>
      </c>
      <c r="L345" s="73">
        <v>1938924.37</v>
      </c>
    </row>
    <row r="346" spans="1:12" customFormat="1" ht="17.25" customHeight="1" x14ac:dyDescent="0.3">
      <c r="A346" s="60" t="s">
        <v>778</v>
      </c>
      <c r="B346" s="61" t="s">
        <v>779</v>
      </c>
      <c r="C346" s="37">
        <v>35531.11</v>
      </c>
      <c r="D346" s="37">
        <v>17700</v>
      </c>
      <c r="E346" s="37">
        <v>18000</v>
      </c>
      <c r="F346" s="37">
        <v>23000</v>
      </c>
      <c r="G346" s="37">
        <v>26500</v>
      </c>
      <c r="H346" s="37">
        <v>50300</v>
      </c>
      <c r="I346" s="37">
        <v>90650</v>
      </c>
      <c r="J346" s="37">
        <v>54250</v>
      </c>
      <c r="K346" s="76">
        <v>0</v>
      </c>
      <c r="L346" s="37">
        <v>315931.11</v>
      </c>
    </row>
    <row r="347" spans="1:12" customFormat="1" ht="17.25" customHeight="1" x14ac:dyDescent="0.3">
      <c r="A347" s="60" t="s">
        <v>780</v>
      </c>
      <c r="B347" s="61" t="s">
        <v>781</v>
      </c>
      <c r="C347" s="37">
        <v>61284.36</v>
      </c>
      <c r="D347" s="37">
        <v>19300</v>
      </c>
      <c r="E347" s="37">
        <v>20000</v>
      </c>
      <c r="F347" s="37">
        <v>24000</v>
      </c>
      <c r="G347" s="37">
        <v>49500</v>
      </c>
      <c r="H347" s="37">
        <v>59450</v>
      </c>
      <c r="I347" s="37">
        <v>105000</v>
      </c>
      <c r="J347" s="37">
        <v>64750</v>
      </c>
      <c r="K347" s="76">
        <v>0</v>
      </c>
      <c r="L347" s="37">
        <v>403284.36</v>
      </c>
    </row>
    <row r="348" spans="1:12" customFormat="1" ht="17.25" customHeight="1" x14ac:dyDescent="0.3">
      <c r="A348" s="60" t="s">
        <v>782</v>
      </c>
      <c r="B348" s="61" t="s">
        <v>783</v>
      </c>
      <c r="C348" s="37">
        <v>16711.27</v>
      </c>
      <c r="D348" s="37">
        <v>9200</v>
      </c>
      <c r="E348" s="37">
        <v>21500</v>
      </c>
      <c r="F348" s="37">
        <v>16500</v>
      </c>
      <c r="G348" s="37">
        <v>20000</v>
      </c>
      <c r="H348" s="37">
        <v>32850</v>
      </c>
      <c r="I348" s="37">
        <v>60518.75</v>
      </c>
      <c r="J348" s="37">
        <v>35700</v>
      </c>
      <c r="K348" s="76">
        <v>0</v>
      </c>
      <c r="L348" s="37">
        <v>212980.02</v>
      </c>
    </row>
    <row r="349" spans="1:12" customFormat="1" ht="17.25" customHeight="1" x14ac:dyDescent="0.3">
      <c r="A349" s="60" t="s">
        <v>784</v>
      </c>
      <c r="B349" s="61" t="s">
        <v>785</v>
      </c>
      <c r="C349" s="37">
        <v>26392.18</v>
      </c>
      <c r="D349" s="37">
        <v>10800</v>
      </c>
      <c r="E349" s="37">
        <v>12500</v>
      </c>
      <c r="F349" s="37">
        <v>16500</v>
      </c>
      <c r="G349" s="37">
        <v>24000</v>
      </c>
      <c r="H349" s="37">
        <v>26350</v>
      </c>
      <c r="I349" s="37">
        <v>64200</v>
      </c>
      <c r="J349" s="37">
        <v>43400</v>
      </c>
      <c r="K349" s="76">
        <v>0</v>
      </c>
      <c r="L349" s="37">
        <v>224142.18</v>
      </c>
    </row>
    <row r="350" spans="1:12" customFormat="1" ht="17.25" customHeight="1" x14ac:dyDescent="0.3">
      <c r="A350" s="60" t="s">
        <v>786</v>
      </c>
      <c r="B350" s="61" t="s">
        <v>787</v>
      </c>
      <c r="C350" s="37">
        <v>43147.18</v>
      </c>
      <c r="D350" s="37">
        <v>26300</v>
      </c>
      <c r="E350" s="37">
        <v>21500</v>
      </c>
      <c r="F350" s="37">
        <v>40000</v>
      </c>
      <c r="G350" s="37">
        <v>53000</v>
      </c>
      <c r="H350" s="37">
        <v>76150</v>
      </c>
      <c r="I350" s="37">
        <v>118618.75</v>
      </c>
      <c r="J350" s="37">
        <v>79450</v>
      </c>
      <c r="K350" s="76">
        <v>0</v>
      </c>
      <c r="L350" s="37">
        <v>458165.93</v>
      </c>
    </row>
    <row r="351" spans="1:12" customFormat="1" ht="17.25" customHeight="1" x14ac:dyDescent="0.3">
      <c r="A351" s="60" t="s">
        <v>788</v>
      </c>
      <c r="B351" s="61" t="s">
        <v>789</v>
      </c>
      <c r="C351" s="37">
        <v>22120.77</v>
      </c>
      <c r="D351" s="37">
        <v>17700</v>
      </c>
      <c r="E351" s="37">
        <v>19000</v>
      </c>
      <c r="F351" s="37">
        <v>20000</v>
      </c>
      <c r="G351" s="37">
        <v>34500</v>
      </c>
      <c r="H351" s="37">
        <v>48350</v>
      </c>
      <c r="I351" s="37">
        <v>108150</v>
      </c>
      <c r="J351" s="37">
        <v>54600</v>
      </c>
      <c r="K351" s="76">
        <v>0</v>
      </c>
      <c r="L351" s="37">
        <v>324420.77</v>
      </c>
    </row>
    <row r="352" spans="1:12" customFormat="1" ht="17.25" customHeight="1" x14ac:dyDescent="0.3">
      <c r="A352" s="60" t="s">
        <v>790</v>
      </c>
      <c r="B352" s="56" t="s">
        <v>791</v>
      </c>
      <c r="C352" s="73">
        <v>103928.53</v>
      </c>
      <c r="D352" s="73">
        <v>61486.76</v>
      </c>
      <c r="E352" s="73">
        <v>88186.76</v>
      </c>
      <c r="F352" s="73">
        <v>88344.48</v>
      </c>
      <c r="G352" s="73">
        <v>115500</v>
      </c>
      <c r="H352" s="73">
        <v>180100</v>
      </c>
      <c r="I352" s="73">
        <v>333900</v>
      </c>
      <c r="J352" s="73">
        <v>195650</v>
      </c>
      <c r="K352" s="73">
        <v>0</v>
      </c>
      <c r="L352" s="73">
        <v>1167096.53</v>
      </c>
    </row>
    <row r="353" spans="1:12" customFormat="1" ht="17.25" customHeight="1" x14ac:dyDescent="0.3">
      <c r="A353" s="60" t="s">
        <v>792</v>
      </c>
      <c r="B353" s="61" t="s">
        <v>793</v>
      </c>
      <c r="C353" s="37">
        <v>22633.95</v>
      </c>
      <c r="D353" s="37">
        <v>11700</v>
      </c>
      <c r="E353" s="37">
        <v>22986.76</v>
      </c>
      <c r="F353" s="37">
        <v>22986.81</v>
      </c>
      <c r="G353" s="37">
        <v>34500</v>
      </c>
      <c r="H353" s="37">
        <v>40450</v>
      </c>
      <c r="I353" s="37">
        <v>75950</v>
      </c>
      <c r="J353" s="37">
        <v>54250</v>
      </c>
      <c r="K353" s="76">
        <v>0</v>
      </c>
      <c r="L353" s="37">
        <v>285457.52</v>
      </c>
    </row>
    <row r="354" spans="1:12" customFormat="1" ht="17.25" customHeight="1" x14ac:dyDescent="0.3">
      <c r="A354" s="60" t="s">
        <v>794</v>
      </c>
      <c r="B354" s="61" t="s">
        <v>795</v>
      </c>
      <c r="C354" s="37">
        <v>20316.43</v>
      </c>
      <c r="D354" s="37">
        <v>13686.76</v>
      </c>
      <c r="E354" s="37">
        <v>13500</v>
      </c>
      <c r="F354" s="37">
        <v>19923.62</v>
      </c>
      <c r="G354" s="37">
        <v>28500</v>
      </c>
      <c r="H354" s="37">
        <v>40900</v>
      </c>
      <c r="I354" s="37">
        <v>76300</v>
      </c>
      <c r="J354" s="37">
        <v>40950</v>
      </c>
      <c r="K354" s="76">
        <v>0</v>
      </c>
      <c r="L354" s="37">
        <v>254076.81</v>
      </c>
    </row>
    <row r="355" spans="1:12" customFormat="1" ht="17.25" customHeight="1" x14ac:dyDescent="0.3">
      <c r="A355" s="60" t="s">
        <v>796</v>
      </c>
      <c r="B355" s="61" t="s">
        <v>797</v>
      </c>
      <c r="C355" s="37">
        <v>28936.36</v>
      </c>
      <c r="D355" s="37">
        <v>20900</v>
      </c>
      <c r="E355" s="37">
        <v>25500</v>
      </c>
      <c r="F355" s="37">
        <v>20447.240000000002</v>
      </c>
      <c r="G355" s="37">
        <v>20500</v>
      </c>
      <c r="H355" s="37">
        <v>44500</v>
      </c>
      <c r="I355" s="37">
        <v>93100</v>
      </c>
      <c r="J355" s="37">
        <v>44100</v>
      </c>
      <c r="K355" s="76">
        <v>0</v>
      </c>
      <c r="L355" s="37">
        <v>297983.59999999998</v>
      </c>
    </row>
    <row r="356" spans="1:12" customFormat="1" ht="17.25" customHeight="1" x14ac:dyDescent="0.3">
      <c r="A356" s="119" t="s">
        <v>798</v>
      </c>
      <c r="B356" s="64" t="s">
        <v>799</v>
      </c>
      <c r="C356" s="78">
        <v>32041.79</v>
      </c>
      <c r="D356" s="78">
        <v>15200</v>
      </c>
      <c r="E356" s="78">
        <v>26200</v>
      </c>
      <c r="F356" s="78">
        <v>24986.81</v>
      </c>
      <c r="G356" s="78">
        <v>32000</v>
      </c>
      <c r="H356" s="78">
        <v>54250</v>
      </c>
      <c r="I356" s="78">
        <v>88550</v>
      </c>
      <c r="J356" s="78">
        <v>56350</v>
      </c>
      <c r="K356" s="77">
        <v>0</v>
      </c>
      <c r="L356" s="78">
        <v>329578.59999999998</v>
      </c>
    </row>
    <row r="357" spans="1:12" customFormat="1" ht="17.25" customHeight="1" x14ac:dyDescent="0.3">
      <c r="A357" s="136" t="s">
        <v>800</v>
      </c>
      <c r="B357" s="123" t="s">
        <v>801</v>
      </c>
      <c r="C357" s="73">
        <v>880771.61</v>
      </c>
      <c r="D357" s="73">
        <v>474026.35</v>
      </c>
      <c r="E357" s="73">
        <v>691000</v>
      </c>
      <c r="F357" s="73">
        <v>864500</v>
      </c>
      <c r="G357" s="73">
        <v>1030100.8</v>
      </c>
      <c r="H357" s="73">
        <v>1481842.5</v>
      </c>
      <c r="I357" s="73">
        <v>2980496.25</v>
      </c>
      <c r="J357" s="73">
        <v>2089573.75</v>
      </c>
      <c r="K357" s="73">
        <v>896.09</v>
      </c>
      <c r="L357" s="73">
        <v>10493207.35</v>
      </c>
    </row>
    <row r="358" spans="1:12" customFormat="1" ht="17.25" customHeight="1" x14ac:dyDescent="0.3">
      <c r="A358" s="60" t="s">
        <v>802</v>
      </c>
      <c r="B358" s="61" t="s">
        <v>803</v>
      </c>
      <c r="C358" s="37">
        <v>29262</v>
      </c>
      <c r="D358" s="37">
        <v>14000</v>
      </c>
      <c r="E358" s="37">
        <v>30000</v>
      </c>
      <c r="F358" s="37">
        <v>25000</v>
      </c>
      <c r="G358" s="37">
        <v>39500</v>
      </c>
      <c r="H358" s="37">
        <v>38950</v>
      </c>
      <c r="I358" s="37">
        <v>102900</v>
      </c>
      <c r="J358" s="37">
        <v>66850</v>
      </c>
      <c r="K358" s="76">
        <v>0</v>
      </c>
      <c r="L358" s="37">
        <v>346462</v>
      </c>
    </row>
    <row r="359" spans="1:12" customFormat="1" ht="17.25" customHeight="1" x14ac:dyDescent="0.3">
      <c r="A359" s="60" t="s">
        <v>804</v>
      </c>
      <c r="B359" s="61" t="s">
        <v>805</v>
      </c>
      <c r="C359" s="37">
        <v>73167.48</v>
      </c>
      <c r="D359" s="37">
        <v>25200</v>
      </c>
      <c r="E359" s="37">
        <v>55000</v>
      </c>
      <c r="F359" s="37">
        <v>63500</v>
      </c>
      <c r="G359" s="37">
        <v>85000</v>
      </c>
      <c r="H359" s="37">
        <v>99350</v>
      </c>
      <c r="I359" s="37">
        <v>206500</v>
      </c>
      <c r="J359" s="37">
        <v>157150</v>
      </c>
      <c r="K359" s="76">
        <v>896.09</v>
      </c>
      <c r="L359" s="37">
        <v>765763.57</v>
      </c>
    </row>
    <row r="360" spans="1:12" customFormat="1" ht="17.25" customHeight="1" x14ac:dyDescent="0.3">
      <c r="A360" s="60" t="s">
        <v>806</v>
      </c>
      <c r="B360" s="61" t="s">
        <v>807</v>
      </c>
      <c r="C360" s="37">
        <v>29600.26</v>
      </c>
      <c r="D360" s="37">
        <v>10600</v>
      </c>
      <c r="E360" s="37">
        <v>16500</v>
      </c>
      <c r="F360" s="37">
        <v>31500</v>
      </c>
      <c r="G360" s="37">
        <v>25500</v>
      </c>
      <c r="H360" s="37">
        <v>38350</v>
      </c>
      <c r="I360" s="37">
        <v>62650</v>
      </c>
      <c r="J360" s="37">
        <v>51450</v>
      </c>
      <c r="K360" s="76">
        <v>0</v>
      </c>
      <c r="L360" s="37">
        <v>266150.26</v>
      </c>
    </row>
    <row r="361" spans="1:12" customFormat="1" ht="17.25" customHeight="1" x14ac:dyDescent="0.3">
      <c r="A361" s="60" t="s">
        <v>808</v>
      </c>
      <c r="B361" s="61" t="s">
        <v>809</v>
      </c>
      <c r="C361" s="37">
        <v>8996.09</v>
      </c>
      <c r="D361" s="37">
        <v>6400</v>
      </c>
      <c r="E361" s="37">
        <v>10500</v>
      </c>
      <c r="F361" s="37">
        <v>15500</v>
      </c>
      <c r="G361" s="37">
        <v>12500</v>
      </c>
      <c r="H361" s="37">
        <v>17450</v>
      </c>
      <c r="I361" s="37">
        <v>33600</v>
      </c>
      <c r="J361" s="37">
        <v>15400</v>
      </c>
      <c r="K361" s="76">
        <v>0</v>
      </c>
      <c r="L361" s="37">
        <v>120346.09</v>
      </c>
    </row>
    <row r="362" spans="1:12" customFormat="1" ht="17.25" customHeight="1" x14ac:dyDescent="0.3">
      <c r="A362" s="60" t="s">
        <v>810</v>
      </c>
      <c r="B362" s="61" t="s">
        <v>811</v>
      </c>
      <c r="C362" s="37">
        <v>57856.99</v>
      </c>
      <c r="D362" s="37">
        <v>53800</v>
      </c>
      <c r="E362" s="37">
        <v>74000</v>
      </c>
      <c r="F362" s="37">
        <v>74000</v>
      </c>
      <c r="G362" s="37">
        <v>110600.8</v>
      </c>
      <c r="H362" s="37">
        <v>156700</v>
      </c>
      <c r="I362" s="37">
        <v>253400</v>
      </c>
      <c r="J362" s="37">
        <v>172550</v>
      </c>
      <c r="K362" s="76">
        <v>0</v>
      </c>
      <c r="L362" s="37">
        <v>952907.79</v>
      </c>
    </row>
    <row r="363" spans="1:12" customFormat="1" ht="17.25" customHeight="1" x14ac:dyDescent="0.3">
      <c r="A363" s="60" t="s">
        <v>812</v>
      </c>
      <c r="B363" s="61" t="s">
        <v>813</v>
      </c>
      <c r="C363" s="37">
        <v>8188.27</v>
      </c>
      <c r="D363" s="37">
        <v>6691.9</v>
      </c>
      <c r="E363" s="37">
        <v>8000</v>
      </c>
      <c r="F363" s="37">
        <v>8000</v>
      </c>
      <c r="G363" s="37">
        <v>7500</v>
      </c>
      <c r="H363" s="37">
        <v>12100</v>
      </c>
      <c r="I363" s="37">
        <v>25200</v>
      </c>
      <c r="J363" s="37">
        <v>15400</v>
      </c>
      <c r="K363" s="76">
        <v>0</v>
      </c>
      <c r="L363" s="37">
        <v>91080.17</v>
      </c>
    </row>
    <row r="364" spans="1:12" customFormat="1" ht="17.25" customHeight="1" x14ac:dyDescent="0.3">
      <c r="A364" s="60" t="s">
        <v>814</v>
      </c>
      <c r="B364" s="61" t="s">
        <v>815</v>
      </c>
      <c r="C364" s="37">
        <v>12388.27</v>
      </c>
      <c r="D364" s="37">
        <v>7500</v>
      </c>
      <c r="E364" s="37">
        <v>10000</v>
      </c>
      <c r="F364" s="37">
        <v>18000</v>
      </c>
      <c r="G364" s="37">
        <v>19000</v>
      </c>
      <c r="H364" s="37">
        <v>22800</v>
      </c>
      <c r="I364" s="37">
        <v>61600</v>
      </c>
      <c r="J364" s="37">
        <v>40600</v>
      </c>
      <c r="K364" s="76">
        <v>0</v>
      </c>
      <c r="L364" s="37">
        <v>191888.27</v>
      </c>
    </row>
    <row r="365" spans="1:12" customFormat="1" ht="17.25" customHeight="1" x14ac:dyDescent="0.3">
      <c r="A365" s="60" t="s">
        <v>816</v>
      </c>
      <c r="B365" s="61" t="s">
        <v>817</v>
      </c>
      <c r="C365" s="37">
        <v>15784.36</v>
      </c>
      <c r="D365" s="37">
        <v>17100</v>
      </c>
      <c r="E365" s="37">
        <v>14500</v>
      </c>
      <c r="F365" s="37">
        <v>14500</v>
      </c>
      <c r="G365" s="37">
        <v>17000</v>
      </c>
      <c r="H365" s="37">
        <v>34250</v>
      </c>
      <c r="I365" s="37">
        <v>49350</v>
      </c>
      <c r="J365" s="37">
        <v>34300</v>
      </c>
      <c r="K365" s="76">
        <v>0</v>
      </c>
      <c r="L365" s="37">
        <v>196784.36</v>
      </c>
    </row>
    <row r="366" spans="1:12" customFormat="1" ht="17.25" customHeight="1" x14ac:dyDescent="0.3">
      <c r="A366" s="60" t="s">
        <v>818</v>
      </c>
      <c r="B366" s="61" t="s">
        <v>819</v>
      </c>
      <c r="C366" s="37">
        <v>18123.72</v>
      </c>
      <c r="D366" s="37">
        <v>7900</v>
      </c>
      <c r="E366" s="37">
        <v>14000</v>
      </c>
      <c r="F366" s="37">
        <v>19000</v>
      </c>
      <c r="G366" s="37">
        <v>16500</v>
      </c>
      <c r="H366" s="37">
        <v>29150</v>
      </c>
      <c r="I366" s="37">
        <v>66150</v>
      </c>
      <c r="J366" s="37">
        <v>44800</v>
      </c>
      <c r="K366" s="76">
        <v>0</v>
      </c>
      <c r="L366" s="37">
        <v>215623.72</v>
      </c>
    </row>
    <row r="367" spans="1:12" customFormat="1" ht="17.25" customHeight="1" x14ac:dyDescent="0.3">
      <c r="A367" s="60" t="s">
        <v>820</v>
      </c>
      <c r="B367" s="61" t="s">
        <v>821</v>
      </c>
      <c r="C367" s="37">
        <v>19256.45</v>
      </c>
      <c r="D367" s="37">
        <v>14800</v>
      </c>
      <c r="E367" s="37">
        <v>20500</v>
      </c>
      <c r="F367" s="37">
        <v>35500</v>
      </c>
      <c r="G367" s="37">
        <v>39000</v>
      </c>
      <c r="H367" s="37">
        <v>53292.5</v>
      </c>
      <c r="I367" s="37">
        <v>110950</v>
      </c>
      <c r="J367" s="37">
        <v>89950</v>
      </c>
      <c r="K367" s="76">
        <v>0</v>
      </c>
      <c r="L367" s="37">
        <v>383248.95</v>
      </c>
    </row>
    <row r="368" spans="1:12" customFormat="1" ht="17.25" customHeight="1" x14ac:dyDescent="0.3">
      <c r="A368" s="60" t="s">
        <v>822</v>
      </c>
      <c r="B368" s="61" t="s">
        <v>823</v>
      </c>
      <c r="C368" s="37">
        <v>20011.02</v>
      </c>
      <c r="D368" s="37">
        <v>12900</v>
      </c>
      <c r="E368" s="37">
        <v>21000</v>
      </c>
      <c r="F368" s="37">
        <v>25000</v>
      </c>
      <c r="G368" s="37">
        <v>35000</v>
      </c>
      <c r="H368" s="37">
        <v>55500</v>
      </c>
      <c r="I368" s="37">
        <v>93100</v>
      </c>
      <c r="J368" s="37">
        <v>65450</v>
      </c>
      <c r="K368" s="76">
        <v>0</v>
      </c>
      <c r="L368" s="37">
        <v>327961.02</v>
      </c>
    </row>
    <row r="369" spans="1:12" customFormat="1" ht="17.25" customHeight="1" x14ac:dyDescent="0.3">
      <c r="A369" s="60" t="s">
        <v>824</v>
      </c>
      <c r="B369" s="61" t="s">
        <v>825</v>
      </c>
      <c r="C369" s="37">
        <v>25168.720000000001</v>
      </c>
      <c r="D369" s="37">
        <v>19100</v>
      </c>
      <c r="E369" s="37">
        <v>27500</v>
      </c>
      <c r="F369" s="37">
        <v>23000</v>
      </c>
      <c r="G369" s="37">
        <v>40500</v>
      </c>
      <c r="H369" s="37">
        <v>62000</v>
      </c>
      <c r="I369" s="37">
        <v>117746.25</v>
      </c>
      <c r="J369" s="37">
        <v>87500</v>
      </c>
      <c r="K369" s="76">
        <v>0</v>
      </c>
      <c r="L369" s="37">
        <v>402514.97</v>
      </c>
    </row>
    <row r="370" spans="1:12" customFormat="1" ht="17.25" customHeight="1" x14ac:dyDescent="0.3">
      <c r="A370" s="60" t="s">
        <v>826</v>
      </c>
      <c r="B370" s="61" t="s">
        <v>827</v>
      </c>
      <c r="C370" s="37">
        <v>20084.36</v>
      </c>
      <c r="D370" s="37">
        <v>14250</v>
      </c>
      <c r="E370" s="37">
        <v>19000</v>
      </c>
      <c r="F370" s="37">
        <v>25000</v>
      </c>
      <c r="G370" s="37">
        <v>34500</v>
      </c>
      <c r="H370" s="37">
        <v>54100</v>
      </c>
      <c r="I370" s="37">
        <v>111650</v>
      </c>
      <c r="J370" s="37">
        <v>77700</v>
      </c>
      <c r="K370" s="76">
        <v>0</v>
      </c>
      <c r="L370" s="37">
        <v>356284.36</v>
      </c>
    </row>
    <row r="371" spans="1:12" customFormat="1" ht="17.25" customHeight="1" x14ac:dyDescent="0.3">
      <c r="A371" s="60" t="s">
        <v>828</v>
      </c>
      <c r="B371" s="61" t="s">
        <v>829</v>
      </c>
      <c r="C371" s="37">
        <v>65863.03</v>
      </c>
      <c r="D371" s="37">
        <v>36700</v>
      </c>
      <c r="E371" s="37">
        <v>50000</v>
      </c>
      <c r="F371" s="37">
        <v>59000</v>
      </c>
      <c r="G371" s="37">
        <v>77500</v>
      </c>
      <c r="H371" s="37">
        <v>103250</v>
      </c>
      <c r="I371" s="37">
        <v>195300</v>
      </c>
      <c r="J371" s="37">
        <v>134050</v>
      </c>
      <c r="K371" s="76">
        <v>0</v>
      </c>
      <c r="L371" s="37">
        <v>721663.03</v>
      </c>
    </row>
    <row r="372" spans="1:12" customFormat="1" ht="17.25" customHeight="1" x14ac:dyDescent="0.3">
      <c r="A372" s="60" t="s">
        <v>830</v>
      </c>
      <c r="B372" s="61" t="s">
        <v>831</v>
      </c>
      <c r="C372" s="37">
        <v>42673.42</v>
      </c>
      <c r="D372" s="37">
        <v>18200</v>
      </c>
      <c r="E372" s="37">
        <v>31000</v>
      </c>
      <c r="F372" s="37">
        <v>31000</v>
      </c>
      <c r="G372" s="37">
        <v>47000</v>
      </c>
      <c r="H372" s="37">
        <v>63950</v>
      </c>
      <c r="I372" s="37">
        <v>130550</v>
      </c>
      <c r="J372" s="37">
        <v>89600</v>
      </c>
      <c r="K372" s="76">
        <v>0</v>
      </c>
      <c r="L372" s="37">
        <v>453973.42</v>
      </c>
    </row>
    <row r="373" spans="1:12" customFormat="1" ht="17.25" customHeight="1" x14ac:dyDescent="0.3">
      <c r="A373" s="60" t="s">
        <v>832</v>
      </c>
      <c r="B373" s="61" t="s">
        <v>833</v>
      </c>
      <c r="C373" s="37">
        <v>28130.45</v>
      </c>
      <c r="D373" s="37">
        <v>11100</v>
      </c>
      <c r="E373" s="37">
        <v>21000</v>
      </c>
      <c r="F373" s="37">
        <v>33000</v>
      </c>
      <c r="G373" s="37">
        <v>33500</v>
      </c>
      <c r="H373" s="37">
        <v>54700</v>
      </c>
      <c r="I373" s="37">
        <v>107250</v>
      </c>
      <c r="J373" s="37">
        <v>80850</v>
      </c>
      <c r="K373" s="76">
        <v>0</v>
      </c>
      <c r="L373" s="37">
        <v>369530.45</v>
      </c>
    </row>
    <row r="374" spans="1:12" customFormat="1" ht="17.25" customHeight="1" x14ac:dyDescent="0.3">
      <c r="A374" s="60" t="s">
        <v>834</v>
      </c>
      <c r="B374" s="61" t="s">
        <v>835</v>
      </c>
      <c r="C374" s="37">
        <v>8092.18</v>
      </c>
      <c r="D374" s="37">
        <v>5900</v>
      </c>
      <c r="E374" s="37">
        <v>8500</v>
      </c>
      <c r="F374" s="37">
        <v>9000</v>
      </c>
      <c r="G374" s="37">
        <v>12000</v>
      </c>
      <c r="H374" s="37">
        <v>13400</v>
      </c>
      <c r="I374" s="37">
        <v>32900</v>
      </c>
      <c r="J374" s="37">
        <v>15050</v>
      </c>
      <c r="K374" s="76">
        <v>0</v>
      </c>
      <c r="L374" s="37">
        <v>104842.18</v>
      </c>
    </row>
    <row r="375" spans="1:12" customFormat="1" ht="17.25" customHeight="1" x14ac:dyDescent="0.3">
      <c r="A375" s="60" t="s">
        <v>836</v>
      </c>
      <c r="B375" s="61" t="s">
        <v>837</v>
      </c>
      <c r="C375" s="37">
        <v>16227.2</v>
      </c>
      <c r="D375" s="37">
        <v>13700</v>
      </c>
      <c r="E375" s="37">
        <v>16500</v>
      </c>
      <c r="F375" s="37">
        <v>29500</v>
      </c>
      <c r="G375" s="37">
        <v>28000</v>
      </c>
      <c r="H375" s="37">
        <v>36400</v>
      </c>
      <c r="I375" s="37">
        <v>61950</v>
      </c>
      <c r="J375" s="37">
        <v>54600</v>
      </c>
      <c r="K375" s="76">
        <v>0</v>
      </c>
      <c r="L375" s="37">
        <v>256877.2</v>
      </c>
    </row>
    <row r="376" spans="1:12" customFormat="1" ht="17.25" customHeight="1" x14ac:dyDescent="0.3">
      <c r="A376" s="60" t="s">
        <v>838</v>
      </c>
      <c r="B376" s="61" t="s">
        <v>839</v>
      </c>
      <c r="C376" s="37">
        <v>5488.27</v>
      </c>
      <c r="D376" s="37">
        <v>3900</v>
      </c>
      <c r="E376" s="37">
        <v>7500</v>
      </c>
      <c r="F376" s="37">
        <v>8000</v>
      </c>
      <c r="G376" s="37">
        <v>10000</v>
      </c>
      <c r="H376" s="37">
        <v>15750</v>
      </c>
      <c r="I376" s="37">
        <v>33250</v>
      </c>
      <c r="J376" s="37">
        <v>33600</v>
      </c>
      <c r="K376" s="76">
        <v>0</v>
      </c>
      <c r="L376" s="37">
        <v>117488.27</v>
      </c>
    </row>
    <row r="377" spans="1:12" customFormat="1" ht="17.25" customHeight="1" x14ac:dyDescent="0.3">
      <c r="A377" s="60" t="s">
        <v>840</v>
      </c>
      <c r="B377" s="61" t="s">
        <v>841</v>
      </c>
      <c r="C377" s="37">
        <v>0</v>
      </c>
      <c r="D377" s="37">
        <v>1200</v>
      </c>
      <c r="E377" s="37">
        <v>1000</v>
      </c>
      <c r="F377" s="37">
        <v>1000</v>
      </c>
      <c r="G377" s="37">
        <v>1500</v>
      </c>
      <c r="H377" s="37">
        <v>350</v>
      </c>
      <c r="I377" s="37">
        <v>1750</v>
      </c>
      <c r="J377" s="37">
        <v>1400</v>
      </c>
      <c r="K377" s="76">
        <v>0</v>
      </c>
      <c r="L377" s="37">
        <v>8200</v>
      </c>
    </row>
    <row r="378" spans="1:12" customFormat="1" ht="17.25" customHeight="1" x14ac:dyDescent="0.3">
      <c r="A378" s="60" t="s">
        <v>842</v>
      </c>
      <c r="B378" s="61" t="s">
        <v>843</v>
      </c>
      <c r="C378" s="37">
        <v>25568.720000000001</v>
      </c>
      <c r="D378" s="37">
        <v>6400</v>
      </c>
      <c r="E378" s="37">
        <v>11000</v>
      </c>
      <c r="F378" s="37">
        <v>13500</v>
      </c>
      <c r="G378" s="37">
        <v>14500</v>
      </c>
      <c r="H378" s="37">
        <v>25200</v>
      </c>
      <c r="I378" s="37">
        <v>56700</v>
      </c>
      <c r="J378" s="37">
        <v>34650</v>
      </c>
      <c r="K378" s="76">
        <v>0</v>
      </c>
      <c r="L378" s="37">
        <v>187518.72</v>
      </c>
    </row>
    <row r="379" spans="1:12" customFormat="1" ht="17.25" customHeight="1" x14ac:dyDescent="0.3">
      <c r="A379" s="60" t="s">
        <v>844</v>
      </c>
      <c r="B379" s="61" t="s">
        <v>845</v>
      </c>
      <c r="C379" s="37">
        <v>50809.56</v>
      </c>
      <c r="D379" s="37">
        <v>21697.55</v>
      </c>
      <c r="E379" s="37">
        <v>28000</v>
      </c>
      <c r="F379" s="37">
        <v>38000</v>
      </c>
      <c r="G379" s="37">
        <v>42000</v>
      </c>
      <c r="H379" s="37">
        <v>63000</v>
      </c>
      <c r="I379" s="37">
        <v>176900</v>
      </c>
      <c r="J379" s="37">
        <v>109550</v>
      </c>
      <c r="K379" s="76">
        <v>0</v>
      </c>
      <c r="L379" s="37">
        <v>529957.11</v>
      </c>
    </row>
    <row r="380" spans="1:12" customFormat="1" ht="17.25" customHeight="1" x14ac:dyDescent="0.3">
      <c r="A380" s="60" t="s">
        <v>846</v>
      </c>
      <c r="B380" s="61" t="s">
        <v>847</v>
      </c>
      <c r="C380" s="76">
        <v>22087.26</v>
      </c>
      <c r="D380" s="76">
        <v>4000</v>
      </c>
      <c r="E380" s="76">
        <v>3500</v>
      </c>
      <c r="F380" s="76">
        <v>9500</v>
      </c>
      <c r="G380" s="76">
        <v>6500</v>
      </c>
      <c r="H380" s="76">
        <v>2550</v>
      </c>
      <c r="I380" s="76">
        <v>21350</v>
      </c>
      <c r="J380" s="76">
        <v>19250</v>
      </c>
      <c r="K380" s="76">
        <v>0</v>
      </c>
      <c r="L380" s="76">
        <v>88737.26</v>
      </c>
    </row>
    <row r="381" spans="1:12" customFormat="1" ht="17.25" customHeight="1" x14ac:dyDescent="0.3">
      <c r="A381" s="60" t="s">
        <v>848</v>
      </c>
      <c r="B381" s="61" t="s">
        <v>849</v>
      </c>
      <c r="C381" s="37">
        <v>43649.17</v>
      </c>
      <c r="D381" s="37">
        <v>23700</v>
      </c>
      <c r="E381" s="37">
        <v>33500</v>
      </c>
      <c r="F381" s="37">
        <v>42000</v>
      </c>
      <c r="G381" s="37">
        <v>52000</v>
      </c>
      <c r="H381" s="37">
        <v>72700</v>
      </c>
      <c r="I381" s="37">
        <v>155200</v>
      </c>
      <c r="J381" s="37">
        <v>105350</v>
      </c>
      <c r="K381" s="76">
        <v>0</v>
      </c>
      <c r="L381" s="37">
        <v>528099.17000000004</v>
      </c>
    </row>
    <row r="382" spans="1:12" customFormat="1" ht="17.25" customHeight="1" x14ac:dyDescent="0.3">
      <c r="A382" s="60" t="s">
        <v>850</v>
      </c>
      <c r="B382" s="61" t="s">
        <v>851</v>
      </c>
      <c r="C382" s="37">
        <v>27864.81</v>
      </c>
      <c r="D382" s="37">
        <v>14100</v>
      </c>
      <c r="E382" s="37">
        <v>19500</v>
      </c>
      <c r="F382" s="37">
        <v>25500</v>
      </c>
      <c r="G382" s="37">
        <v>32500</v>
      </c>
      <c r="H382" s="37">
        <v>47100</v>
      </c>
      <c r="I382" s="37">
        <v>95550</v>
      </c>
      <c r="J382" s="37">
        <v>78400</v>
      </c>
      <c r="K382" s="76">
        <v>0</v>
      </c>
      <c r="L382" s="37">
        <v>340514.81</v>
      </c>
    </row>
    <row r="383" spans="1:12" customFormat="1" ht="17.25" customHeight="1" x14ac:dyDescent="0.3">
      <c r="A383" s="60" t="s">
        <v>852</v>
      </c>
      <c r="B383" s="61" t="s">
        <v>853</v>
      </c>
      <c r="C383" s="37">
        <v>31204.7</v>
      </c>
      <c r="D383" s="37">
        <v>13900</v>
      </c>
      <c r="E383" s="37">
        <v>20500</v>
      </c>
      <c r="F383" s="37">
        <v>32000</v>
      </c>
      <c r="G383" s="37">
        <v>30500</v>
      </c>
      <c r="H383" s="37">
        <v>41600</v>
      </c>
      <c r="I383" s="37">
        <v>66500</v>
      </c>
      <c r="J383" s="37">
        <v>42700</v>
      </c>
      <c r="K383" s="76">
        <v>0</v>
      </c>
      <c r="L383" s="37">
        <v>278904.7</v>
      </c>
    </row>
    <row r="384" spans="1:12" customFormat="1" ht="17.25" customHeight="1" x14ac:dyDescent="0.3">
      <c r="A384" s="60" t="s">
        <v>854</v>
      </c>
      <c r="B384" s="61" t="s">
        <v>855</v>
      </c>
      <c r="C384" s="37">
        <v>1721.17</v>
      </c>
      <c r="D384" s="37">
        <v>500</v>
      </c>
      <c r="E384" s="37">
        <v>0</v>
      </c>
      <c r="F384" s="37">
        <v>1500</v>
      </c>
      <c r="G384" s="37">
        <v>500</v>
      </c>
      <c r="H384" s="37">
        <v>0</v>
      </c>
      <c r="I384" s="37">
        <v>13650</v>
      </c>
      <c r="J384" s="37">
        <v>5600</v>
      </c>
      <c r="K384" s="76">
        <v>0</v>
      </c>
      <c r="L384" s="37">
        <v>23471.17</v>
      </c>
    </row>
    <row r="385" spans="1:12" customFormat="1" ht="17.25" customHeight="1" x14ac:dyDescent="0.3">
      <c r="A385" s="60" t="s">
        <v>856</v>
      </c>
      <c r="B385" s="61" t="s">
        <v>857</v>
      </c>
      <c r="C385" s="37">
        <v>17288.27</v>
      </c>
      <c r="D385" s="37">
        <v>13500</v>
      </c>
      <c r="E385" s="37">
        <v>15000</v>
      </c>
      <c r="F385" s="37">
        <v>23000</v>
      </c>
      <c r="G385" s="37">
        <v>20000</v>
      </c>
      <c r="H385" s="37">
        <v>36500</v>
      </c>
      <c r="I385" s="37">
        <v>68950</v>
      </c>
      <c r="J385" s="37">
        <v>44398.65</v>
      </c>
      <c r="K385" s="76">
        <v>0</v>
      </c>
      <c r="L385" s="37">
        <v>238636.92</v>
      </c>
    </row>
    <row r="386" spans="1:12" customFormat="1" ht="17.25" customHeight="1" x14ac:dyDescent="0.3">
      <c r="A386" s="60" t="s">
        <v>858</v>
      </c>
      <c r="B386" s="61" t="s">
        <v>859</v>
      </c>
      <c r="C386" s="37">
        <v>84933.79</v>
      </c>
      <c r="D386" s="37">
        <v>41300</v>
      </c>
      <c r="E386" s="37">
        <v>50000</v>
      </c>
      <c r="F386" s="37">
        <v>49500</v>
      </c>
      <c r="G386" s="37">
        <v>57500</v>
      </c>
      <c r="H386" s="37">
        <v>105600</v>
      </c>
      <c r="I386" s="37">
        <v>206150</v>
      </c>
      <c r="J386" s="37">
        <v>159375.1</v>
      </c>
      <c r="K386" s="76">
        <v>0</v>
      </c>
      <c r="L386" s="37">
        <v>754358.89</v>
      </c>
    </row>
    <row r="387" spans="1:12" customFormat="1" ht="17.25" customHeight="1" x14ac:dyDescent="0.3">
      <c r="A387" s="60" t="s">
        <v>860</v>
      </c>
      <c r="B387" s="61" t="s">
        <v>861</v>
      </c>
      <c r="C387" s="37">
        <v>29272.63</v>
      </c>
      <c r="D387" s="37">
        <v>15500</v>
      </c>
      <c r="E387" s="37">
        <v>26000</v>
      </c>
      <c r="F387" s="37">
        <v>27500</v>
      </c>
      <c r="G387" s="37">
        <v>36500</v>
      </c>
      <c r="H387" s="37">
        <v>43600</v>
      </c>
      <c r="I387" s="37">
        <v>87850</v>
      </c>
      <c r="J387" s="37">
        <v>55300</v>
      </c>
      <c r="K387" s="76">
        <v>0</v>
      </c>
      <c r="L387" s="37">
        <v>321522.63</v>
      </c>
    </row>
    <row r="388" spans="1:12" customFormat="1" ht="17.25" customHeight="1" x14ac:dyDescent="0.3">
      <c r="A388" s="60" t="s">
        <v>862</v>
      </c>
      <c r="B388" s="61" t="s">
        <v>863</v>
      </c>
      <c r="C388" s="37">
        <v>11184.36</v>
      </c>
      <c r="D388" s="37">
        <v>3200</v>
      </c>
      <c r="E388" s="37">
        <v>5500</v>
      </c>
      <c r="F388" s="37">
        <v>12000</v>
      </c>
      <c r="G388" s="37">
        <v>4500</v>
      </c>
      <c r="H388" s="37">
        <v>11750</v>
      </c>
      <c r="I388" s="37">
        <v>22750</v>
      </c>
      <c r="J388" s="37">
        <v>19600</v>
      </c>
      <c r="K388" s="76">
        <v>0</v>
      </c>
      <c r="L388" s="37">
        <v>90484.36</v>
      </c>
    </row>
    <row r="389" spans="1:12" customFormat="1" ht="17.25" customHeight="1" x14ac:dyDescent="0.3">
      <c r="A389" s="119" t="s">
        <v>864</v>
      </c>
      <c r="B389" s="64" t="s">
        <v>865</v>
      </c>
      <c r="C389" s="78">
        <v>30824.63</v>
      </c>
      <c r="D389" s="78">
        <v>15286.9</v>
      </c>
      <c r="E389" s="78">
        <v>22500</v>
      </c>
      <c r="F389" s="78">
        <v>42500</v>
      </c>
      <c r="G389" s="78">
        <v>41500</v>
      </c>
      <c r="H389" s="78">
        <v>70450</v>
      </c>
      <c r="I389" s="78">
        <v>151200</v>
      </c>
      <c r="J389" s="78">
        <v>87150</v>
      </c>
      <c r="K389" s="77">
        <v>0</v>
      </c>
      <c r="L389" s="78">
        <v>461411.53</v>
      </c>
    </row>
    <row r="390" spans="1:12" customFormat="1" ht="17.25" customHeight="1" x14ac:dyDescent="0.3">
      <c r="A390" s="138" t="s">
        <v>866</v>
      </c>
      <c r="B390" s="139" t="s">
        <v>867</v>
      </c>
      <c r="C390" s="81">
        <v>513107.13</v>
      </c>
      <c r="D390" s="81">
        <v>234021.75</v>
      </c>
      <c r="E390" s="81">
        <v>308540.21999999997</v>
      </c>
      <c r="F390" s="81">
        <v>330016.27</v>
      </c>
      <c r="G390" s="81">
        <v>331603.96600000001</v>
      </c>
      <c r="H390" s="81">
        <v>774870</v>
      </c>
      <c r="I390" s="81">
        <v>1633974.35</v>
      </c>
      <c r="J390" s="81">
        <v>1022745.75</v>
      </c>
      <c r="K390" s="73">
        <v>0</v>
      </c>
      <c r="L390" s="81">
        <v>5148879.4359999998</v>
      </c>
    </row>
    <row r="391" spans="1:12" customFormat="1" ht="17.25" customHeight="1" x14ac:dyDescent="0.3">
      <c r="A391" s="140" t="s">
        <v>868</v>
      </c>
      <c r="B391" s="141" t="s">
        <v>869</v>
      </c>
      <c r="C391" s="37">
        <v>3322.75</v>
      </c>
      <c r="D391" s="37">
        <v>2200</v>
      </c>
      <c r="E391" s="37">
        <v>1500</v>
      </c>
      <c r="F391" s="37">
        <v>5500</v>
      </c>
      <c r="G391" s="37">
        <v>4000</v>
      </c>
      <c r="H391" s="37">
        <v>3500</v>
      </c>
      <c r="I391" s="37">
        <v>14000</v>
      </c>
      <c r="J391" s="37">
        <v>7700</v>
      </c>
      <c r="K391" s="76">
        <v>0</v>
      </c>
      <c r="L391" s="37">
        <v>41722.75</v>
      </c>
    </row>
    <row r="392" spans="1:12" customFormat="1" ht="17.25" customHeight="1" x14ac:dyDescent="0.3">
      <c r="A392" s="60" t="s">
        <v>870</v>
      </c>
      <c r="B392" s="61" t="s">
        <v>871</v>
      </c>
      <c r="C392" s="37">
        <v>22661.86</v>
      </c>
      <c r="D392" s="37">
        <v>11575</v>
      </c>
      <c r="E392" s="37">
        <v>17000</v>
      </c>
      <c r="F392" s="37">
        <v>14500</v>
      </c>
      <c r="G392" s="37">
        <v>13000</v>
      </c>
      <c r="H392" s="37">
        <v>36600</v>
      </c>
      <c r="I392" s="37">
        <v>107450</v>
      </c>
      <c r="J392" s="37">
        <v>63700</v>
      </c>
      <c r="K392" s="76">
        <v>0</v>
      </c>
      <c r="L392" s="37">
        <v>286486.86</v>
      </c>
    </row>
    <row r="393" spans="1:12" customFormat="1" ht="17.25" customHeight="1" x14ac:dyDescent="0.3">
      <c r="A393" s="60" t="s">
        <v>872</v>
      </c>
      <c r="B393" s="61" t="s">
        <v>873</v>
      </c>
      <c r="C393" s="37">
        <v>26071.27</v>
      </c>
      <c r="D393" s="37">
        <v>7400</v>
      </c>
      <c r="E393" s="37">
        <v>13000</v>
      </c>
      <c r="F393" s="37">
        <v>11998.78</v>
      </c>
      <c r="G393" s="37">
        <v>18500</v>
      </c>
      <c r="H393" s="37">
        <v>28370</v>
      </c>
      <c r="I393" s="37">
        <v>79100</v>
      </c>
      <c r="J393" s="37">
        <v>44171.75</v>
      </c>
      <c r="K393" s="76">
        <v>0</v>
      </c>
      <c r="L393" s="37">
        <v>228611.8</v>
      </c>
    </row>
    <row r="394" spans="1:12" customFormat="1" ht="17.25" customHeight="1" x14ac:dyDescent="0.3">
      <c r="A394" s="60" t="s">
        <v>874</v>
      </c>
      <c r="B394" s="61" t="s">
        <v>875</v>
      </c>
      <c r="C394" s="37">
        <v>44535.7</v>
      </c>
      <c r="D394" s="37">
        <v>29900</v>
      </c>
      <c r="E394" s="37">
        <v>37500</v>
      </c>
      <c r="F394" s="37">
        <v>35734.51</v>
      </c>
      <c r="G394" s="37">
        <v>39997.879999999997</v>
      </c>
      <c r="H394" s="37">
        <v>122650</v>
      </c>
      <c r="I394" s="37">
        <v>207726.9325</v>
      </c>
      <c r="J394" s="37">
        <v>126674</v>
      </c>
      <c r="K394" s="76">
        <v>0</v>
      </c>
      <c r="L394" s="37">
        <v>644719.02249999996</v>
      </c>
    </row>
    <row r="395" spans="1:12" customFormat="1" ht="17.25" customHeight="1" x14ac:dyDescent="0.3">
      <c r="A395" s="60" t="s">
        <v>876</v>
      </c>
      <c r="B395" s="61" t="s">
        <v>877</v>
      </c>
      <c r="C395" s="37">
        <v>38848.04</v>
      </c>
      <c r="D395" s="37">
        <v>10700</v>
      </c>
      <c r="E395" s="37">
        <v>20000</v>
      </c>
      <c r="F395" s="37">
        <v>20500</v>
      </c>
      <c r="G395" s="37">
        <v>19500</v>
      </c>
      <c r="H395" s="37">
        <v>42500</v>
      </c>
      <c r="I395" s="37">
        <v>86450</v>
      </c>
      <c r="J395" s="37">
        <v>65100</v>
      </c>
      <c r="K395" s="76">
        <v>0</v>
      </c>
      <c r="L395" s="37">
        <v>303598.03999999998</v>
      </c>
    </row>
    <row r="396" spans="1:12" customFormat="1" ht="17.25" customHeight="1" x14ac:dyDescent="0.3">
      <c r="A396" s="60" t="s">
        <v>878</v>
      </c>
      <c r="B396" s="61" t="s">
        <v>879</v>
      </c>
      <c r="C396" s="37">
        <v>1742.84</v>
      </c>
      <c r="D396" s="37">
        <v>3000</v>
      </c>
      <c r="E396" s="37">
        <v>4000</v>
      </c>
      <c r="F396" s="37">
        <v>5000</v>
      </c>
      <c r="G396" s="37">
        <v>5000</v>
      </c>
      <c r="H396" s="37">
        <v>11700</v>
      </c>
      <c r="I396" s="37">
        <v>23450</v>
      </c>
      <c r="J396" s="37">
        <v>17150</v>
      </c>
      <c r="K396" s="76">
        <v>0</v>
      </c>
      <c r="L396" s="37">
        <v>71042.84</v>
      </c>
    </row>
    <row r="397" spans="1:12" customFormat="1" ht="17.25" customHeight="1" x14ac:dyDescent="0.3">
      <c r="A397" s="60" t="s">
        <v>880</v>
      </c>
      <c r="B397" s="61" t="s">
        <v>881</v>
      </c>
      <c r="C397" s="37">
        <v>20747.18</v>
      </c>
      <c r="D397" s="37">
        <v>11500</v>
      </c>
      <c r="E397" s="37">
        <v>11500</v>
      </c>
      <c r="F397" s="37">
        <v>16500</v>
      </c>
      <c r="G397" s="37">
        <v>13000</v>
      </c>
      <c r="H397" s="37">
        <v>23150</v>
      </c>
      <c r="I397" s="37">
        <v>65450</v>
      </c>
      <c r="J397" s="37">
        <v>41650</v>
      </c>
      <c r="K397" s="76">
        <v>0</v>
      </c>
      <c r="L397" s="37">
        <v>203497.18</v>
      </c>
    </row>
    <row r="398" spans="1:12" customFormat="1" ht="17.25" customHeight="1" x14ac:dyDescent="0.3">
      <c r="A398" s="60" t="s">
        <v>882</v>
      </c>
      <c r="B398" s="61" t="s">
        <v>883</v>
      </c>
      <c r="C398" s="37">
        <v>18851.09</v>
      </c>
      <c r="D398" s="37">
        <v>9200</v>
      </c>
      <c r="E398" s="37">
        <v>4500</v>
      </c>
      <c r="F398" s="37">
        <v>13999.5</v>
      </c>
      <c r="G398" s="37">
        <v>10500</v>
      </c>
      <c r="H398" s="37">
        <v>17850</v>
      </c>
      <c r="I398" s="37">
        <v>49350</v>
      </c>
      <c r="J398" s="37">
        <v>31850</v>
      </c>
      <c r="K398" s="76">
        <v>0</v>
      </c>
      <c r="L398" s="37">
        <v>156100.59</v>
      </c>
    </row>
    <row r="399" spans="1:12" customFormat="1" ht="17.25" customHeight="1" x14ac:dyDescent="0.3">
      <c r="A399" s="60" t="s">
        <v>884</v>
      </c>
      <c r="B399" s="61" t="s">
        <v>885</v>
      </c>
      <c r="C399" s="37">
        <v>40790.9</v>
      </c>
      <c r="D399" s="37">
        <v>8100</v>
      </c>
      <c r="E399" s="37">
        <v>19500</v>
      </c>
      <c r="F399" s="37">
        <v>23957.55</v>
      </c>
      <c r="G399" s="37">
        <v>17977.900000000001</v>
      </c>
      <c r="H399" s="37">
        <v>53550</v>
      </c>
      <c r="I399" s="37">
        <v>112000</v>
      </c>
      <c r="J399" s="37">
        <v>85050</v>
      </c>
      <c r="K399" s="76">
        <v>0</v>
      </c>
      <c r="L399" s="37">
        <v>360926.35</v>
      </c>
    </row>
    <row r="400" spans="1:12" customFormat="1" ht="17.25" customHeight="1" x14ac:dyDescent="0.3">
      <c r="A400" s="60" t="s">
        <v>886</v>
      </c>
      <c r="B400" s="61" t="s">
        <v>887</v>
      </c>
      <c r="C400" s="37">
        <v>11316.86</v>
      </c>
      <c r="D400" s="37">
        <v>8000</v>
      </c>
      <c r="E400" s="37">
        <v>10000</v>
      </c>
      <c r="F400" s="37">
        <v>12000</v>
      </c>
      <c r="G400" s="37">
        <v>8000</v>
      </c>
      <c r="H400" s="37">
        <v>21800</v>
      </c>
      <c r="I400" s="37">
        <v>37200.657500000001</v>
      </c>
      <c r="J400" s="37">
        <v>24500</v>
      </c>
      <c r="K400" s="76">
        <v>0</v>
      </c>
      <c r="L400" s="37">
        <v>132817.51749999999</v>
      </c>
    </row>
    <row r="401" spans="1:12" customFormat="1" ht="17.25" customHeight="1" x14ac:dyDescent="0.3">
      <c r="A401" s="60" t="s">
        <v>888</v>
      </c>
      <c r="B401" s="61" t="s">
        <v>889</v>
      </c>
      <c r="C401" s="37">
        <v>20740.45</v>
      </c>
      <c r="D401" s="37">
        <v>5800</v>
      </c>
      <c r="E401" s="37">
        <v>6000</v>
      </c>
      <c r="F401" s="37">
        <v>5500</v>
      </c>
      <c r="G401" s="37">
        <v>5000</v>
      </c>
      <c r="H401" s="37">
        <v>15450</v>
      </c>
      <c r="I401" s="37">
        <v>35500</v>
      </c>
      <c r="J401" s="37">
        <v>22750</v>
      </c>
      <c r="K401" s="76">
        <v>0</v>
      </c>
      <c r="L401" s="37">
        <v>116740.45</v>
      </c>
    </row>
    <row r="402" spans="1:12" customFormat="1" ht="17.25" customHeight="1" x14ac:dyDescent="0.3">
      <c r="A402" s="60" t="s">
        <v>890</v>
      </c>
      <c r="B402" s="61" t="s">
        <v>891</v>
      </c>
      <c r="C402" s="37">
        <v>5669.68</v>
      </c>
      <c r="D402" s="37">
        <v>1500</v>
      </c>
      <c r="E402" s="37">
        <v>3500</v>
      </c>
      <c r="F402" s="37">
        <v>3500</v>
      </c>
      <c r="G402" s="37">
        <v>2500</v>
      </c>
      <c r="H402" s="37">
        <v>6300</v>
      </c>
      <c r="I402" s="37">
        <v>18550</v>
      </c>
      <c r="J402" s="37">
        <v>9450</v>
      </c>
      <c r="K402" s="76">
        <v>0</v>
      </c>
      <c r="L402" s="37">
        <v>50969.68</v>
      </c>
    </row>
    <row r="403" spans="1:12" customFormat="1" ht="17.25" customHeight="1" x14ac:dyDescent="0.3">
      <c r="A403" s="60" t="s">
        <v>892</v>
      </c>
      <c r="B403" s="61" t="s">
        <v>893</v>
      </c>
      <c r="C403" s="37">
        <v>24466.45</v>
      </c>
      <c r="D403" s="37">
        <v>17600</v>
      </c>
      <c r="E403" s="37">
        <v>25887.74</v>
      </c>
      <c r="F403" s="37">
        <v>22500</v>
      </c>
      <c r="G403" s="37">
        <v>31500</v>
      </c>
      <c r="H403" s="37">
        <v>52950</v>
      </c>
      <c r="I403" s="37">
        <v>82950</v>
      </c>
      <c r="J403" s="37">
        <v>48650</v>
      </c>
      <c r="K403" s="76">
        <v>0</v>
      </c>
      <c r="L403" s="37">
        <v>306504.19</v>
      </c>
    </row>
    <row r="404" spans="1:12" customFormat="1" ht="17.25" customHeight="1" x14ac:dyDescent="0.3">
      <c r="A404" s="60" t="s">
        <v>894</v>
      </c>
      <c r="B404" s="61" t="s">
        <v>895</v>
      </c>
      <c r="C404" s="37">
        <v>23629.38</v>
      </c>
      <c r="D404" s="37">
        <v>10500</v>
      </c>
      <c r="E404" s="37">
        <v>6500</v>
      </c>
      <c r="F404" s="37">
        <v>8000</v>
      </c>
      <c r="G404" s="37">
        <v>7500</v>
      </c>
      <c r="H404" s="37">
        <v>28350</v>
      </c>
      <c r="I404" s="37">
        <v>71700</v>
      </c>
      <c r="J404" s="37">
        <v>44450</v>
      </c>
      <c r="K404" s="76">
        <v>0</v>
      </c>
      <c r="L404" s="37">
        <v>200629.38</v>
      </c>
    </row>
    <row r="405" spans="1:12" customFormat="1" ht="17.25" customHeight="1" x14ac:dyDescent="0.3">
      <c r="A405" s="60" t="s">
        <v>896</v>
      </c>
      <c r="B405" s="61" t="s">
        <v>897</v>
      </c>
      <c r="C405" s="37">
        <v>31466.02</v>
      </c>
      <c r="D405" s="37">
        <v>14500</v>
      </c>
      <c r="E405" s="37">
        <v>14500</v>
      </c>
      <c r="F405" s="37">
        <v>19500</v>
      </c>
      <c r="G405" s="37">
        <v>27135</v>
      </c>
      <c r="H405" s="37">
        <v>41850</v>
      </c>
      <c r="I405" s="37">
        <v>88850</v>
      </c>
      <c r="J405" s="37">
        <v>59500</v>
      </c>
      <c r="K405" s="76">
        <v>0</v>
      </c>
      <c r="L405" s="37">
        <v>297301.02</v>
      </c>
    </row>
    <row r="406" spans="1:12" customFormat="1" ht="17.25" customHeight="1" x14ac:dyDescent="0.3">
      <c r="A406" s="60" t="s">
        <v>898</v>
      </c>
      <c r="B406" s="61" t="s">
        <v>899</v>
      </c>
      <c r="C406" s="37">
        <v>14724.68</v>
      </c>
      <c r="D406" s="37">
        <v>5700</v>
      </c>
      <c r="E406" s="37">
        <v>9500</v>
      </c>
      <c r="F406" s="37">
        <v>11000</v>
      </c>
      <c r="G406" s="37">
        <v>10500</v>
      </c>
      <c r="H406" s="37">
        <v>21750</v>
      </c>
      <c r="I406" s="37">
        <v>42350</v>
      </c>
      <c r="J406" s="37">
        <v>23100</v>
      </c>
      <c r="K406" s="76">
        <v>0</v>
      </c>
      <c r="L406" s="37">
        <v>138624.68</v>
      </c>
    </row>
    <row r="407" spans="1:12" customFormat="1" ht="17.25" customHeight="1" x14ac:dyDescent="0.3">
      <c r="A407" s="60" t="s">
        <v>900</v>
      </c>
      <c r="B407" s="61" t="s">
        <v>901</v>
      </c>
      <c r="C407" s="37">
        <v>16138.93</v>
      </c>
      <c r="D407" s="37">
        <v>8600</v>
      </c>
      <c r="E407" s="37">
        <v>16952.48</v>
      </c>
      <c r="F407" s="37">
        <v>16500</v>
      </c>
      <c r="G407" s="37">
        <v>22500</v>
      </c>
      <c r="H407" s="37">
        <v>31900</v>
      </c>
      <c r="I407" s="37">
        <v>48999.252500000002</v>
      </c>
      <c r="J407" s="37">
        <v>35350</v>
      </c>
      <c r="K407" s="76">
        <v>0</v>
      </c>
      <c r="L407" s="37">
        <v>196940.66250000001</v>
      </c>
    </row>
    <row r="408" spans="1:12" customFormat="1" ht="17.25" customHeight="1" x14ac:dyDescent="0.3">
      <c r="A408" s="60" t="s">
        <v>902</v>
      </c>
      <c r="B408" s="61" t="s">
        <v>903</v>
      </c>
      <c r="C408" s="37">
        <v>25931.54</v>
      </c>
      <c r="D408" s="37">
        <v>14900</v>
      </c>
      <c r="E408" s="37">
        <v>14500</v>
      </c>
      <c r="F408" s="37">
        <v>15500</v>
      </c>
      <c r="G408" s="37">
        <v>14998.005999999999</v>
      </c>
      <c r="H408" s="37">
        <v>39750</v>
      </c>
      <c r="I408" s="37">
        <v>108650</v>
      </c>
      <c r="J408" s="37">
        <v>54950</v>
      </c>
      <c r="K408" s="76">
        <v>0</v>
      </c>
      <c r="L408" s="37">
        <v>289179.54599999997</v>
      </c>
    </row>
    <row r="409" spans="1:12" customFormat="1" ht="17.25" customHeight="1" x14ac:dyDescent="0.3">
      <c r="A409" s="60" t="s">
        <v>904</v>
      </c>
      <c r="B409" s="61" t="s">
        <v>905</v>
      </c>
      <c r="C409" s="37">
        <v>53855.45</v>
      </c>
      <c r="D409" s="37">
        <v>16746.75</v>
      </c>
      <c r="E409" s="37">
        <v>20200</v>
      </c>
      <c r="F409" s="37">
        <v>27000</v>
      </c>
      <c r="G409" s="37">
        <v>22000</v>
      </c>
      <c r="H409" s="37">
        <v>70550</v>
      </c>
      <c r="I409" s="37">
        <v>132743.75750000001</v>
      </c>
      <c r="J409" s="37">
        <v>81900</v>
      </c>
      <c r="K409" s="76">
        <v>0</v>
      </c>
      <c r="L409" s="37">
        <v>424995.95750000002</v>
      </c>
    </row>
    <row r="410" spans="1:12" customFormat="1" ht="17.25" customHeight="1" x14ac:dyDescent="0.3">
      <c r="A410" s="60" t="s">
        <v>906</v>
      </c>
      <c r="B410" s="61" t="s">
        <v>907</v>
      </c>
      <c r="C410" s="37">
        <v>14346.75</v>
      </c>
      <c r="D410" s="37">
        <v>5900</v>
      </c>
      <c r="E410" s="37">
        <v>5500</v>
      </c>
      <c r="F410" s="37">
        <v>7370.89</v>
      </c>
      <c r="G410" s="37">
        <v>4500</v>
      </c>
      <c r="H410" s="37">
        <v>20900</v>
      </c>
      <c r="I410" s="37">
        <v>40600</v>
      </c>
      <c r="J410" s="37">
        <v>24150</v>
      </c>
      <c r="K410" s="76">
        <v>0</v>
      </c>
      <c r="L410" s="37">
        <v>123267.64</v>
      </c>
    </row>
    <row r="411" spans="1:12" customFormat="1" ht="17.25" customHeight="1" x14ac:dyDescent="0.3">
      <c r="A411" s="60" t="s">
        <v>908</v>
      </c>
      <c r="B411" s="61" t="s">
        <v>909</v>
      </c>
      <c r="C411" s="37">
        <v>34028.54</v>
      </c>
      <c r="D411" s="37">
        <v>21200</v>
      </c>
      <c r="E411" s="37">
        <v>30000</v>
      </c>
      <c r="F411" s="37">
        <v>17955.04</v>
      </c>
      <c r="G411" s="37">
        <v>23995.18</v>
      </c>
      <c r="H411" s="37">
        <v>61050</v>
      </c>
      <c r="I411" s="37">
        <v>107450</v>
      </c>
      <c r="J411" s="37">
        <v>67550</v>
      </c>
      <c r="K411" s="76">
        <v>0</v>
      </c>
      <c r="L411" s="37">
        <v>363228.76</v>
      </c>
    </row>
    <row r="412" spans="1:12" customFormat="1" ht="17.25" customHeight="1" x14ac:dyDescent="0.3">
      <c r="A412" s="119" t="s">
        <v>910</v>
      </c>
      <c r="B412" s="64" t="s">
        <v>911</v>
      </c>
      <c r="C412" s="78">
        <v>19220.77</v>
      </c>
      <c r="D412" s="78">
        <v>9500</v>
      </c>
      <c r="E412" s="78">
        <v>17000</v>
      </c>
      <c r="F412" s="78">
        <v>16000</v>
      </c>
      <c r="G412" s="78">
        <v>10000</v>
      </c>
      <c r="H412" s="78">
        <v>22400</v>
      </c>
      <c r="I412" s="78">
        <v>73453.75</v>
      </c>
      <c r="J412" s="78">
        <v>43400</v>
      </c>
      <c r="K412" s="77">
        <v>0</v>
      </c>
      <c r="L412" s="78">
        <v>210974.52</v>
      </c>
    </row>
    <row r="413" spans="1:12" customFormat="1" ht="17.25" customHeight="1" x14ac:dyDescent="0.3">
      <c r="A413" s="136" t="s">
        <v>912</v>
      </c>
      <c r="B413" s="123" t="s">
        <v>913</v>
      </c>
      <c r="C413" s="73">
        <v>329037.99</v>
      </c>
      <c r="D413" s="73">
        <v>148757.87</v>
      </c>
      <c r="E413" s="73">
        <v>201372.99299999999</v>
      </c>
      <c r="F413" s="73">
        <v>198209.77100000001</v>
      </c>
      <c r="G413" s="73">
        <v>175000</v>
      </c>
      <c r="H413" s="73">
        <v>318400</v>
      </c>
      <c r="I413" s="73">
        <v>663622.5</v>
      </c>
      <c r="J413" s="73">
        <v>454300</v>
      </c>
      <c r="K413" s="73">
        <v>0</v>
      </c>
      <c r="L413" s="73">
        <v>2488701.1239999998</v>
      </c>
    </row>
    <row r="414" spans="1:12" customFormat="1" ht="17.25" customHeight="1" x14ac:dyDescent="0.3">
      <c r="A414" s="60" t="s">
        <v>914</v>
      </c>
      <c r="B414" s="61" t="s">
        <v>915</v>
      </c>
      <c r="C414" s="37">
        <v>47984.34</v>
      </c>
      <c r="D414" s="37">
        <v>15800</v>
      </c>
      <c r="E414" s="37">
        <v>28488.7</v>
      </c>
      <c r="F414" s="37">
        <v>22475.006000000001</v>
      </c>
      <c r="G414" s="37">
        <v>17000</v>
      </c>
      <c r="H414" s="37">
        <v>37500</v>
      </c>
      <c r="I414" s="37">
        <v>65800</v>
      </c>
      <c r="J414" s="37">
        <v>47950</v>
      </c>
      <c r="K414" s="76">
        <v>0</v>
      </c>
      <c r="L414" s="37">
        <v>282998.04599999997</v>
      </c>
    </row>
    <row r="415" spans="1:12" customFormat="1" ht="17.25" customHeight="1" x14ac:dyDescent="0.3">
      <c r="A415" s="60" t="s">
        <v>916</v>
      </c>
      <c r="B415" s="61" t="s">
        <v>917</v>
      </c>
      <c r="C415" s="37">
        <v>40227.879999999997</v>
      </c>
      <c r="D415" s="37">
        <v>18488.25</v>
      </c>
      <c r="E415" s="37">
        <v>28986.76</v>
      </c>
      <c r="F415" s="37">
        <v>24901.006000000001</v>
      </c>
      <c r="G415" s="37">
        <v>26000</v>
      </c>
      <c r="H415" s="37">
        <v>51500</v>
      </c>
      <c r="I415" s="37">
        <v>96250</v>
      </c>
      <c r="J415" s="37">
        <v>64400</v>
      </c>
      <c r="K415" s="76">
        <v>0</v>
      </c>
      <c r="L415" s="37">
        <v>350753.89600000001</v>
      </c>
    </row>
    <row r="416" spans="1:12" customFormat="1" ht="17.25" customHeight="1" x14ac:dyDescent="0.3">
      <c r="A416" s="60" t="s">
        <v>918</v>
      </c>
      <c r="B416" s="61" t="s">
        <v>919</v>
      </c>
      <c r="C416" s="37">
        <v>42892.19</v>
      </c>
      <c r="D416" s="37">
        <v>18500</v>
      </c>
      <c r="E416" s="37">
        <v>27922.5</v>
      </c>
      <c r="F416" s="37">
        <v>25447.743999999999</v>
      </c>
      <c r="G416" s="37">
        <v>22000</v>
      </c>
      <c r="H416" s="37">
        <v>25600</v>
      </c>
      <c r="I416" s="37">
        <v>74222.5</v>
      </c>
      <c r="J416" s="37">
        <v>48300</v>
      </c>
      <c r="K416" s="76">
        <v>0</v>
      </c>
      <c r="L416" s="37">
        <v>284884.93400000001</v>
      </c>
    </row>
    <row r="417" spans="1:12" customFormat="1" ht="17.25" customHeight="1" x14ac:dyDescent="0.3">
      <c r="A417" s="60" t="s">
        <v>920</v>
      </c>
      <c r="B417" s="61" t="s">
        <v>921</v>
      </c>
      <c r="C417" s="37">
        <v>35798.620000000003</v>
      </c>
      <c r="D417" s="37">
        <v>21682.13</v>
      </c>
      <c r="E417" s="37">
        <v>30475.032999999999</v>
      </c>
      <c r="F417" s="37">
        <v>31475.006000000001</v>
      </c>
      <c r="G417" s="37">
        <v>29000</v>
      </c>
      <c r="H417" s="37">
        <v>63450</v>
      </c>
      <c r="I417" s="37">
        <v>115500</v>
      </c>
      <c r="J417" s="37">
        <v>72100</v>
      </c>
      <c r="K417" s="76">
        <v>0</v>
      </c>
      <c r="L417" s="37">
        <v>399480.78899999999</v>
      </c>
    </row>
    <row r="418" spans="1:12" customFormat="1" ht="17.25" customHeight="1" x14ac:dyDescent="0.3">
      <c r="A418" s="60" t="s">
        <v>922</v>
      </c>
      <c r="B418" s="61" t="s">
        <v>923</v>
      </c>
      <c r="C418" s="37">
        <v>21899.91</v>
      </c>
      <c r="D418" s="37">
        <v>7600</v>
      </c>
      <c r="E418" s="37">
        <v>14500</v>
      </c>
      <c r="F418" s="37">
        <v>11487.503000000001</v>
      </c>
      <c r="G418" s="37">
        <v>12000</v>
      </c>
      <c r="H418" s="37">
        <v>16750</v>
      </c>
      <c r="I418" s="37">
        <v>47950</v>
      </c>
      <c r="J418" s="37">
        <v>35350</v>
      </c>
      <c r="K418" s="76">
        <v>0</v>
      </c>
      <c r="L418" s="37">
        <v>167537.413</v>
      </c>
    </row>
    <row r="419" spans="1:12" customFormat="1" ht="17.25" customHeight="1" x14ac:dyDescent="0.3">
      <c r="A419" s="60" t="s">
        <v>924</v>
      </c>
      <c r="B419" s="61" t="s">
        <v>925</v>
      </c>
      <c r="C419" s="37">
        <v>17399.919999999998</v>
      </c>
      <c r="D419" s="37">
        <v>4400</v>
      </c>
      <c r="E419" s="37">
        <v>10000</v>
      </c>
      <c r="F419" s="37">
        <v>7500</v>
      </c>
      <c r="G419" s="37">
        <v>10000</v>
      </c>
      <c r="H419" s="37">
        <v>6900</v>
      </c>
      <c r="I419" s="37">
        <v>25200</v>
      </c>
      <c r="J419" s="37">
        <v>13300</v>
      </c>
      <c r="K419" s="76">
        <v>0</v>
      </c>
      <c r="L419" s="37">
        <v>94699.92</v>
      </c>
    </row>
    <row r="420" spans="1:12" customFormat="1" ht="17.25" customHeight="1" x14ac:dyDescent="0.3">
      <c r="A420" s="60" t="s">
        <v>926</v>
      </c>
      <c r="B420" s="61" t="s">
        <v>927</v>
      </c>
      <c r="C420" s="37">
        <v>11592.13</v>
      </c>
      <c r="D420" s="37">
        <v>4300</v>
      </c>
      <c r="E420" s="37">
        <v>2000</v>
      </c>
      <c r="F420" s="37">
        <v>6000</v>
      </c>
      <c r="G420" s="37">
        <v>4500</v>
      </c>
      <c r="H420" s="37">
        <v>8300</v>
      </c>
      <c r="I420" s="37">
        <v>17150</v>
      </c>
      <c r="J420" s="37">
        <v>16800</v>
      </c>
      <c r="K420" s="76">
        <v>0</v>
      </c>
      <c r="L420" s="37">
        <v>70642.13</v>
      </c>
    </row>
    <row r="421" spans="1:12" customFormat="1" ht="17.25" customHeight="1" x14ac:dyDescent="0.3">
      <c r="A421" s="60" t="s">
        <v>928</v>
      </c>
      <c r="B421" s="61" t="s">
        <v>929</v>
      </c>
      <c r="C421" s="37">
        <v>34520.58</v>
      </c>
      <c r="D421" s="37">
        <v>20900</v>
      </c>
      <c r="E421" s="37">
        <v>25500</v>
      </c>
      <c r="F421" s="37">
        <v>28475.006000000001</v>
      </c>
      <c r="G421" s="37">
        <v>20500</v>
      </c>
      <c r="H421" s="37">
        <v>52050</v>
      </c>
      <c r="I421" s="37">
        <v>99400</v>
      </c>
      <c r="J421" s="37">
        <v>64050</v>
      </c>
      <c r="K421" s="76">
        <v>0</v>
      </c>
      <c r="L421" s="37">
        <v>345395.58600000001</v>
      </c>
    </row>
    <row r="422" spans="1:12" customFormat="1" ht="17.25" customHeight="1" x14ac:dyDescent="0.3">
      <c r="A422" s="60" t="s">
        <v>930</v>
      </c>
      <c r="B422" s="61" t="s">
        <v>931</v>
      </c>
      <c r="C422" s="37">
        <v>37146.6</v>
      </c>
      <c r="D422" s="37">
        <v>14300</v>
      </c>
      <c r="E422" s="37">
        <v>18000</v>
      </c>
      <c r="F422" s="37">
        <v>17987.503000000001</v>
      </c>
      <c r="G422" s="37">
        <v>15000</v>
      </c>
      <c r="H422" s="37">
        <v>19750</v>
      </c>
      <c r="I422" s="37">
        <v>41650</v>
      </c>
      <c r="J422" s="37">
        <v>37100</v>
      </c>
      <c r="K422" s="76">
        <v>0</v>
      </c>
      <c r="L422" s="37">
        <v>200934.103</v>
      </c>
    </row>
    <row r="423" spans="1:12" customFormat="1" ht="17.25" customHeight="1" x14ac:dyDescent="0.3">
      <c r="A423" s="60" t="s">
        <v>932</v>
      </c>
      <c r="B423" s="61" t="s">
        <v>933</v>
      </c>
      <c r="C423" s="37">
        <v>18999.88</v>
      </c>
      <c r="D423" s="37">
        <v>9700</v>
      </c>
      <c r="E423" s="37">
        <v>5000</v>
      </c>
      <c r="F423" s="37">
        <v>8973.4940000000006</v>
      </c>
      <c r="G423" s="37">
        <v>5000</v>
      </c>
      <c r="H423" s="37">
        <v>17300</v>
      </c>
      <c r="I423" s="37">
        <v>23450</v>
      </c>
      <c r="J423" s="37">
        <v>19950</v>
      </c>
      <c r="K423" s="76">
        <v>0</v>
      </c>
      <c r="L423" s="37">
        <v>108373.374</v>
      </c>
    </row>
    <row r="424" spans="1:12" customFormat="1" ht="17.25" customHeight="1" x14ac:dyDescent="0.3">
      <c r="A424" s="119" t="s">
        <v>934</v>
      </c>
      <c r="B424" s="64" t="s">
        <v>935</v>
      </c>
      <c r="C424" s="37">
        <v>20575.939999999999</v>
      </c>
      <c r="D424" s="37">
        <v>13087.49</v>
      </c>
      <c r="E424" s="37">
        <v>10500</v>
      </c>
      <c r="F424" s="37">
        <v>13487.503000000001</v>
      </c>
      <c r="G424" s="37">
        <v>14000</v>
      </c>
      <c r="H424" s="37">
        <v>19300</v>
      </c>
      <c r="I424" s="37">
        <v>57050</v>
      </c>
      <c r="J424" s="37">
        <v>35000</v>
      </c>
      <c r="K424" s="76">
        <v>0</v>
      </c>
      <c r="L424" s="37">
        <v>183000.93299999999</v>
      </c>
    </row>
    <row r="425" spans="1:12" customFormat="1" ht="17.25" customHeight="1" x14ac:dyDescent="0.3">
      <c r="A425" s="122" t="s">
        <v>1158</v>
      </c>
      <c r="B425" s="123" t="s">
        <v>1158</v>
      </c>
      <c r="C425" s="142">
        <v>20096.09</v>
      </c>
      <c r="D425" s="142">
        <v>6050.7</v>
      </c>
      <c r="E425" s="142">
        <v>13000</v>
      </c>
      <c r="F425" s="142">
        <v>45500</v>
      </c>
      <c r="G425" s="142">
        <v>187977.21599999999</v>
      </c>
      <c r="H425" s="142">
        <v>303950</v>
      </c>
      <c r="I425" s="143">
        <v>376478.79249999998</v>
      </c>
      <c r="J425" s="143">
        <v>325150</v>
      </c>
      <c r="K425" s="143">
        <v>557</v>
      </c>
      <c r="L425" s="143">
        <v>1278759.7985</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1B7A-6932-4EBD-864B-BBA82E50FBD7}">
  <dimension ref="A1:I426"/>
  <sheetViews>
    <sheetView workbookViewId="0"/>
  </sheetViews>
  <sheetFormatPr defaultColWidth="18.88671875" defaultRowHeight="14.4" x14ac:dyDescent="0.3"/>
  <cols>
    <col min="1" max="1" width="14.6640625" customWidth="1"/>
    <col min="2" max="2" width="39.44140625" customWidth="1"/>
    <col min="3" max="3" width="10.5546875" customWidth="1"/>
    <col min="4" max="4" width="12.5546875" customWidth="1"/>
    <col min="5" max="5" width="13.21875" customWidth="1"/>
    <col min="6" max="6" width="18.88671875" customWidth="1"/>
  </cols>
  <sheetData>
    <row r="1" spans="1:8" ht="19.2" x14ac:dyDescent="0.35">
      <c r="A1" s="28" t="s">
        <v>4283</v>
      </c>
      <c r="B1" s="36"/>
      <c r="C1" s="118"/>
      <c r="D1" s="118"/>
      <c r="E1" s="36"/>
      <c r="F1" s="36"/>
      <c r="G1" s="36"/>
      <c r="H1" s="36"/>
    </row>
    <row r="2" spans="1:8" ht="15.6" x14ac:dyDescent="0.3">
      <c r="A2" s="30" t="s">
        <v>62</v>
      </c>
      <c r="B2" s="36"/>
      <c r="C2" s="118"/>
      <c r="D2" s="118"/>
      <c r="E2" s="36"/>
      <c r="F2" s="36"/>
      <c r="G2" s="36"/>
      <c r="H2" s="36"/>
    </row>
    <row r="3" spans="1:8" ht="15" thickBot="1" x14ac:dyDescent="0.35">
      <c r="A3" s="52" t="s">
        <v>91</v>
      </c>
      <c r="B3" s="52" t="s">
        <v>92</v>
      </c>
      <c r="C3" s="53" t="s">
        <v>4284</v>
      </c>
      <c r="D3" s="53" t="s">
        <v>4285</v>
      </c>
      <c r="E3" s="87" t="s">
        <v>945</v>
      </c>
      <c r="F3" s="36"/>
      <c r="G3" s="36"/>
      <c r="H3" s="36"/>
    </row>
    <row r="4" spans="1:8" x14ac:dyDescent="0.3">
      <c r="A4" s="54" t="s">
        <v>94</v>
      </c>
      <c r="B4" s="54" t="s">
        <v>4286</v>
      </c>
      <c r="C4" s="55">
        <v>5044</v>
      </c>
      <c r="D4" s="55">
        <v>35289</v>
      </c>
      <c r="E4" s="55">
        <v>40333</v>
      </c>
      <c r="F4" s="36"/>
      <c r="G4" s="36"/>
      <c r="H4" s="36"/>
    </row>
    <row r="5" spans="1:8" x14ac:dyDescent="0.3">
      <c r="A5" s="54" t="s">
        <v>96</v>
      </c>
      <c r="B5" s="56" t="s">
        <v>4287</v>
      </c>
      <c r="C5" s="55">
        <v>4878</v>
      </c>
      <c r="D5" s="55">
        <v>32699</v>
      </c>
      <c r="E5" s="55">
        <v>37577</v>
      </c>
      <c r="F5" s="36"/>
      <c r="G5" s="36"/>
      <c r="H5" s="36"/>
    </row>
    <row r="6" spans="1:8" x14ac:dyDescent="0.3">
      <c r="A6" s="57" t="s">
        <v>98</v>
      </c>
      <c r="B6" s="58" t="s">
        <v>4288</v>
      </c>
      <c r="C6" s="59">
        <v>4505</v>
      </c>
      <c r="D6" s="59">
        <v>30682</v>
      </c>
      <c r="E6" s="59">
        <v>35187</v>
      </c>
      <c r="F6" s="36"/>
      <c r="G6" s="36"/>
      <c r="H6" s="36"/>
    </row>
    <row r="7" spans="1:8" x14ac:dyDescent="0.3">
      <c r="A7" s="54" t="s">
        <v>100</v>
      </c>
      <c r="B7" s="56" t="s">
        <v>946</v>
      </c>
      <c r="C7" s="55">
        <v>676</v>
      </c>
      <c r="D7" s="55">
        <v>10634</v>
      </c>
      <c r="E7" s="71">
        <v>11310</v>
      </c>
      <c r="F7" s="36"/>
      <c r="G7" s="36"/>
      <c r="H7" s="36"/>
    </row>
    <row r="8" spans="1:8" x14ac:dyDescent="0.3">
      <c r="A8" s="60" t="s">
        <v>102</v>
      </c>
      <c r="B8" s="61" t="s">
        <v>103</v>
      </c>
      <c r="C8" s="62">
        <v>174</v>
      </c>
      <c r="D8" s="62">
        <v>3131</v>
      </c>
      <c r="E8" s="68">
        <v>3305</v>
      </c>
      <c r="F8" s="36"/>
      <c r="G8" s="36"/>
      <c r="H8" s="36"/>
    </row>
    <row r="9" spans="1:8" x14ac:dyDescent="0.3">
      <c r="A9" s="60" t="s">
        <v>104</v>
      </c>
      <c r="B9" s="61" t="s">
        <v>105</v>
      </c>
      <c r="C9" s="62">
        <v>5</v>
      </c>
      <c r="D9" s="62">
        <v>262</v>
      </c>
      <c r="E9" s="68">
        <v>267</v>
      </c>
      <c r="F9" s="36"/>
      <c r="G9" s="36"/>
      <c r="H9" s="36"/>
    </row>
    <row r="10" spans="1:8" x14ac:dyDescent="0.3">
      <c r="A10" s="60" t="s">
        <v>106</v>
      </c>
      <c r="B10" s="61" t="s">
        <v>107</v>
      </c>
      <c r="C10" s="62">
        <v>4</v>
      </c>
      <c r="D10" s="62">
        <v>184</v>
      </c>
      <c r="E10" s="68">
        <v>188</v>
      </c>
      <c r="F10" s="36"/>
      <c r="G10" s="36"/>
      <c r="H10" s="36"/>
    </row>
    <row r="11" spans="1:8" x14ac:dyDescent="0.3">
      <c r="A11" s="60" t="s">
        <v>108</v>
      </c>
      <c r="B11" s="61" t="s">
        <v>109</v>
      </c>
      <c r="C11" s="62">
        <v>3</v>
      </c>
      <c r="D11" s="62">
        <v>67</v>
      </c>
      <c r="E11" s="68">
        <v>70</v>
      </c>
      <c r="F11" s="36"/>
      <c r="G11" s="36"/>
      <c r="H11" s="36"/>
    </row>
    <row r="12" spans="1:8" x14ac:dyDescent="0.3">
      <c r="A12" s="60" t="s">
        <v>110</v>
      </c>
      <c r="B12" s="61" t="s">
        <v>111</v>
      </c>
      <c r="C12" s="62">
        <v>137</v>
      </c>
      <c r="D12" s="62">
        <v>1431</v>
      </c>
      <c r="E12" s="68">
        <v>1568</v>
      </c>
      <c r="F12" s="36"/>
      <c r="G12" s="36"/>
      <c r="H12" s="36"/>
    </row>
    <row r="13" spans="1:8" x14ac:dyDescent="0.3">
      <c r="A13" s="60" t="s">
        <v>112</v>
      </c>
      <c r="B13" s="61" t="s">
        <v>113</v>
      </c>
      <c r="C13" s="62">
        <v>3</v>
      </c>
      <c r="D13" s="62">
        <v>61</v>
      </c>
      <c r="E13" s="68">
        <v>64</v>
      </c>
      <c r="F13" s="36"/>
      <c r="G13" s="36"/>
      <c r="H13" s="36"/>
    </row>
    <row r="14" spans="1:8" x14ac:dyDescent="0.3">
      <c r="A14" s="60" t="s">
        <v>114</v>
      </c>
      <c r="B14" s="61" t="s">
        <v>115</v>
      </c>
      <c r="C14" s="62">
        <v>10</v>
      </c>
      <c r="D14" s="62">
        <v>581</v>
      </c>
      <c r="E14" s="68">
        <v>591</v>
      </c>
      <c r="F14" s="36"/>
      <c r="G14" s="36"/>
      <c r="H14" s="36"/>
    </row>
    <row r="15" spans="1:8" x14ac:dyDescent="0.3">
      <c r="A15" s="54" t="s">
        <v>116</v>
      </c>
      <c r="B15" s="56" t="s">
        <v>4289</v>
      </c>
      <c r="C15" s="55">
        <v>340</v>
      </c>
      <c r="D15" s="55">
        <v>4917</v>
      </c>
      <c r="E15" s="71">
        <v>5257</v>
      </c>
      <c r="F15" s="36"/>
      <c r="G15" s="36"/>
      <c r="H15" s="36"/>
    </row>
    <row r="16" spans="1:8" x14ac:dyDescent="0.3">
      <c r="A16" s="60" t="s">
        <v>118</v>
      </c>
      <c r="B16" s="61" t="s">
        <v>119</v>
      </c>
      <c r="C16" s="62">
        <v>91</v>
      </c>
      <c r="D16" s="62">
        <v>812</v>
      </c>
      <c r="E16" s="68">
        <v>903</v>
      </c>
      <c r="F16" s="36"/>
      <c r="G16" s="36"/>
      <c r="H16" s="36"/>
    </row>
    <row r="17" spans="1:8" x14ac:dyDescent="0.3">
      <c r="A17" s="60" t="s">
        <v>120</v>
      </c>
      <c r="B17" s="61" t="s">
        <v>121</v>
      </c>
      <c r="C17" s="62">
        <v>80</v>
      </c>
      <c r="D17" s="62">
        <v>650</v>
      </c>
      <c r="E17" s="68">
        <v>730</v>
      </c>
      <c r="F17" s="36"/>
      <c r="G17" s="36"/>
      <c r="H17" s="36"/>
    </row>
    <row r="18" spans="1:8" x14ac:dyDescent="0.3">
      <c r="A18" s="60" t="s">
        <v>122</v>
      </c>
      <c r="B18" s="61" t="s">
        <v>123</v>
      </c>
      <c r="C18" s="62">
        <v>57</v>
      </c>
      <c r="D18" s="62">
        <v>1010</v>
      </c>
      <c r="E18" s="68">
        <v>1067</v>
      </c>
      <c r="F18" s="36"/>
      <c r="G18" s="36"/>
      <c r="H18" s="36"/>
    </row>
    <row r="19" spans="1:8" x14ac:dyDescent="0.3">
      <c r="A19" s="60" t="s">
        <v>124</v>
      </c>
      <c r="B19" s="61" t="s">
        <v>125</v>
      </c>
      <c r="C19" s="62">
        <v>45</v>
      </c>
      <c r="D19" s="62">
        <v>720</v>
      </c>
      <c r="E19" s="68">
        <v>765</v>
      </c>
      <c r="F19" s="36"/>
      <c r="G19" s="36"/>
      <c r="H19" s="36"/>
    </row>
    <row r="20" spans="1:8" x14ac:dyDescent="0.3">
      <c r="A20" s="119" t="s">
        <v>126</v>
      </c>
      <c r="B20" s="64" t="s">
        <v>127</v>
      </c>
      <c r="C20" s="65">
        <v>67</v>
      </c>
      <c r="D20" s="65">
        <v>1725</v>
      </c>
      <c r="E20" s="67">
        <v>1792</v>
      </c>
      <c r="F20" s="36"/>
      <c r="G20" s="36"/>
      <c r="H20" s="36"/>
    </row>
    <row r="21" spans="1:8" x14ac:dyDescent="0.3">
      <c r="A21" s="54" t="s">
        <v>128</v>
      </c>
      <c r="B21" s="56" t="s">
        <v>949</v>
      </c>
      <c r="C21" s="55">
        <v>333</v>
      </c>
      <c r="D21" s="55">
        <v>1406</v>
      </c>
      <c r="E21" s="71">
        <v>1739</v>
      </c>
      <c r="F21" s="36"/>
      <c r="G21" s="36"/>
      <c r="H21" s="36"/>
    </row>
    <row r="22" spans="1:8" x14ac:dyDescent="0.3">
      <c r="A22" s="60" t="s">
        <v>130</v>
      </c>
      <c r="B22" s="61" t="s">
        <v>131</v>
      </c>
      <c r="C22" s="62">
        <v>5</v>
      </c>
      <c r="D22" s="62">
        <v>22</v>
      </c>
      <c r="E22" s="68">
        <v>27</v>
      </c>
      <c r="F22" s="36"/>
      <c r="G22" s="36"/>
      <c r="H22" s="36"/>
    </row>
    <row r="23" spans="1:8" x14ac:dyDescent="0.3">
      <c r="A23" s="60" t="s">
        <v>132</v>
      </c>
      <c r="B23" s="61" t="s">
        <v>133</v>
      </c>
      <c r="C23" s="62">
        <v>2</v>
      </c>
      <c r="D23" s="62">
        <v>12</v>
      </c>
      <c r="E23" s="68">
        <v>14</v>
      </c>
      <c r="F23" s="36"/>
      <c r="G23" s="36"/>
      <c r="H23" s="36"/>
    </row>
    <row r="24" spans="1:8" x14ac:dyDescent="0.3">
      <c r="A24" s="60" t="s">
        <v>134</v>
      </c>
      <c r="B24" s="61" t="s">
        <v>135</v>
      </c>
      <c r="C24" s="62">
        <v>16</v>
      </c>
      <c r="D24" s="62">
        <v>97</v>
      </c>
      <c r="E24" s="68">
        <v>113</v>
      </c>
      <c r="F24" s="36"/>
      <c r="G24" s="36"/>
      <c r="H24" s="36"/>
    </row>
    <row r="25" spans="1:8" x14ac:dyDescent="0.3">
      <c r="A25" s="60" t="s">
        <v>136</v>
      </c>
      <c r="B25" s="61" t="s">
        <v>137</v>
      </c>
      <c r="C25" s="62">
        <v>18</v>
      </c>
      <c r="D25" s="62">
        <v>88</v>
      </c>
      <c r="E25" s="68">
        <v>106</v>
      </c>
      <c r="F25" s="36"/>
      <c r="G25" s="36"/>
      <c r="H25" s="36"/>
    </row>
    <row r="26" spans="1:8" x14ac:dyDescent="0.3">
      <c r="A26" s="60" t="s">
        <v>138</v>
      </c>
      <c r="B26" s="61" t="s">
        <v>139</v>
      </c>
      <c r="C26" s="62">
        <v>2</v>
      </c>
      <c r="D26" s="62">
        <v>12</v>
      </c>
      <c r="E26" s="68">
        <v>14</v>
      </c>
      <c r="F26" s="36"/>
      <c r="G26" s="36"/>
      <c r="H26" s="36"/>
    </row>
    <row r="27" spans="1:8" x14ac:dyDescent="0.3">
      <c r="A27" s="60" t="s">
        <v>140</v>
      </c>
      <c r="B27" s="61" t="s">
        <v>141</v>
      </c>
      <c r="C27" s="62">
        <v>12</v>
      </c>
      <c r="D27" s="62">
        <v>31</v>
      </c>
      <c r="E27" s="68">
        <v>43</v>
      </c>
      <c r="F27" s="36"/>
      <c r="G27" s="36"/>
      <c r="H27" s="36"/>
    </row>
    <row r="28" spans="1:8" x14ac:dyDescent="0.3">
      <c r="A28" s="54" t="s">
        <v>142</v>
      </c>
      <c r="B28" s="56" t="s">
        <v>143</v>
      </c>
      <c r="C28" s="55">
        <v>67</v>
      </c>
      <c r="D28" s="55">
        <v>240</v>
      </c>
      <c r="E28" s="71">
        <v>307</v>
      </c>
      <c r="F28" s="36"/>
      <c r="G28" s="36"/>
      <c r="H28" s="36"/>
    </row>
    <row r="29" spans="1:8" x14ac:dyDescent="0.3">
      <c r="A29" s="60" t="s">
        <v>144</v>
      </c>
      <c r="B29" s="61" t="s">
        <v>145</v>
      </c>
      <c r="C29" s="62">
        <v>17</v>
      </c>
      <c r="D29" s="62">
        <v>70</v>
      </c>
      <c r="E29" s="68">
        <v>87</v>
      </c>
      <c r="F29" s="36"/>
      <c r="G29" s="36"/>
      <c r="H29" s="36"/>
    </row>
    <row r="30" spans="1:8" x14ac:dyDescent="0.3">
      <c r="A30" s="60" t="s">
        <v>146</v>
      </c>
      <c r="B30" s="61" t="s">
        <v>147</v>
      </c>
      <c r="C30" s="62">
        <v>6</v>
      </c>
      <c r="D30" s="62">
        <v>5</v>
      </c>
      <c r="E30" s="68">
        <v>11</v>
      </c>
      <c r="F30" s="36"/>
      <c r="G30" s="36"/>
      <c r="H30" s="36"/>
    </row>
    <row r="31" spans="1:8" x14ac:dyDescent="0.3">
      <c r="A31" s="60" t="s">
        <v>148</v>
      </c>
      <c r="B31" s="61" t="s">
        <v>149</v>
      </c>
      <c r="C31" s="62">
        <v>12</v>
      </c>
      <c r="D31" s="62">
        <v>61</v>
      </c>
      <c r="E31" s="68">
        <v>73</v>
      </c>
      <c r="F31" s="36"/>
      <c r="G31" s="36"/>
      <c r="H31" s="36"/>
    </row>
    <row r="32" spans="1:8" x14ac:dyDescent="0.3">
      <c r="A32" s="60" t="s">
        <v>150</v>
      </c>
      <c r="B32" s="61" t="s">
        <v>151</v>
      </c>
      <c r="C32" s="62">
        <v>10</v>
      </c>
      <c r="D32" s="62">
        <v>34</v>
      </c>
      <c r="E32" s="68">
        <v>44</v>
      </c>
      <c r="F32" s="36"/>
      <c r="G32" s="36"/>
      <c r="H32" s="36"/>
    </row>
    <row r="33" spans="1:8" x14ac:dyDescent="0.3">
      <c r="A33" s="60" t="s">
        <v>152</v>
      </c>
      <c r="B33" s="61" t="s">
        <v>153</v>
      </c>
      <c r="C33" s="62">
        <v>7</v>
      </c>
      <c r="D33" s="62">
        <v>20</v>
      </c>
      <c r="E33" s="68">
        <v>27</v>
      </c>
      <c r="F33" s="36"/>
      <c r="G33" s="36"/>
      <c r="H33" s="36"/>
    </row>
    <row r="34" spans="1:8" x14ac:dyDescent="0.3">
      <c r="A34" s="60" t="s">
        <v>154</v>
      </c>
      <c r="B34" s="61" t="s">
        <v>155</v>
      </c>
      <c r="C34" s="62">
        <v>15</v>
      </c>
      <c r="D34" s="62">
        <v>50</v>
      </c>
      <c r="E34" s="68">
        <v>65</v>
      </c>
      <c r="F34" s="36"/>
      <c r="G34" s="36"/>
      <c r="H34" s="36"/>
    </row>
    <row r="35" spans="1:8" x14ac:dyDescent="0.3">
      <c r="A35" s="54" t="s">
        <v>156</v>
      </c>
      <c r="B35" s="56" t="s">
        <v>4290</v>
      </c>
      <c r="C35" s="55">
        <v>103</v>
      </c>
      <c r="D35" s="55">
        <v>384</v>
      </c>
      <c r="E35" s="71">
        <v>487</v>
      </c>
      <c r="F35" s="36"/>
      <c r="G35" s="36"/>
      <c r="H35" s="36"/>
    </row>
    <row r="36" spans="1:8" x14ac:dyDescent="0.3">
      <c r="A36" s="60" t="s">
        <v>158</v>
      </c>
      <c r="B36" s="61" t="s">
        <v>159</v>
      </c>
      <c r="C36" s="62">
        <v>17</v>
      </c>
      <c r="D36" s="62">
        <v>48</v>
      </c>
      <c r="E36" s="68">
        <v>65</v>
      </c>
      <c r="F36" s="36"/>
      <c r="G36" s="36"/>
      <c r="H36" s="36"/>
    </row>
    <row r="37" spans="1:8" x14ac:dyDescent="0.3">
      <c r="A37" s="60" t="s">
        <v>160</v>
      </c>
      <c r="B37" s="61" t="s">
        <v>161</v>
      </c>
      <c r="C37" s="62">
        <v>5</v>
      </c>
      <c r="D37" s="62">
        <v>33</v>
      </c>
      <c r="E37" s="68">
        <v>38</v>
      </c>
      <c r="F37" s="36"/>
      <c r="G37" s="36"/>
      <c r="H37" s="36"/>
    </row>
    <row r="38" spans="1:8" x14ac:dyDescent="0.3">
      <c r="A38" s="60" t="s">
        <v>162</v>
      </c>
      <c r="B38" s="61" t="s">
        <v>163</v>
      </c>
      <c r="C38" s="62">
        <v>18</v>
      </c>
      <c r="D38" s="62">
        <v>34</v>
      </c>
      <c r="E38" s="68">
        <v>52</v>
      </c>
      <c r="F38" s="36"/>
      <c r="G38" s="36"/>
      <c r="H38" s="36"/>
    </row>
    <row r="39" spans="1:8" x14ac:dyDescent="0.3">
      <c r="A39" s="60" t="s">
        <v>164</v>
      </c>
      <c r="B39" s="61" t="s">
        <v>165</v>
      </c>
      <c r="C39" s="62">
        <v>6</v>
      </c>
      <c r="D39" s="62">
        <v>35</v>
      </c>
      <c r="E39" s="68">
        <v>41</v>
      </c>
      <c r="F39" s="36"/>
      <c r="G39" s="36"/>
      <c r="H39" s="36"/>
    </row>
    <row r="40" spans="1:8" x14ac:dyDescent="0.3">
      <c r="A40" s="60" t="s">
        <v>166</v>
      </c>
      <c r="B40" s="61" t="s">
        <v>167</v>
      </c>
      <c r="C40" s="62">
        <v>2</v>
      </c>
      <c r="D40" s="62">
        <v>42</v>
      </c>
      <c r="E40" s="68">
        <v>44</v>
      </c>
      <c r="F40" s="36"/>
      <c r="G40" s="36"/>
      <c r="H40" s="36"/>
    </row>
    <row r="41" spans="1:8" x14ac:dyDescent="0.3">
      <c r="A41" s="60" t="s">
        <v>168</v>
      </c>
      <c r="B41" s="61" t="s">
        <v>169</v>
      </c>
      <c r="C41" s="62">
        <v>7</v>
      </c>
      <c r="D41" s="62">
        <v>22</v>
      </c>
      <c r="E41" s="68">
        <v>29</v>
      </c>
      <c r="F41" s="36"/>
      <c r="G41" s="36"/>
      <c r="H41" s="36"/>
    </row>
    <row r="42" spans="1:8" x14ac:dyDescent="0.3">
      <c r="A42" s="60" t="s">
        <v>170</v>
      </c>
      <c r="B42" s="61" t="s">
        <v>171</v>
      </c>
      <c r="C42" s="62">
        <v>18</v>
      </c>
      <c r="D42" s="62">
        <v>36</v>
      </c>
      <c r="E42" s="68">
        <v>54</v>
      </c>
      <c r="F42" s="36"/>
      <c r="G42" s="36"/>
      <c r="H42" s="36"/>
    </row>
    <row r="43" spans="1:8" x14ac:dyDescent="0.3">
      <c r="A43" s="60" t="s">
        <v>172</v>
      </c>
      <c r="B43" s="61" t="s">
        <v>173</v>
      </c>
      <c r="C43" s="62">
        <v>6</v>
      </c>
      <c r="D43" s="62">
        <v>36</v>
      </c>
      <c r="E43" s="68">
        <v>42</v>
      </c>
      <c r="F43" s="36"/>
      <c r="G43" s="36"/>
      <c r="H43" s="36"/>
    </row>
    <row r="44" spans="1:8" x14ac:dyDescent="0.3">
      <c r="A44" s="60" t="s">
        <v>174</v>
      </c>
      <c r="B44" s="61" t="s">
        <v>175</v>
      </c>
      <c r="C44" s="62">
        <v>14</v>
      </c>
      <c r="D44" s="62">
        <v>30</v>
      </c>
      <c r="E44" s="68">
        <v>44</v>
      </c>
      <c r="F44" s="36"/>
      <c r="G44" s="36"/>
      <c r="H44" s="36"/>
    </row>
    <row r="45" spans="1:8" x14ac:dyDescent="0.3">
      <c r="A45" s="60" t="s">
        <v>176</v>
      </c>
      <c r="B45" s="61" t="s">
        <v>177</v>
      </c>
      <c r="C45" s="62">
        <v>10</v>
      </c>
      <c r="D45" s="62">
        <v>68</v>
      </c>
      <c r="E45" s="68">
        <v>78</v>
      </c>
      <c r="F45" s="36"/>
      <c r="G45" s="36"/>
      <c r="H45" s="36"/>
    </row>
    <row r="46" spans="1:8" x14ac:dyDescent="0.3">
      <c r="A46" s="54" t="s">
        <v>178</v>
      </c>
      <c r="B46" s="56" t="s">
        <v>179</v>
      </c>
      <c r="C46" s="55">
        <v>60</v>
      </c>
      <c r="D46" s="55">
        <v>313</v>
      </c>
      <c r="E46" s="71">
        <v>373</v>
      </c>
      <c r="F46" s="36"/>
      <c r="G46" s="36"/>
      <c r="H46" s="36"/>
    </row>
    <row r="47" spans="1:8" x14ac:dyDescent="0.3">
      <c r="A47" s="60" t="s">
        <v>180</v>
      </c>
      <c r="B47" s="61" t="s">
        <v>181</v>
      </c>
      <c r="C47" s="62">
        <v>7</v>
      </c>
      <c r="D47" s="62">
        <v>23</v>
      </c>
      <c r="E47" s="68">
        <v>30</v>
      </c>
      <c r="F47" s="36"/>
      <c r="G47" s="36"/>
      <c r="H47" s="36"/>
    </row>
    <row r="48" spans="1:8" x14ac:dyDescent="0.3">
      <c r="A48" s="60" t="s">
        <v>182</v>
      </c>
      <c r="B48" s="61" t="s">
        <v>183</v>
      </c>
      <c r="C48" s="62">
        <v>15</v>
      </c>
      <c r="D48" s="62">
        <v>30</v>
      </c>
      <c r="E48" s="68">
        <v>45</v>
      </c>
      <c r="F48" s="36"/>
      <c r="G48" s="36"/>
      <c r="H48" s="36"/>
    </row>
    <row r="49" spans="1:8" x14ac:dyDescent="0.3">
      <c r="A49" s="60" t="s">
        <v>184</v>
      </c>
      <c r="B49" s="61" t="s">
        <v>185</v>
      </c>
      <c r="C49" s="62">
        <v>3</v>
      </c>
      <c r="D49" s="62">
        <v>26</v>
      </c>
      <c r="E49" s="68">
        <v>29</v>
      </c>
      <c r="F49" s="36"/>
      <c r="G49" s="36"/>
      <c r="H49" s="36"/>
    </row>
    <row r="50" spans="1:8" x14ac:dyDescent="0.3">
      <c r="A50" s="60" t="s">
        <v>186</v>
      </c>
      <c r="B50" s="61" t="s">
        <v>187</v>
      </c>
      <c r="C50" s="62">
        <v>4</v>
      </c>
      <c r="D50" s="62">
        <v>4</v>
      </c>
      <c r="E50" s="68">
        <v>8</v>
      </c>
      <c r="F50" s="36"/>
      <c r="G50" s="36"/>
      <c r="H50" s="36"/>
    </row>
    <row r="51" spans="1:8" x14ac:dyDescent="0.3">
      <c r="A51" s="60" t="s">
        <v>188</v>
      </c>
      <c r="B51" s="61" t="s">
        <v>189</v>
      </c>
      <c r="C51" s="62">
        <v>0</v>
      </c>
      <c r="D51" s="62">
        <v>60</v>
      </c>
      <c r="E51" s="68">
        <v>60</v>
      </c>
      <c r="F51" s="36"/>
      <c r="G51" s="36"/>
      <c r="H51" s="36"/>
    </row>
    <row r="52" spans="1:8" x14ac:dyDescent="0.3">
      <c r="A52" s="60" t="s">
        <v>190</v>
      </c>
      <c r="B52" s="61" t="s">
        <v>191</v>
      </c>
      <c r="C52" s="62">
        <v>6</v>
      </c>
      <c r="D52" s="62">
        <v>45</v>
      </c>
      <c r="E52" s="68">
        <v>51</v>
      </c>
      <c r="F52" s="36"/>
      <c r="G52" s="36"/>
      <c r="H52" s="36"/>
    </row>
    <row r="53" spans="1:8" x14ac:dyDescent="0.3">
      <c r="A53" s="60" t="s">
        <v>192</v>
      </c>
      <c r="B53" s="61" t="s">
        <v>193</v>
      </c>
      <c r="C53" s="62">
        <v>4</v>
      </c>
      <c r="D53" s="62">
        <v>11</v>
      </c>
      <c r="E53" s="68">
        <v>15</v>
      </c>
      <c r="F53" s="36"/>
      <c r="G53" s="36"/>
      <c r="H53" s="36"/>
    </row>
    <row r="54" spans="1:8" x14ac:dyDescent="0.3">
      <c r="A54" s="60" t="s">
        <v>194</v>
      </c>
      <c r="B54" s="61" t="s">
        <v>195</v>
      </c>
      <c r="C54" s="62">
        <v>3</v>
      </c>
      <c r="D54" s="62">
        <v>27</v>
      </c>
      <c r="E54" s="68">
        <v>30</v>
      </c>
      <c r="F54" s="36"/>
      <c r="G54" s="36"/>
      <c r="H54" s="36"/>
    </row>
    <row r="55" spans="1:8" x14ac:dyDescent="0.3">
      <c r="A55" s="60" t="s">
        <v>196</v>
      </c>
      <c r="B55" s="61" t="s">
        <v>197</v>
      </c>
      <c r="C55" s="62">
        <v>5</v>
      </c>
      <c r="D55" s="62">
        <v>17</v>
      </c>
      <c r="E55" s="68">
        <v>22</v>
      </c>
      <c r="F55" s="36"/>
      <c r="G55" s="36"/>
      <c r="H55" s="36"/>
    </row>
    <row r="56" spans="1:8" x14ac:dyDescent="0.3">
      <c r="A56" s="60" t="s">
        <v>198</v>
      </c>
      <c r="B56" s="61" t="s">
        <v>199</v>
      </c>
      <c r="C56" s="62">
        <v>7</v>
      </c>
      <c r="D56" s="62">
        <v>23</v>
      </c>
      <c r="E56" s="68">
        <v>30</v>
      </c>
      <c r="F56" s="36"/>
      <c r="G56" s="36"/>
      <c r="H56" s="36"/>
    </row>
    <row r="57" spans="1:8" x14ac:dyDescent="0.3">
      <c r="A57" s="60" t="s">
        <v>200</v>
      </c>
      <c r="B57" s="61" t="s">
        <v>201</v>
      </c>
      <c r="C57" s="62">
        <v>4</v>
      </c>
      <c r="D57" s="62">
        <v>28</v>
      </c>
      <c r="E57" s="68">
        <v>32</v>
      </c>
      <c r="F57" s="36"/>
      <c r="G57" s="36"/>
      <c r="H57" s="36"/>
    </row>
    <row r="58" spans="1:8" x14ac:dyDescent="0.3">
      <c r="A58" s="60" t="s">
        <v>202</v>
      </c>
      <c r="B58" s="61" t="s">
        <v>203</v>
      </c>
      <c r="C58" s="62">
        <v>2</v>
      </c>
      <c r="D58" s="62">
        <v>19</v>
      </c>
      <c r="E58" s="68">
        <v>21</v>
      </c>
      <c r="F58" s="36"/>
      <c r="G58" s="36"/>
      <c r="H58" s="36"/>
    </row>
    <row r="59" spans="1:8" x14ac:dyDescent="0.3">
      <c r="A59" s="54" t="s">
        <v>204</v>
      </c>
      <c r="B59" s="56" t="s">
        <v>4291</v>
      </c>
      <c r="C59" s="55">
        <v>48</v>
      </c>
      <c r="D59" s="55">
        <v>207</v>
      </c>
      <c r="E59" s="71">
        <v>255</v>
      </c>
      <c r="F59" s="36"/>
      <c r="G59" s="36"/>
      <c r="H59" s="36"/>
    </row>
    <row r="60" spans="1:8" x14ac:dyDescent="0.3">
      <c r="A60" s="60" t="s">
        <v>206</v>
      </c>
      <c r="B60" s="61" t="s">
        <v>207</v>
      </c>
      <c r="C60" s="62">
        <v>4</v>
      </c>
      <c r="D60" s="62">
        <v>16</v>
      </c>
      <c r="E60" s="68">
        <v>20</v>
      </c>
      <c r="F60" s="36"/>
      <c r="G60" s="36"/>
      <c r="H60" s="36"/>
    </row>
    <row r="61" spans="1:8" x14ac:dyDescent="0.3">
      <c r="A61" s="60" t="s">
        <v>208</v>
      </c>
      <c r="B61" s="61" t="s">
        <v>209</v>
      </c>
      <c r="C61" s="62">
        <v>13</v>
      </c>
      <c r="D61" s="62">
        <v>21</v>
      </c>
      <c r="E61" s="68">
        <v>34</v>
      </c>
      <c r="F61" s="36"/>
      <c r="G61" s="36"/>
      <c r="H61" s="36"/>
    </row>
    <row r="62" spans="1:8" x14ac:dyDescent="0.3">
      <c r="A62" s="60" t="s">
        <v>210</v>
      </c>
      <c r="B62" s="61" t="s">
        <v>211</v>
      </c>
      <c r="C62" s="62">
        <v>12</v>
      </c>
      <c r="D62" s="62">
        <v>46</v>
      </c>
      <c r="E62" s="68">
        <v>58</v>
      </c>
      <c r="F62" s="36"/>
      <c r="G62" s="36"/>
      <c r="H62" s="36"/>
    </row>
    <row r="63" spans="1:8" x14ac:dyDescent="0.3">
      <c r="A63" s="60" t="s">
        <v>212</v>
      </c>
      <c r="B63" s="61" t="s">
        <v>213</v>
      </c>
      <c r="C63" s="62">
        <v>9</v>
      </c>
      <c r="D63" s="62">
        <v>69</v>
      </c>
      <c r="E63" s="68">
        <v>78</v>
      </c>
      <c r="F63" s="36"/>
      <c r="G63" s="36"/>
      <c r="H63" s="36"/>
    </row>
    <row r="64" spans="1:8" x14ac:dyDescent="0.3">
      <c r="A64" s="119" t="s">
        <v>214</v>
      </c>
      <c r="B64" s="64" t="s">
        <v>215</v>
      </c>
      <c r="C64" s="67">
        <v>10</v>
      </c>
      <c r="D64" s="67">
        <v>55</v>
      </c>
      <c r="E64" s="67">
        <v>65</v>
      </c>
      <c r="F64" s="36"/>
      <c r="G64" s="36"/>
      <c r="H64" s="36"/>
    </row>
    <row r="65" spans="1:8" x14ac:dyDescent="0.3">
      <c r="A65" s="54" t="s">
        <v>216</v>
      </c>
      <c r="B65" s="56" t="s">
        <v>959</v>
      </c>
      <c r="C65" s="55">
        <v>256</v>
      </c>
      <c r="D65" s="55">
        <v>2664</v>
      </c>
      <c r="E65" s="71">
        <v>2920</v>
      </c>
      <c r="F65" s="36"/>
      <c r="G65" s="36"/>
      <c r="H65" s="36"/>
    </row>
    <row r="66" spans="1:8" x14ac:dyDescent="0.3">
      <c r="A66" s="60" t="s">
        <v>218</v>
      </c>
      <c r="B66" s="61" t="s">
        <v>219</v>
      </c>
      <c r="C66" s="68">
        <v>13</v>
      </c>
      <c r="D66" s="68">
        <v>46</v>
      </c>
      <c r="E66" s="68">
        <v>59</v>
      </c>
      <c r="F66" s="36"/>
      <c r="G66" s="36"/>
      <c r="H66" s="36"/>
    </row>
    <row r="67" spans="1:8" x14ac:dyDescent="0.3">
      <c r="A67" s="60" t="s">
        <v>220</v>
      </c>
      <c r="B67" s="61" t="s">
        <v>221</v>
      </c>
      <c r="C67" s="68">
        <v>1</v>
      </c>
      <c r="D67" s="68">
        <v>11</v>
      </c>
      <c r="E67" s="68">
        <v>12</v>
      </c>
      <c r="F67" s="36"/>
      <c r="G67" s="36"/>
      <c r="H67" s="36"/>
    </row>
    <row r="68" spans="1:8" x14ac:dyDescent="0.3">
      <c r="A68" s="60" t="s">
        <v>222</v>
      </c>
      <c r="B68" s="61" t="s">
        <v>223</v>
      </c>
      <c r="C68" s="68">
        <v>6</v>
      </c>
      <c r="D68" s="68">
        <v>102</v>
      </c>
      <c r="E68" s="68">
        <v>108</v>
      </c>
      <c r="F68" s="36"/>
      <c r="G68" s="36"/>
      <c r="H68" s="36"/>
    </row>
    <row r="69" spans="1:8" x14ac:dyDescent="0.3">
      <c r="A69" s="60" t="s">
        <v>224</v>
      </c>
      <c r="B69" s="61" t="s">
        <v>225</v>
      </c>
      <c r="C69" s="68">
        <v>16</v>
      </c>
      <c r="D69" s="68">
        <v>125</v>
      </c>
      <c r="E69" s="68">
        <v>141</v>
      </c>
      <c r="F69" s="36"/>
      <c r="G69" s="36"/>
      <c r="H69" s="36"/>
    </row>
    <row r="70" spans="1:8" x14ac:dyDescent="0.3">
      <c r="A70" s="60" t="s">
        <v>226</v>
      </c>
      <c r="B70" s="61" t="s">
        <v>227</v>
      </c>
      <c r="C70" s="68">
        <v>8</v>
      </c>
      <c r="D70" s="68">
        <v>46</v>
      </c>
      <c r="E70" s="68">
        <v>54</v>
      </c>
      <c r="F70" s="36"/>
      <c r="G70" s="36"/>
      <c r="H70" s="36"/>
    </row>
    <row r="71" spans="1:8" x14ac:dyDescent="0.3">
      <c r="A71" s="54" t="s">
        <v>228</v>
      </c>
      <c r="B71" s="56" t="s">
        <v>229</v>
      </c>
      <c r="C71" s="55">
        <v>39</v>
      </c>
      <c r="D71" s="55">
        <v>252</v>
      </c>
      <c r="E71" s="71">
        <v>291</v>
      </c>
      <c r="F71" s="36"/>
      <c r="G71" s="36"/>
      <c r="H71" s="36"/>
    </row>
    <row r="72" spans="1:8" x14ac:dyDescent="0.3">
      <c r="A72" s="60" t="s">
        <v>230</v>
      </c>
      <c r="B72" s="61" t="s">
        <v>231</v>
      </c>
      <c r="C72" s="68">
        <v>0</v>
      </c>
      <c r="D72" s="68">
        <v>11</v>
      </c>
      <c r="E72" s="68">
        <v>11</v>
      </c>
      <c r="F72" s="36"/>
      <c r="G72" s="36"/>
      <c r="H72" s="36"/>
    </row>
    <row r="73" spans="1:8" x14ac:dyDescent="0.3">
      <c r="A73" s="60" t="s">
        <v>232</v>
      </c>
      <c r="B73" s="61" t="s">
        <v>233</v>
      </c>
      <c r="C73" s="68">
        <v>12</v>
      </c>
      <c r="D73" s="68">
        <v>65</v>
      </c>
      <c r="E73" s="68">
        <v>77</v>
      </c>
      <c r="F73" s="36"/>
      <c r="G73" s="36"/>
      <c r="H73" s="36"/>
    </row>
    <row r="74" spans="1:8" x14ac:dyDescent="0.3">
      <c r="A74" s="60" t="s">
        <v>234</v>
      </c>
      <c r="B74" s="61" t="s">
        <v>235</v>
      </c>
      <c r="C74" s="68">
        <v>8</v>
      </c>
      <c r="D74" s="68">
        <v>52</v>
      </c>
      <c r="E74" s="68">
        <v>60</v>
      </c>
      <c r="F74" s="36"/>
      <c r="G74" s="36"/>
      <c r="H74" s="36"/>
    </row>
    <row r="75" spans="1:8" x14ac:dyDescent="0.3">
      <c r="A75" s="60" t="s">
        <v>236</v>
      </c>
      <c r="B75" s="61" t="s">
        <v>237</v>
      </c>
      <c r="C75" s="68">
        <v>2</v>
      </c>
      <c r="D75" s="68">
        <v>71</v>
      </c>
      <c r="E75" s="68">
        <v>73</v>
      </c>
      <c r="F75" s="36"/>
      <c r="G75" s="36"/>
      <c r="H75" s="36"/>
    </row>
    <row r="76" spans="1:8" x14ac:dyDescent="0.3">
      <c r="A76" s="60" t="s">
        <v>238</v>
      </c>
      <c r="B76" s="61" t="s">
        <v>239</v>
      </c>
      <c r="C76" s="68">
        <v>7</v>
      </c>
      <c r="D76" s="68">
        <v>7</v>
      </c>
      <c r="E76" s="68">
        <v>14</v>
      </c>
      <c r="F76" s="36"/>
      <c r="G76" s="36"/>
      <c r="H76" s="36"/>
    </row>
    <row r="77" spans="1:8" x14ac:dyDescent="0.3">
      <c r="A77" s="60" t="s">
        <v>240</v>
      </c>
      <c r="B77" s="61" t="s">
        <v>241</v>
      </c>
      <c r="C77" s="68">
        <v>4</v>
      </c>
      <c r="D77" s="68">
        <v>18</v>
      </c>
      <c r="E77" s="68">
        <v>22</v>
      </c>
      <c r="F77" s="36"/>
      <c r="G77" s="36"/>
      <c r="H77" s="36"/>
    </row>
    <row r="78" spans="1:8" x14ac:dyDescent="0.3">
      <c r="A78" s="60" t="s">
        <v>242</v>
      </c>
      <c r="B78" s="61" t="s">
        <v>243</v>
      </c>
      <c r="C78" s="68">
        <v>6</v>
      </c>
      <c r="D78" s="68">
        <v>28</v>
      </c>
      <c r="E78" s="68">
        <v>34</v>
      </c>
      <c r="F78" s="36"/>
      <c r="G78" s="36"/>
      <c r="H78" s="36"/>
    </row>
    <row r="79" spans="1:8" x14ac:dyDescent="0.3">
      <c r="A79" s="54" t="s">
        <v>244</v>
      </c>
      <c r="B79" s="56" t="s">
        <v>4292</v>
      </c>
      <c r="C79" s="55">
        <v>65</v>
      </c>
      <c r="D79" s="55">
        <v>1483</v>
      </c>
      <c r="E79" s="71">
        <v>1548</v>
      </c>
      <c r="F79" s="36"/>
      <c r="G79" s="36"/>
      <c r="H79" s="36"/>
    </row>
    <row r="80" spans="1:8" x14ac:dyDescent="0.3">
      <c r="A80" s="60" t="s">
        <v>246</v>
      </c>
      <c r="B80" s="61" t="s">
        <v>247</v>
      </c>
      <c r="C80" s="68">
        <v>7</v>
      </c>
      <c r="D80" s="68">
        <v>286</v>
      </c>
      <c r="E80" s="68">
        <v>293</v>
      </c>
      <c r="F80" s="36"/>
      <c r="G80" s="36"/>
      <c r="H80" s="36"/>
    </row>
    <row r="81" spans="1:9" x14ac:dyDescent="0.3">
      <c r="A81" s="60" t="s">
        <v>248</v>
      </c>
      <c r="B81" s="61" t="s">
        <v>249</v>
      </c>
      <c r="C81" s="68">
        <v>16</v>
      </c>
      <c r="D81" s="68">
        <v>464</v>
      </c>
      <c r="E81" s="68">
        <v>480</v>
      </c>
      <c r="F81" s="36"/>
      <c r="G81" s="36"/>
      <c r="H81" s="36"/>
    </row>
    <row r="82" spans="1:9" x14ac:dyDescent="0.3">
      <c r="A82" s="60" t="s">
        <v>250</v>
      </c>
      <c r="B82" s="61" t="s">
        <v>251</v>
      </c>
      <c r="C82" s="68">
        <v>12</v>
      </c>
      <c r="D82" s="68">
        <v>224</v>
      </c>
      <c r="E82" s="68">
        <v>236</v>
      </c>
      <c r="F82" s="36"/>
      <c r="G82" s="36"/>
      <c r="H82" s="36"/>
    </row>
    <row r="83" spans="1:9" x14ac:dyDescent="0.3">
      <c r="A83" s="60" t="s">
        <v>252</v>
      </c>
      <c r="B83" s="61" t="s">
        <v>253</v>
      </c>
      <c r="C83" s="68">
        <v>30</v>
      </c>
      <c r="D83" s="68">
        <v>509</v>
      </c>
      <c r="E83" s="68">
        <v>539</v>
      </c>
      <c r="F83" s="36"/>
      <c r="G83" s="36"/>
      <c r="H83" s="36"/>
    </row>
    <row r="84" spans="1:9" x14ac:dyDescent="0.3">
      <c r="A84" s="54" t="s">
        <v>254</v>
      </c>
      <c r="B84" s="56" t="s">
        <v>4293</v>
      </c>
      <c r="C84" s="55">
        <v>108</v>
      </c>
      <c r="D84" s="55">
        <v>599</v>
      </c>
      <c r="E84" s="71">
        <v>707</v>
      </c>
      <c r="F84" s="36"/>
      <c r="G84" s="36"/>
      <c r="H84" s="36"/>
    </row>
    <row r="85" spans="1:9" x14ac:dyDescent="0.3">
      <c r="A85" s="60" t="s">
        <v>256</v>
      </c>
      <c r="B85" s="61" t="s">
        <v>257</v>
      </c>
      <c r="C85" s="68">
        <v>13</v>
      </c>
      <c r="D85" s="68">
        <v>178</v>
      </c>
      <c r="E85" s="68">
        <v>191</v>
      </c>
      <c r="F85" s="36"/>
      <c r="G85" s="36"/>
      <c r="H85" s="36"/>
    </row>
    <row r="86" spans="1:9" x14ac:dyDescent="0.3">
      <c r="A86" s="60" t="s">
        <v>258</v>
      </c>
      <c r="B86" s="61" t="s">
        <v>259</v>
      </c>
      <c r="C86" s="68">
        <v>8</v>
      </c>
      <c r="D86" s="68">
        <v>27</v>
      </c>
      <c r="E86" s="68">
        <v>35</v>
      </c>
      <c r="F86" s="36"/>
      <c r="G86" s="36"/>
      <c r="H86" s="36"/>
    </row>
    <row r="87" spans="1:9" x14ac:dyDescent="0.3">
      <c r="A87" s="60" t="s">
        <v>260</v>
      </c>
      <c r="B87" s="61" t="s">
        <v>261</v>
      </c>
      <c r="C87" s="68">
        <v>10</v>
      </c>
      <c r="D87" s="68">
        <v>97</v>
      </c>
      <c r="E87" s="68">
        <v>107</v>
      </c>
      <c r="F87" s="36"/>
      <c r="G87" s="36"/>
      <c r="H87" s="36"/>
    </row>
    <row r="88" spans="1:9" x14ac:dyDescent="0.3">
      <c r="A88" s="60" t="s">
        <v>262</v>
      </c>
      <c r="B88" s="61" t="s">
        <v>263</v>
      </c>
      <c r="C88" s="68">
        <v>47</v>
      </c>
      <c r="D88" s="68">
        <v>165</v>
      </c>
      <c r="E88" s="68">
        <v>212</v>
      </c>
      <c r="F88" s="36"/>
      <c r="G88" s="36"/>
      <c r="H88" s="36"/>
    </row>
    <row r="89" spans="1:9" x14ac:dyDescent="0.3">
      <c r="A89" s="119" t="s">
        <v>264</v>
      </c>
      <c r="B89" s="64" t="s">
        <v>265</v>
      </c>
      <c r="C89" s="67">
        <v>30</v>
      </c>
      <c r="D89" s="67">
        <v>132</v>
      </c>
      <c r="E89" s="67">
        <v>162</v>
      </c>
      <c r="F89" s="36"/>
      <c r="G89" s="36"/>
      <c r="H89" s="36"/>
    </row>
    <row r="90" spans="1:9" x14ac:dyDescent="0.3">
      <c r="A90" s="54" t="s">
        <v>266</v>
      </c>
      <c r="B90" s="56" t="s">
        <v>966</v>
      </c>
      <c r="C90" s="55">
        <v>650</v>
      </c>
      <c r="D90" s="55">
        <v>8217</v>
      </c>
      <c r="E90" s="71">
        <v>8867</v>
      </c>
      <c r="F90" s="36"/>
      <c r="G90" s="36"/>
      <c r="H90" s="36"/>
    </row>
    <row r="91" spans="1:9" x14ac:dyDescent="0.3">
      <c r="A91" s="60" t="s">
        <v>268</v>
      </c>
      <c r="B91" s="61" t="s">
        <v>269</v>
      </c>
      <c r="C91" s="68">
        <v>28</v>
      </c>
      <c r="D91" s="68">
        <v>914</v>
      </c>
      <c r="E91" s="68">
        <v>942</v>
      </c>
      <c r="F91" s="36"/>
      <c r="G91" s="36"/>
      <c r="H91" s="36"/>
    </row>
    <row r="92" spans="1:9" x14ac:dyDescent="0.3">
      <c r="A92" s="60" t="s">
        <v>270</v>
      </c>
      <c r="B92" s="61" t="s">
        <v>271</v>
      </c>
      <c r="C92" s="68">
        <v>15</v>
      </c>
      <c r="D92" s="68">
        <v>82</v>
      </c>
      <c r="E92" s="68">
        <v>97</v>
      </c>
      <c r="F92" s="36"/>
      <c r="G92" s="36"/>
      <c r="H92" s="36"/>
    </row>
    <row r="93" spans="1:9" x14ac:dyDescent="0.3">
      <c r="A93" s="60" t="s">
        <v>272</v>
      </c>
      <c r="B93" s="61" t="s">
        <v>273</v>
      </c>
      <c r="C93" s="68">
        <v>94</v>
      </c>
      <c r="D93" s="68">
        <v>532</v>
      </c>
      <c r="E93" s="68">
        <v>626</v>
      </c>
      <c r="F93" s="36"/>
      <c r="G93" s="36"/>
      <c r="H93" s="36"/>
    </row>
    <row r="94" spans="1:9" x14ac:dyDescent="0.3">
      <c r="A94" s="60" t="s">
        <v>274</v>
      </c>
      <c r="B94" s="61" t="s">
        <v>275</v>
      </c>
      <c r="C94" s="68">
        <v>78</v>
      </c>
      <c r="D94" s="68">
        <v>1232</v>
      </c>
      <c r="E94" s="68">
        <v>1310</v>
      </c>
      <c r="F94" s="36"/>
      <c r="G94" s="36"/>
      <c r="H94" s="36"/>
    </row>
    <row r="95" spans="1:9" x14ac:dyDescent="0.3">
      <c r="A95" s="60" t="s">
        <v>276</v>
      </c>
      <c r="B95" s="61" t="s">
        <v>277</v>
      </c>
      <c r="C95" s="68">
        <v>3</v>
      </c>
      <c r="D95" s="68">
        <v>37</v>
      </c>
      <c r="E95" s="68">
        <v>40</v>
      </c>
      <c r="F95" s="36"/>
      <c r="G95" s="68"/>
      <c r="H95" s="68"/>
      <c r="I95" s="68"/>
    </row>
    <row r="96" spans="1:9" x14ac:dyDescent="0.3">
      <c r="A96" s="60" t="s">
        <v>278</v>
      </c>
      <c r="B96" s="61" t="s">
        <v>279</v>
      </c>
      <c r="C96" s="68">
        <v>36</v>
      </c>
      <c r="D96" s="68">
        <v>116</v>
      </c>
      <c r="E96" s="68">
        <v>152</v>
      </c>
      <c r="F96" s="36"/>
      <c r="G96" s="36"/>
      <c r="H96" s="36"/>
    </row>
    <row r="97" spans="1:8" x14ac:dyDescent="0.3">
      <c r="A97" s="54" t="s">
        <v>280</v>
      </c>
      <c r="B97" s="56" t="s">
        <v>281</v>
      </c>
      <c r="C97" s="55">
        <v>55</v>
      </c>
      <c r="D97" s="55">
        <v>857</v>
      </c>
      <c r="E97" s="71">
        <v>912</v>
      </c>
      <c r="F97" s="36"/>
      <c r="G97" s="36"/>
      <c r="H97" s="36"/>
    </row>
    <row r="98" spans="1:8" x14ac:dyDescent="0.3">
      <c r="A98" s="60" t="s">
        <v>282</v>
      </c>
      <c r="B98" s="61" t="s">
        <v>283</v>
      </c>
      <c r="C98" s="68">
        <v>7</v>
      </c>
      <c r="D98" s="68">
        <v>172</v>
      </c>
      <c r="E98" s="68">
        <v>179</v>
      </c>
      <c r="F98" s="36"/>
      <c r="G98" s="36"/>
      <c r="H98" s="36"/>
    </row>
    <row r="99" spans="1:8" x14ac:dyDescent="0.3">
      <c r="A99" s="60" t="s">
        <v>284</v>
      </c>
      <c r="B99" s="61" t="s">
        <v>285</v>
      </c>
      <c r="C99" s="68">
        <v>12</v>
      </c>
      <c r="D99" s="68">
        <v>94</v>
      </c>
      <c r="E99" s="68">
        <v>106</v>
      </c>
      <c r="F99" s="36"/>
      <c r="G99" s="36"/>
      <c r="H99" s="36"/>
    </row>
    <row r="100" spans="1:8" x14ac:dyDescent="0.3">
      <c r="A100" s="60" t="s">
        <v>286</v>
      </c>
      <c r="B100" s="61" t="s">
        <v>287</v>
      </c>
      <c r="C100" s="68">
        <v>5</v>
      </c>
      <c r="D100" s="68">
        <v>45</v>
      </c>
      <c r="E100" s="68">
        <v>50</v>
      </c>
      <c r="F100" s="36"/>
      <c r="G100" s="36"/>
      <c r="H100" s="36"/>
    </row>
    <row r="101" spans="1:8" x14ac:dyDescent="0.3">
      <c r="A101" s="60" t="s">
        <v>288</v>
      </c>
      <c r="B101" s="61" t="s">
        <v>289</v>
      </c>
      <c r="C101" s="68">
        <v>8</v>
      </c>
      <c r="D101" s="68">
        <v>28</v>
      </c>
      <c r="E101" s="68">
        <v>36</v>
      </c>
      <c r="F101" s="36"/>
      <c r="G101" s="36"/>
      <c r="H101" s="36"/>
    </row>
    <row r="102" spans="1:8" x14ac:dyDescent="0.3">
      <c r="A102" s="60" t="s">
        <v>290</v>
      </c>
      <c r="B102" s="61" t="s">
        <v>291</v>
      </c>
      <c r="C102" s="68">
        <v>4</v>
      </c>
      <c r="D102" s="68">
        <v>241</v>
      </c>
      <c r="E102" s="68">
        <v>245</v>
      </c>
      <c r="F102" s="36"/>
      <c r="G102" s="36"/>
      <c r="H102" s="36"/>
    </row>
    <row r="103" spans="1:8" x14ac:dyDescent="0.3">
      <c r="A103" s="60" t="s">
        <v>292</v>
      </c>
      <c r="B103" s="61" t="s">
        <v>293</v>
      </c>
      <c r="C103" s="68">
        <v>4</v>
      </c>
      <c r="D103" s="68">
        <v>14</v>
      </c>
      <c r="E103" s="68">
        <v>18</v>
      </c>
      <c r="F103" s="36"/>
      <c r="G103" s="36"/>
      <c r="H103" s="36"/>
    </row>
    <row r="104" spans="1:8" x14ac:dyDescent="0.3">
      <c r="A104" s="60" t="s">
        <v>294</v>
      </c>
      <c r="B104" s="61" t="s">
        <v>295</v>
      </c>
      <c r="C104" s="68">
        <v>4</v>
      </c>
      <c r="D104" s="68">
        <v>71</v>
      </c>
      <c r="E104" s="68">
        <v>75</v>
      </c>
      <c r="F104" s="36"/>
      <c r="G104" s="36"/>
      <c r="H104" s="36"/>
    </row>
    <row r="105" spans="1:8" x14ac:dyDescent="0.3">
      <c r="A105" s="60" t="s">
        <v>296</v>
      </c>
      <c r="B105" s="61" t="s">
        <v>297</v>
      </c>
      <c r="C105" s="68">
        <v>11</v>
      </c>
      <c r="D105" s="68">
        <v>192</v>
      </c>
      <c r="E105" s="68">
        <v>203</v>
      </c>
      <c r="F105" s="36"/>
      <c r="G105" s="36"/>
      <c r="H105" s="36"/>
    </row>
    <row r="106" spans="1:8" x14ac:dyDescent="0.3">
      <c r="A106" s="54" t="s">
        <v>298</v>
      </c>
      <c r="B106" s="56" t="s">
        <v>299</v>
      </c>
      <c r="C106" s="55">
        <v>58</v>
      </c>
      <c r="D106" s="55">
        <v>362</v>
      </c>
      <c r="E106" s="71">
        <v>420</v>
      </c>
      <c r="F106" s="36"/>
      <c r="G106" s="36"/>
      <c r="H106" s="36"/>
    </row>
    <row r="107" spans="1:8" x14ac:dyDescent="0.3">
      <c r="A107" s="60" t="s">
        <v>300</v>
      </c>
      <c r="B107" s="61" t="s">
        <v>301</v>
      </c>
      <c r="C107" s="68">
        <v>12</v>
      </c>
      <c r="D107" s="68">
        <v>54</v>
      </c>
      <c r="E107" s="68">
        <v>66</v>
      </c>
      <c r="F107" s="36"/>
      <c r="G107" s="36"/>
      <c r="H107" s="36"/>
    </row>
    <row r="108" spans="1:8" x14ac:dyDescent="0.3">
      <c r="A108" s="60" t="s">
        <v>302</v>
      </c>
      <c r="B108" s="61" t="s">
        <v>303</v>
      </c>
      <c r="C108" s="68">
        <v>12</v>
      </c>
      <c r="D108" s="68">
        <v>55</v>
      </c>
      <c r="E108" s="68">
        <v>67</v>
      </c>
      <c r="F108" s="36"/>
      <c r="G108" s="36"/>
      <c r="H108" s="36"/>
    </row>
    <row r="109" spans="1:8" x14ac:dyDescent="0.3">
      <c r="A109" s="60" t="s">
        <v>304</v>
      </c>
      <c r="B109" s="61" t="s">
        <v>305</v>
      </c>
      <c r="C109" s="68">
        <v>7</v>
      </c>
      <c r="D109" s="68">
        <v>135</v>
      </c>
      <c r="E109" s="68">
        <v>142</v>
      </c>
      <c r="F109" s="36"/>
      <c r="G109" s="36"/>
      <c r="H109" s="36"/>
    </row>
    <row r="110" spans="1:8" x14ac:dyDescent="0.3">
      <c r="A110" s="60" t="s">
        <v>306</v>
      </c>
      <c r="B110" s="61" t="s">
        <v>307</v>
      </c>
      <c r="C110" s="68">
        <v>9</v>
      </c>
      <c r="D110" s="68">
        <v>27</v>
      </c>
      <c r="E110" s="68">
        <v>36</v>
      </c>
      <c r="F110" s="36"/>
      <c r="G110" s="36"/>
      <c r="H110" s="36"/>
    </row>
    <row r="111" spans="1:8" x14ac:dyDescent="0.3">
      <c r="A111" s="60" t="s">
        <v>308</v>
      </c>
      <c r="B111" s="61" t="s">
        <v>309</v>
      </c>
      <c r="C111" s="68">
        <v>1</v>
      </c>
      <c r="D111" s="68">
        <v>38</v>
      </c>
      <c r="E111" s="68">
        <v>39</v>
      </c>
      <c r="F111" s="36"/>
      <c r="G111" s="36"/>
      <c r="H111" s="36"/>
    </row>
    <row r="112" spans="1:8" x14ac:dyDescent="0.3">
      <c r="A112" s="60" t="s">
        <v>310</v>
      </c>
      <c r="B112" s="61" t="s">
        <v>311</v>
      </c>
      <c r="C112" s="68">
        <v>10</v>
      </c>
      <c r="D112" s="68">
        <v>35</v>
      </c>
      <c r="E112" s="68">
        <v>45</v>
      </c>
      <c r="F112" s="36"/>
      <c r="G112" s="36"/>
      <c r="H112" s="36"/>
    </row>
    <row r="113" spans="1:8" x14ac:dyDescent="0.3">
      <c r="A113" s="60" t="s">
        <v>312</v>
      </c>
      <c r="B113" s="61" t="s">
        <v>313</v>
      </c>
      <c r="C113" s="68">
        <v>7</v>
      </c>
      <c r="D113" s="68">
        <v>18</v>
      </c>
      <c r="E113" s="68">
        <v>25</v>
      </c>
      <c r="F113" s="36"/>
      <c r="G113" s="36"/>
      <c r="H113" s="36"/>
    </row>
    <row r="114" spans="1:8" x14ac:dyDescent="0.3">
      <c r="A114" s="54" t="s">
        <v>314</v>
      </c>
      <c r="B114" s="144" t="s">
        <v>315</v>
      </c>
      <c r="C114" s="55">
        <v>164</v>
      </c>
      <c r="D114" s="55">
        <v>1217</v>
      </c>
      <c r="E114" s="71">
        <v>1381</v>
      </c>
      <c r="F114" s="36"/>
      <c r="G114" s="36"/>
      <c r="H114" s="36"/>
    </row>
    <row r="115" spans="1:8" x14ac:dyDescent="0.3">
      <c r="A115" s="60" t="s">
        <v>316</v>
      </c>
      <c r="B115" s="61" t="s">
        <v>317</v>
      </c>
      <c r="C115" s="68">
        <v>22</v>
      </c>
      <c r="D115" s="68">
        <v>222</v>
      </c>
      <c r="E115" s="68">
        <v>244</v>
      </c>
      <c r="F115" s="36"/>
      <c r="G115" s="36"/>
      <c r="H115" s="36"/>
    </row>
    <row r="116" spans="1:8" x14ac:dyDescent="0.3">
      <c r="A116" s="60" t="s">
        <v>318</v>
      </c>
      <c r="B116" s="61" t="s">
        <v>319</v>
      </c>
      <c r="C116" s="68">
        <v>98</v>
      </c>
      <c r="D116" s="68">
        <v>230</v>
      </c>
      <c r="E116" s="68">
        <v>328</v>
      </c>
      <c r="F116" s="36"/>
      <c r="G116" s="36"/>
      <c r="H116" s="36"/>
    </row>
    <row r="117" spans="1:8" x14ac:dyDescent="0.3">
      <c r="A117" s="60" t="s">
        <v>320</v>
      </c>
      <c r="B117" s="61" t="s">
        <v>321</v>
      </c>
      <c r="C117" s="68">
        <v>4</v>
      </c>
      <c r="D117" s="68">
        <v>96</v>
      </c>
      <c r="E117" s="68">
        <v>100</v>
      </c>
      <c r="F117" s="36"/>
      <c r="G117" s="36"/>
      <c r="H117" s="36"/>
    </row>
    <row r="118" spans="1:8" x14ac:dyDescent="0.3">
      <c r="A118" s="60" t="s">
        <v>322</v>
      </c>
      <c r="B118" s="61" t="s">
        <v>323</v>
      </c>
      <c r="C118" s="68">
        <v>17</v>
      </c>
      <c r="D118" s="68">
        <v>286</v>
      </c>
      <c r="E118" s="68">
        <v>303</v>
      </c>
      <c r="F118" s="36"/>
      <c r="G118" s="36"/>
      <c r="H118" s="36"/>
    </row>
    <row r="119" spans="1:8" x14ac:dyDescent="0.3">
      <c r="A119" s="60" t="s">
        <v>324</v>
      </c>
      <c r="B119" s="61" t="s">
        <v>325</v>
      </c>
      <c r="C119" s="68">
        <v>6</v>
      </c>
      <c r="D119" s="68">
        <v>40</v>
      </c>
      <c r="E119" s="68">
        <v>46</v>
      </c>
      <c r="F119" s="36"/>
      <c r="G119" s="36"/>
      <c r="H119" s="36"/>
    </row>
    <row r="120" spans="1:8" x14ac:dyDescent="0.3">
      <c r="A120" s="60" t="s">
        <v>326</v>
      </c>
      <c r="B120" s="61" t="s">
        <v>327</v>
      </c>
      <c r="C120" s="68">
        <v>6</v>
      </c>
      <c r="D120" s="68">
        <v>253</v>
      </c>
      <c r="E120" s="68">
        <v>259</v>
      </c>
      <c r="F120" s="36"/>
      <c r="G120" s="36"/>
      <c r="H120" s="36"/>
    </row>
    <row r="121" spans="1:8" x14ac:dyDescent="0.3">
      <c r="A121" s="60" t="s">
        <v>328</v>
      </c>
      <c r="B121" s="61" t="s">
        <v>329</v>
      </c>
      <c r="C121" s="68">
        <v>11</v>
      </c>
      <c r="D121" s="68">
        <v>90</v>
      </c>
      <c r="E121" s="68">
        <v>101</v>
      </c>
      <c r="F121" s="36"/>
      <c r="G121" s="36"/>
      <c r="H121" s="36"/>
    </row>
    <row r="122" spans="1:8" x14ac:dyDescent="0.3">
      <c r="A122" s="54" t="s">
        <v>330</v>
      </c>
      <c r="B122" s="144" t="s">
        <v>331</v>
      </c>
      <c r="C122" s="55">
        <v>119</v>
      </c>
      <c r="D122" s="55">
        <v>2868</v>
      </c>
      <c r="E122" s="71">
        <v>2987</v>
      </c>
      <c r="F122" s="36"/>
      <c r="G122" s="36"/>
      <c r="H122" s="36"/>
    </row>
    <row r="123" spans="1:8" x14ac:dyDescent="0.3">
      <c r="A123" s="60" t="s">
        <v>332</v>
      </c>
      <c r="B123" s="61" t="s">
        <v>333</v>
      </c>
      <c r="C123" s="68">
        <v>13</v>
      </c>
      <c r="D123" s="68">
        <v>414</v>
      </c>
      <c r="E123" s="68">
        <v>427</v>
      </c>
      <c r="F123" s="36"/>
      <c r="G123" s="36"/>
      <c r="H123" s="36"/>
    </row>
    <row r="124" spans="1:8" x14ac:dyDescent="0.3">
      <c r="A124" s="60" t="s">
        <v>334</v>
      </c>
      <c r="B124" s="61" t="s">
        <v>335</v>
      </c>
      <c r="C124" s="68">
        <v>9</v>
      </c>
      <c r="D124" s="68">
        <v>310</v>
      </c>
      <c r="E124" s="68">
        <v>319</v>
      </c>
      <c r="F124" s="36"/>
      <c r="G124" s="36"/>
      <c r="H124" s="36"/>
    </row>
    <row r="125" spans="1:8" x14ac:dyDescent="0.3">
      <c r="A125" s="60" t="s">
        <v>336</v>
      </c>
      <c r="B125" s="61" t="s">
        <v>337</v>
      </c>
      <c r="C125" s="68">
        <v>24</v>
      </c>
      <c r="D125" s="68">
        <v>465</v>
      </c>
      <c r="E125" s="68">
        <v>489</v>
      </c>
      <c r="F125" s="36"/>
      <c r="G125" s="36"/>
      <c r="H125" s="36"/>
    </row>
    <row r="126" spans="1:8" x14ac:dyDescent="0.3">
      <c r="A126" s="60" t="s">
        <v>338</v>
      </c>
      <c r="B126" s="61" t="s">
        <v>339</v>
      </c>
      <c r="C126" s="68">
        <v>17</v>
      </c>
      <c r="D126" s="68">
        <v>497</v>
      </c>
      <c r="E126" s="68">
        <v>514</v>
      </c>
      <c r="F126" s="36"/>
      <c r="G126" s="36"/>
      <c r="H126" s="36"/>
    </row>
    <row r="127" spans="1:8" x14ac:dyDescent="0.3">
      <c r="A127" s="60" t="s">
        <v>340</v>
      </c>
      <c r="B127" s="61" t="s">
        <v>341</v>
      </c>
      <c r="C127" s="68">
        <v>11</v>
      </c>
      <c r="D127" s="68">
        <v>366</v>
      </c>
      <c r="E127" s="68">
        <v>377</v>
      </c>
      <c r="F127" s="36"/>
      <c r="G127" s="36"/>
      <c r="H127" s="36"/>
    </row>
    <row r="128" spans="1:8" x14ac:dyDescent="0.3">
      <c r="A128" s="60" t="s">
        <v>342</v>
      </c>
      <c r="B128" s="61" t="s">
        <v>343</v>
      </c>
      <c r="C128" s="68">
        <v>19</v>
      </c>
      <c r="D128" s="68">
        <v>228</v>
      </c>
      <c r="E128" s="68">
        <v>247</v>
      </c>
      <c r="F128" s="36"/>
      <c r="G128" s="36"/>
      <c r="H128" s="36"/>
    </row>
    <row r="129" spans="1:8" x14ac:dyDescent="0.3">
      <c r="A129" s="119" t="s">
        <v>344</v>
      </c>
      <c r="B129" s="64" t="s">
        <v>345</v>
      </c>
      <c r="C129" s="67">
        <v>26</v>
      </c>
      <c r="D129" s="67">
        <v>588</v>
      </c>
      <c r="E129" s="67">
        <v>614</v>
      </c>
      <c r="F129" s="36"/>
      <c r="G129" s="36"/>
      <c r="H129" s="36"/>
    </row>
    <row r="130" spans="1:8" x14ac:dyDescent="0.3">
      <c r="A130" s="54" t="s">
        <v>346</v>
      </c>
      <c r="B130" s="56" t="s">
        <v>387</v>
      </c>
      <c r="C130" s="55">
        <v>430</v>
      </c>
      <c r="D130" s="55">
        <v>3064</v>
      </c>
      <c r="E130" s="55">
        <v>3494</v>
      </c>
      <c r="F130" s="36"/>
      <c r="G130" s="36"/>
      <c r="H130" s="36"/>
    </row>
    <row r="131" spans="1:8" x14ac:dyDescent="0.3">
      <c r="A131" s="60" t="s">
        <v>348</v>
      </c>
      <c r="B131" s="61" t="s">
        <v>349</v>
      </c>
      <c r="C131" s="68">
        <v>13</v>
      </c>
      <c r="D131" s="68">
        <v>96</v>
      </c>
      <c r="E131" s="68">
        <v>109</v>
      </c>
      <c r="F131" s="36"/>
      <c r="G131" s="36"/>
      <c r="H131" s="36"/>
    </row>
    <row r="132" spans="1:8" x14ac:dyDescent="0.3">
      <c r="A132" s="60" t="s">
        <v>350</v>
      </c>
      <c r="B132" s="61" t="s">
        <v>351</v>
      </c>
      <c r="C132" s="68">
        <v>17</v>
      </c>
      <c r="D132" s="68">
        <v>44</v>
      </c>
      <c r="E132" s="68">
        <v>61</v>
      </c>
      <c r="F132" s="36"/>
      <c r="G132" s="36"/>
      <c r="H132" s="36"/>
    </row>
    <row r="133" spans="1:8" x14ac:dyDescent="0.3">
      <c r="A133" s="60" t="s">
        <v>352</v>
      </c>
      <c r="B133" s="61" t="s">
        <v>353</v>
      </c>
      <c r="C133" s="68">
        <v>24</v>
      </c>
      <c r="D133" s="68">
        <v>344</v>
      </c>
      <c r="E133" s="68">
        <v>368</v>
      </c>
      <c r="F133" s="36"/>
      <c r="G133" s="36"/>
      <c r="H133" s="36"/>
    </row>
    <row r="134" spans="1:8" x14ac:dyDescent="0.3">
      <c r="A134" s="60" t="s">
        <v>354</v>
      </c>
      <c r="B134" s="61" t="s">
        <v>355</v>
      </c>
      <c r="C134" s="68">
        <v>8</v>
      </c>
      <c r="D134" s="68">
        <v>79</v>
      </c>
      <c r="E134" s="68">
        <v>87</v>
      </c>
      <c r="F134" s="36"/>
      <c r="G134" s="36"/>
      <c r="H134" s="36"/>
    </row>
    <row r="135" spans="1:8" x14ac:dyDescent="0.3">
      <c r="A135" s="54" t="s">
        <v>356</v>
      </c>
      <c r="B135" s="144" t="s">
        <v>357</v>
      </c>
      <c r="C135" s="55">
        <v>124</v>
      </c>
      <c r="D135" s="55">
        <v>853</v>
      </c>
      <c r="E135" s="71">
        <v>977</v>
      </c>
      <c r="F135" s="36"/>
      <c r="G135" s="36"/>
      <c r="H135" s="36"/>
    </row>
    <row r="136" spans="1:8" x14ac:dyDescent="0.3">
      <c r="A136" s="60" t="s">
        <v>358</v>
      </c>
      <c r="B136" s="61" t="s">
        <v>359</v>
      </c>
      <c r="C136" s="68">
        <v>9</v>
      </c>
      <c r="D136" s="68">
        <v>154</v>
      </c>
      <c r="E136" s="68">
        <v>163</v>
      </c>
      <c r="F136" s="36"/>
      <c r="G136" s="36"/>
      <c r="H136" s="36"/>
    </row>
    <row r="137" spans="1:8" x14ac:dyDescent="0.3">
      <c r="A137" s="60" t="s">
        <v>360</v>
      </c>
      <c r="B137" s="61" t="s">
        <v>361</v>
      </c>
      <c r="C137" s="68">
        <v>5</v>
      </c>
      <c r="D137" s="68">
        <v>27</v>
      </c>
      <c r="E137" s="68">
        <v>32</v>
      </c>
      <c r="F137" s="36"/>
      <c r="G137" s="36"/>
      <c r="H137" s="36"/>
    </row>
    <row r="138" spans="1:8" x14ac:dyDescent="0.3">
      <c r="A138" s="60" t="s">
        <v>362</v>
      </c>
      <c r="B138" s="61" t="s">
        <v>363</v>
      </c>
      <c r="C138" s="68">
        <v>2</v>
      </c>
      <c r="D138" s="68">
        <v>25</v>
      </c>
      <c r="E138" s="68">
        <v>27</v>
      </c>
      <c r="F138" s="36"/>
      <c r="G138" s="36"/>
      <c r="H138" s="36"/>
    </row>
    <row r="139" spans="1:8" x14ac:dyDescent="0.3">
      <c r="A139" s="60" t="s">
        <v>364</v>
      </c>
      <c r="B139" s="61" t="s">
        <v>365</v>
      </c>
      <c r="C139" s="68">
        <v>11</v>
      </c>
      <c r="D139" s="68">
        <v>123</v>
      </c>
      <c r="E139" s="68">
        <v>134</v>
      </c>
      <c r="F139" s="36"/>
      <c r="G139" s="36"/>
      <c r="H139" s="36"/>
    </row>
    <row r="140" spans="1:8" x14ac:dyDescent="0.3">
      <c r="A140" s="60" t="s">
        <v>366</v>
      </c>
      <c r="B140" s="61" t="s">
        <v>367</v>
      </c>
      <c r="C140" s="68">
        <v>11</v>
      </c>
      <c r="D140" s="68">
        <v>102</v>
      </c>
      <c r="E140" s="68">
        <v>113</v>
      </c>
      <c r="F140" s="36"/>
      <c r="G140" s="36"/>
      <c r="H140" s="36"/>
    </row>
    <row r="141" spans="1:8" x14ac:dyDescent="0.3">
      <c r="A141" s="60" t="s">
        <v>368</v>
      </c>
      <c r="B141" s="61" t="s">
        <v>369</v>
      </c>
      <c r="C141" s="68">
        <v>81</v>
      </c>
      <c r="D141" s="68">
        <v>281</v>
      </c>
      <c r="E141" s="68">
        <v>362</v>
      </c>
      <c r="F141" s="36"/>
      <c r="G141" s="36"/>
      <c r="H141" s="36"/>
    </row>
    <row r="142" spans="1:8" x14ac:dyDescent="0.3">
      <c r="A142" s="60" t="s">
        <v>370</v>
      </c>
      <c r="B142" s="61" t="s">
        <v>371</v>
      </c>
      <c r="C142" s="68">
        <v>0</v>
      </c>
      <c r="D142" s="68">
        <v>132</v>
      </c>
      <c r="E142" s="68">
        <v>132</v>
      </c>
      <c r="F142" s="36"/>
      <c r="G142" s="36"/>
      <c r="H142" s="36"/>
    </row>
    <row r="143" spans="1:8" x14ac:dyDescent="0.3">
      <c r="A143" s="60" t="s">
        <v>372</v>
      </c>
      <c r="B143" s="61" t="s">
        <v>373</v>
      </c>
      <c r="C143" s="68">
        <v>5</v>
      </c>
      <c r="D143" s="68">
        <v>9</v>
      </c>
      <c r="E143" s="68">
        <v>14</v>
      </c>
      <c r="F143" s="36"/>
      <c r="G143" s="36"/>
      <c r="H143" s="36"/>
    </row>
    <row r="144" spans="1:8" x14ac:dyDescent="0.3">
      <c r="A144" s="54" t="s">
        <v>374</v>
      </c>
      <c r="B144" s="144" t="s">
        <v>375</v>
      </c>
      <c r="C144" s="55">
        <v>46</v>
      </c>
      <c r="D144" s="55">
        <v>184</v>
      </c>
      <c r="E144" s="71">
        <v>230</v>
      </c>
      <c r="F144" s="36"/>
      <c r="G144" s="36"/>
      <c r="H144" s="36"/>
    </row>
    <row r="145" spans="1:8" x14ac:dyDescent="0.3">
      <c r="A145" s="60" t="s">
        <v>376</v>
      </c>
      <c r="B145" s="61" t="s">
        <v>377</v>
      </c>
      <c r="C145" s="68">
        <v>2</v>
      </c>
      <c r="D145" s="68">
        <v>11</v>
      </c>
      <c r="E145" s="68">
        <v>13</v>
      </c>
      <c r="F145" s="36"/>
      <c r="G145" s="36"/>
      <c r="H145" s="36"/>
    </row>
    <row r="146" spans="1:8" x14ac:dyDescent="0.3">
      <c r="A146" s="60" t="s">
        <v>378</v>
      </c>
      <c r="B146" s="61" t="s">
        <v>379</v>
      </c>
      <c r="C146" s="68">
        <v>13</v>
      </c>
      <c r="D146" s="68">
        <v>64</v>
      </c>
      <c r="E146" s="68">
        <v>77</v>
      </c>
      <c r="F146" s="36"/>
      <c r="G146" s="36"/>
      <c r="H146" s="36"/>
    </row>
    <row r="147" spans="1:8" x14ac:dyDescent="0.3">
      <c r="A147" s="60" t="s">
        <v>380</v>
      </c>
      <c r="B147" s="61" t="s">
        <v>381</v>
      </c>
      <c r="C147" s="68">
        <v>9</v>
      </c>
      <c r="D147" s="68">
        <v>20</v>
      </c>
      <c r="E147" s="68">
        <v>29</v>
      </c>
      <c r="F147" s="36"/>
      <c r="G147" s="36"/>
      <c r="H147" s="36"/>
    </row>
    <row r="148" spans="1:8" x14ac:dyDescent="0.3">
      <c r="A148" s="60" t="s">
        <v>382</v>
      </c>
      <c r="B148" s="61" t="s">
        <v>383</v>
      </c>
      <c r="C148" s="68">
        <v>13</v>
      </c>
      <c r="D148" s="68">
        <v>42</v>
      </c>
      <c r="E148" s="68">
        <v>55</v>
      </c>
      <c r="F148" s="36"/>
      <c r="G148" s="36"/>
      <c r="H148" s="36"/>
    </row>
    <row r="149" spans="1:8" x14ac:dyDescent="0.3">
      <c r="A149" s="60" t="s">
        <v>384</v>
      </c>
      <c r="B149" s="61" t="s">
        <v>385</v>
      </c>
      <c r="C149" s="68">
        <v>9</v>
      </c>
      <c r="D149" s="68">
        <v>47</v>
      </c>
      <c r="E149" s="68">
        <v>56</v>
      </c>
      <c r="F149" s="36"/>
      <c r="G149" s="36"/>
      <c r="H149" s="36"/>
    </row>
    <row r="150" spans="1:8" x14ac:dyDescent="0.3">
      <c r="A150" s="54" t="s">
        <v>386</v>
      </c>
      <c r="B150" s="144" t="s">
        <v>4294</v>
      </c>
      <c r="C150" s="69">
        <v>157</v>
      </c>
      <c r="D150" s="69">
        <v>1377</v>
      </c>
      <c r="E150" s="71">
        <v>1534</v>
      </c>
      <c r="F150" s="36"/>
      <c r="G150" s="36"/>
      <c r="H150" s="36"/>
    </row>
    <row r="151" spans="1:8" x14ac:dyDescent="0.3">
      <c r="A151" s="60" t="s">
        <v>388</v>
      </c>
      <c r="B151" s="61" t="s">
        <v>389</v>
      </c>
      <c r="C151" s="68">
        <v>51</v>
      </c>
      <c r="D151" s="68">
        <v>798</v>
      </c>
      <c r="E151" s="68">
        <v>849</v>
      </c>
      <c r="F151" s="36"/>
      <c r="G151" s="36"/>
      <c r="H151" s="36"/>
    </row>
    <row r="152" spans="1:8" x14ac:dyDescent="0.3">
      <c r="A152" s="60" t="s">
        <v>390</v>
      </c>
      <c r="B152" s="61" t="s">
        <v>391</v>
      </c>
      <c r="C152" s="68">
        <v>24</v>
      </c>
      <c r="D152" s="68">
        <v>81</v>
      </c>
      <c r="E152" s="68">
        <v>105</v>
      </c>
      <c r="F152" s="36"/>
      <c r="G152" s="36"/>
      <c r="H152" s="36"/>
    </row>
    <row r="153" spans="1:8" x14ac:dyDescent="0.3">
      <c r="A153" s="60" t="s">
        <v>392</v>
      </c>
      <c r="B153" s="61" t="s">
        <v>393</v>
      </c>
      <c r="C153" s="68">
        <v>15</v>
      </c>
      <c r="D153" s="68">
        <v>66</v>
      </c>
      <c r="E153" s="68">
        <v>81</v>
      </c>
      <c r="F153" s="36"/>
      <c r="G153" s="36"/>
      <c r="H153" s="36"/>
    </row>
    <row r="154" spans="1:8" x14ac:dyDescent="0.3">
      <c r="A154" s="60" t="s">
        <v>394</v>
      </c>
      <c r="B154" s="61" t="s">
        <v>395</v>
      </c>
      <c r="C154" s="68">
        <v>6</v>
      </c>
      <c r="D154" s="68">
        <v>108</v>
      </c>
      <c r="E154" s="68">
        <v>114</v>
      </c>
      <c r="F154" s="36"/>
      <c r="G154" s="36"/>
      <c r="H154" s="36"/>
    </row>
    <row r="155" spans="1:8" x14ac:dyDescent="0.3">
      <c r="A155" s="60" t="s">
        <v>396</v>
      </c>
      <c r="B155" s="61" t="s">
        <v>397</v>
      </c>
      <c r="C155" s="68">
        <v>27</v>
      </c>
      <c r="D155" s="68">
        <v>140</v>
      </c>
      <c r="E155" s="68">
        <v>167</v>
      </c>
      <c r="F155" s="36"/>
      <c r="G155" s="36"/>
      <c r="H155" s="36"/>
    </row>
    <row r="156" spans="1:8" x14ac:dyDescent="0.3">
      <c r="A156" s="60" t="s">
        <v>398</v>
      </c>
      <c r="B156" s="61" t="s">
        <v>399</v>
      </c>
      <c r="C156" s="68">
        <v>21</v>
      </c>
      <c r="D156" s="68">
        <v>84</v>
      </c>
      <c r="E156" s="68">
        <v>105</v>
      </c>
      <c r="F156" s="36"/>
      <c r="G156" s="36"/>
      <c r="H156" s="36"/>
    </row>
    <row r="157" spans="1:8" x14ac:dyDescent="0.3">
      <c r="A157" s="60" t="s">
        <v>400</v>
      </c>
      <c r="B157" s="61" t="s">
        <v>401</v>
      </c>
      <c r="C157" s="68">
        <v>13</v>
      </c>
      <c r="D157" s="68">
        <v>100</v>
      </c>
      <c r="E157" s="68">
        <v>113</v>
      </c>
      <c r="F157" s="36"/>
      <c r="G157" s="36"/>
      <c r="H157" s="36"/>
    </row>
    <row r="158" spans="1:8" x14ac:dyDescent="0.3">
      <c r="A158" s="54" t="s">
        <v>402</v>
      </c>
      <c r="B158" s="144" t="s">
        <v>403</v>
      </c>
      <c r="C158" s="55">
        <v>41</v>
      </c>
      <c r="D158" s="55">
        <v>87</v>
      </c>
      <c r="E158" s="71">
        <v>128</v>
      </c>
      <c r="F158" s="36"/>
      <c r="G158" s="36"/>
      <c r="H158" s="36"/>
    </row>
    <row r="159" spans="1:8" x14ac:dyDescent="0.3">
      <c r="A159" s="60" t="s">
        <v>404</v>
      </c>
      <c r="B159" s="61" t="s">
        <v>405</v>
      </c>
      <c r="C159" s="68">
        <v>5</v>
      </c>
      <c r="D159" s="68">
        <v>25</v>
      </c>
      <c r="E159" s="68">
        <v>30</v>
      </c>
      <c r="F159" s="36"/>
      <c r="G159" s="36"/>
      <c r="H159" s="36"/>
    </row>
    <row r="160" spans="1:8" x14ac:dyDescent="0.3">
      <c r="A160" s="60" t="s">
        <v>406</v>
      </c>
      <c r="B160" s="61" t="s">
        <v>407</v>
      </c>
      <c r="C160" s="68">
        <v>6</v>
      </c>
      <c r="D160" s="68">
        <v>13</v>
      </c>
      <c r="E160" s="68">
        <v>19</v>
      </c>
      <c r="F160" s="36"/>
      <c r="G160" s="36"/>
      <c r="H160" s="36"/>
    </row>
    <row r="161" spans="1:8" x14ac:dyDescent="0.3">
      <c r="A161" s="60" t="s">
        <v>408</v>
      </c>
      <c r="B161" s="61" t="s">
        <v>409</v>
      </c>
      <c r="C161" s="68">
        <v>6</v>
      </c>
      <c r="D161" s="68">
        <v>9</v>
      </c>
      <c r="E161" s="68">
        <v>15</v>
      </c>
      <c r="F161" s="36"/>
      <c r="G161" s="36"/>
      <c r="H161" s="36"/>
    </row>
    <row r="162" spans="1:8" x14ac:dyDescent="0.3">
      <c r="A162" s="60" t="s">
        <v>410</v>
      </c>
      <c r="B162" s="61" t="s">
        <v>411</v>
      </c>
      <c r="C162" s="68">
        <v>4</v>
      </c>
      <c r="D162" s="68">
        <v>8</v>
      </c>
      <c r="E162" s="68">
        <v>12</v>
      </c>
      <c r="F162" s="36"/>
      <c r="G162" s="36"/>
      <c r="H162" s="36"/>
    </row>
    <row r="163" spans="1:8" x14ac:dyDescent="0.3">
      <c r="A163" s="60" t="s">
        <v>412</v>
      </c>
      <c r="B163" s="61" t="s">
        <v>413</v>
      </c>
      <c r="C163" s="68">
        <v>11</v>
      </c>
      <c r="D163" s="68">
        <v>25</v>
      </c>
      <c r="E163" s="68">
        <v>36</v>
      </c>
      <c r="F163" s="36"/>
      <c r="G163" s="36"/>
      <c r="H163" s="36"/>
    </row>
    <row r="164" spans="1:8" x14ac:dyDescent="0.3">
      <c r="A164" s="119" t="s">
        <v>414</v>
      </c>
      <c r="B164" s="64" t="s">
        <v>415</v>
      </c>
      <c r="C164" s="67">
        <v>9</v>
      </c>
      <c r="D164" s="67">
        <v>7</v>
      </c>
      <c r="E164" s="67">
        <v>16</v>
      </c>
      <c r="F164" s="36"/>
      <c r="G164" s="36"/>
      <c r="H164" s="36"/>
    </row>
    <row r="165" spans="1:8" x14ac:dyDescent="0.3">
      <c r="A165" s="54" t="s">
        <v>416</v>
      </c>
      <c r="B165" s="56" t="s">
        <v>993</v>
      </c>
      <c r="C165" s="55">
        <v>449</v>
      </c>
      <c r="D165" s="55">
        <v>1327</v>
      </c>
      <c r="E165" s="71">
        <v>1776</v>
      </c>
      <c r="F165" s="68"/>
      <c r="G165" s="68"/>
      <c r="H165" s="68"/>
    </row>
    <row r="166" spans="1:8" x14ac:dyDescent="0.3">
      <c r="A166" s="60" t="s">
        <v>418</v>
      </c>
      <c r="B166" s="61" t="s">
        <v>419</v>
      </c>
      <c r="C166" s="68">
        <v>16</v>
      </c>
      <c r="D166" s="68">
        <v>28</v>
      </c>
      <c r="E166" s="68">
        <v>44</v>
      </c>
      <c r="F166" s="36"/>
      <c r="G166" s="36"/>
      <c r="H166" s="36"/>
    </row>
    <row r="167" spans="1:8" x14ac:dyDescent="0.3">
      <c r="A167" s="60" t="s">
        <v>420</v>
      </c>
      <c r="B167" s="61" t="s">
        <v>421</v>
      </c>
      <c r="C167" s="68">
        <v>29</v>
      </c>
      <c r="D167" s="68">
        <v>59</v>
      </c>
      <c r="E167" s="68">
        <v>88</v>
      </c>
      <c r="F167" s="36"/>
      <c r="G167" s="36"/>
      <c r="H167" s="36"/>
    </row>
    <row r="168" spans="1:8" x14ac:dyDescent="0.3">
      <c r="A168" s="60" t="s">
        <v>422</v>
      </c>
      <c r="B168" s="61" t="s">
        <v>423</v>
      </c>
      <c r="C168" s="68">
        <v>31</v>
      </c>
      <c r="D168" s="68">
        <v>25</v>
      </c>
      <c r="E168" s="68">
        <v>56</v>
      </c>
      <c r="F168" s="36"/>
      <c r="G168" s="36"/>
      <c r="H168" s="36"/>
    </row>
    <row r="169" spans="1:8" x14ac:dyDescent="0.3">
      <c r="A169" s="60" t="s">
        <v>424</v>
      </c>
      <c r="B169" s="61" t="s">
        <v>425</v>
      </c>
      <c r="C169" s="68">
        <v>11</v>
      </c>
      <c r="D169" s="68">
        <v>376</v>
      </c>
      <c r="E169" s="68">
        <v>387</v>
      </c>
      <c r="F169" s="36"/>
      <c r="G169" s="36"/>
      <c r="H169" s="36"/>
    </row>
    <row r="170" spans="1:8" x14ac:dyDescent="0.3">
      <c r="A170" s="60" t="s">
        <v>426</v>
      </c>
      <c r="B170" s="61" t="s">
        <v>427</v>
      </c>
      <c r="C170" s="68">
        <v>9</v>
      </c>
      <c r="D170" s="68">
        <v>20</v>
      </c>
      <c r="E170" s="68">
        <v>29</v>
      </c>
      <c r="F170" s="36"/>
      <c r="G170" s="36"/>
      <c r="H170" s="36"/>
    </row>
    <row r="171" spans="1:8" x14ac:dyDescent="0.3">
      <c r="A171" s="60" t="s">
        <v>428</v>
      </c>
      <c r="B171" s="61" t="s">
        <v>429</v>
      </c>
      <c r="C171" s="68">
        <v>8</v>
      </c>
      <c r="D171" s="68">
        <v>14</v>
      </c>
      <c r="E171" s="68">
        <v>22</v>
      </c>
      <c r="F171" s="36"/>
      <c r="G171" s="36"/>
      <c r="H171" s="36"/>
    </row>
    <row r="172" spans="1:8" x14ac:dyDescent="0.3">
      <c r="A172" s="54" t="s">
        <v>430</v>
      </c>
      <c r="B172" s="144" t="s">
        <v>431</v>
      </c>
      <c r="C172" s="55">
        <v>57</v>
      </c>
      <c r="D172" s="55">
        <v>115</v>
      </c>
      <c r="E172" s="71">
        <v>172</v>
      </c>
      <c r="F172" s="36"/>
      <c r="G172" s="36"/>
      <c r="H172" s="36"/>
    </row>
    <row r="173" spans="1:8" x14ac:dyDescent="0.3">
      <c r="A173" s="60" t="s">
        <v>432</v>
      </c>
      <c r="B173" s="61" t="s">
        <v>433</v>
      </c>
      <c r="C173" s="68">
        <v>16</v>
      </c>
      <c r="D173" s="68">
        <v>16</v>
      </c>
      <c r="E173" s="68">
        <v>32</v>
      </c>
      <c r="F173" s="36"/>
      <c r="G173" s="36"/>
      <c r="H173" s="36"/>
    </row>
    <row r="174" spans="1:8" x14ac:dyDescent="0.3">
      <c r="A174" s="60" t="s">
        <v>434</v>
      </c>
      <c r="B174" s="61" t="s">
        <v>435</v>
      </c>
      <c r="C174" s="68">
        <v>3</v>
      </c>
      <c r="D174" s="68">
        <v>15</v>
      </c>
      <c r="E174" s="68">
        <v>18</v>
      </c>
      <c r="F174" s="36"/>
      <c r="G174" s="36"/>
      <c r="H174" s="36"/>
    </row>
    <row r="175" spans="1:8" x14ac:dyDescent="0.3">
      <c r="A175" s="60" t="s">
        <v>436</v>
      </c>
      <c r="B175" s="61" t="s">
        <v>437</v>
      </c>
      <c r="C175" s="68">
        <v>4</v>
      </c>
      <c r="D175" s="68">
        <v>4</v>
      </c>
      <c r="E175" s="68">
        <v>8</v>
      </c>
      <c r="F175" s="36"/>
      <c r="G175" s="36"/>
      <c r="H175" s="36"/>
    </row>
    <row r="176" spans="1:8" x14ac:dyDescent="0.3">
      <c r="A176" s="60" t="s">
        <v>438</v>
      </c>
      <c r="B176" s="61" t="s">
        <v>439</v>
      </c>
      <c r="C176" s="68">
        <v>16</v>
      </c>
      <c r="D176" s="68">
        <v>51</v>
      </c>
      <c r="E176" s="68">
        <v>67</v>
      </c>
      <c r="F176" s="36"/>
      <c r="G176" s="36"/>
      <c r="H176" s="36"/>
    </row>
    <row r="177" spans="1:8" x14ac:dyDescent="0.3">
      <c r="A177" s="60" t="s">
        <v>440</v>
      </c>
      <c r="B177" s="61" t="s">
        <v>441</v>
      </c>
      <c r="C177" s="68">
        <v>18</v>
      </c>
      <c r="D177" s="68">
        <v>29</v>
      </c>
      <c r="E177" s="68">
        <v>47</v>
      </c>
      <c r="F177" s="36"/>
      <c r="G177" s="36"/>
      <c r="H177" s="36"/>
    </row>
    <row r="178" spans="1:8" x14ac:dyDescent="0.3">
      <c r="A178" s="54" t="s">
        <v>442</v>
      </c>
      <c r="B178" s="144" t="s">
        <v>443</v>
      </c>
      <c r="C178" s="55">
        <v>91</v>
      </c>
      <c r="D178" s="55">
        <v>281</v>
      </c>
      <c r="E178" s="71">
        <v>372</v>
      </c>
      <c r="F178" s="36"/>
      <c r="G178" s="36"/>
      <c r="H178" s="36"/>
    </row>
    <row r="179" spans="1:8" x14ac:dyDescent="0.3">
      <c r="A179" s="60" t="s">
        <v>444</v>
      </c>
      <c r="B179" s="61" t="s">
        <v>445</v>
      </c>
      <c r="C179" s="68">
        <v>12</v>
      </c>
      <c r="D179" s="68">
        <v>23</v>
      </c>
      <c r="E179" s="68">
        <v>35</v>
      </c>
      <c r="F179" s="36"/>
      <c r="G179" s="36"/>
      <c r="H179" s="36"/>
    </row>
    <row r="180" spans="1:8" x14ac:dyDescent="0.3">
      <c r="A180" s="60" t="s">
        <v>446</v>
      </c>
      <c r="B180" s="61" t="s">
        <v>447</v>
      </c>
      <c r="C180" s="68">
        <v>15</v>
      </c>
      <c r="D180" s="68">
        <v>25</v>
      </c>
      <c r="E180" s="68">
        <v>40</v>
      </c>
      <c r="F180" s="36"/>
      <c r="G180" s="36"/>
      <c r="H180" s="36"/>
    </row>
    <row r="181" spans="1:8" x14ac:dyDescent="0.3">
      <c r="A181" s="60" t="s">
        <v>448</v>
      </c>
      <c r="B181" s="61" t="s">
        <v>449</v>
      </c>
      <c r="C181" s="68">
        <v>2</v>
      </c>
      <c r="D181" s="68">
        <v>16</v>
      </c>
      <c r="E181" s="68">
        <v>18</v>
      </c>
      <c r="F181" s="36"/>
      <c r="G181" s="36"/>
      <c r="H181" s="36"/>
    </row>
    <row r="182" spans="1:8" x14ac:dyDescent="0.3">
      <c r="A182" s="60" t="s">
        <v>450</v>
      </c>
      <c r="B182" s="61" t="s">
        <v>451</v>
      </c>
      <c r="C182" s="68">
        <v>4</v>
      </c>
      <c r="D182" s="68">
        <v>8</v>
      </c>
      <c r="E182" s="68">
        <v>12</v>
      </c>
      <c r="F182" s="36"/>
      <c r="G182" s="36"/>
      <c r="H182" s="36"/>
    </row>
    <row r="183" spans="1:8" x14ac:dyDescent="0.3">
      <c r="A183" s="60" t="s">
        <v>452</v>
      </c>
      <c r="B183" s="61" t="s">
        <v>453</v>
      </c>
      <c r="C183" s="68">
        <v>7</v>
      </c>
      <c r="D183" s="68">
        <v>27</v>
      </c>
      <c r="E183" s="68">
        <v>34</v>
      </c>
      <c r="F183" s="36"/>
      <c r="G183" s="36"/>
      <c r="H183" s="36"/>
    </row>
    <row r="184" spans="1:8" x14ac:dyDescent="0.3">
      <c r="A184" s="60" t="s">
        <v>454</v>
      </c>
      <c r="B184" s="61" t="s">
        <v>455</v>
      </c>
      <c r="C184" s="68">
        <v>9</v>
      </c>
      <c r="D184" s="68">
        <v>29</v>
      </c>
      <c r="E184" s="68">
        <v>38</v>
      </c>
      <c r="F184" s="36"/>
      <c r="G184" s="36"/>
      <c r="H184" s="36"/>
    </row>
    <row r="185" spans="1:8" x14ac:dyDescent="0.3">
      <c r="A185" s="60" t="s">
        <v>456</v>
      </c>
      <c r="B185" s="61" t="s">
        <v>457</v>
      </c>
      <c r="C185" s="68">
        <v>9</v>
      </c>
      <c r="D185" s="68">
        <v>29</v>
      </c>
      <c r="E185" s="68">
        <v>38</v>
      </c>
      <c r="F185" s="36"/>
      <c r="G185" s="36"/>
      <c r="H185" s="36"/>
    </row>
    <row r="186" spans="1:8" x14ac:dyDescent="0.3">
      <c r="A186" s="60" t="s">
        <v>458</v>
      </c>
      <c r="B186" s="61" t="s">
        <v>459</v>
      </c>
      <c r="C186" s="68">
        <v>1</v>
      </c>
      <c r="D186" s="68">
        <v>3</v>
      </c>
      <c r="E186" s="68">
        <v>4</v>
      </c>
      <c r="F186" s="36"/>
      <c r="G186" s="36"/>
      <c r="H186" s="36"/>
    </row>
    <row r="187" spans="1:8" x14ac:dyDescent="0.3">
      <c r="A187" s="60" t="s">
        <v>460</v>
      </c>
      <c r="B187" s="61" t="s">
        <v>461</v>
      </c>
      <c r="C187" s="68">
        <v>1</v>
      </c>
      <c r="D187" s="68">
        <v>11</v>
      </c>
      <c r="E187" s="68">
        <v>12</v>
      </c>
      <c r="F187" s="36"/>
      <c r="G187" s="36"/>
      <c r="H187" s="36"/>
    </row>
    <row r="188" spans="1:8" x14ac:dyDescent="0.3">
      <c r="A188" s="60" t="s">
        <v>462</v>
      </c>
      <c r="B188" s="61" t="s">
        <v>463</v>
      </c>
      <c r="C188" s="68">
        <v>2</v>
      </c>
      <c r="D188" s="68">
        <v>18</v>
      </c>
      <c r="E188" s="68">
        <v>20</v>
      </c>
      <c r="F188" s="36"/>
      <c r="G188" s="36"/>
      <c r="H188" s="36"/>
    </row>
    <row r="189" spans="1:8" x14ac:dyDescent="0.3">
      <c r="A189" s="60" t="s">
        <v>464</v>
      </c>
      <c r="B189" s="61" t="s">
        <v>465</v>
      </c>
      <c r="C189" s="68">
        <v>24</v>
      </c>
      <c r="D189" s="68">
        <v>53</v>
      </c>
      <c r="E189" s="68">
        <v>77</v>
      </c>
      <c r="F189" s="36"/>
      <c r="G189" s="36"/>
      <c r="H189" s="36"/>
    </row>
    <row r="190" spans="1:8" x14ac:dyDescent="0.3">
      <c r="A190" s="60" t="s">
        <v>466</v>
      </c>
      <c r="B190" s="61" t="s">
        <v>467</v>
      </c>
      <c r="C190" s="68">
        <v>5</v>
      </c>
      <c r="D190" s="68">
        <v>39</v>
      </c>
      <c r="E190" s="68">
        <v>44</v>
      </c>
      <c r="F190" s="36"/>
      <c r="G190" s="36"/>
      <c r="H190" s="36"/>
    </row>
    <row r="191" spans="1:8" x14ac:dyDescent="0.3">
      <c r="A191" s="54" t="s">
        <v>468</v>
      </c>
      <c r="B191" s="144" t="s">
        <v>469</v>
      </c>
      <c r="C191" s="55">
        <v>86</v>
      </c>
      <c r="D191" s="55">
        <v>198</v>
      </c>
      <c r="E191" s="71">
        <v>284</v>
      </c>
      <c r="F191" s="36"/>
      <c r="G191" s="36"/>
      <c r="H191" s="36"/>
    </row>
    <row r="192" spans="1:8" x14ac:dyDescent="0.3">
      <c r="A192" s="60" t="s">
        <v>470</v>
      </c>
      <c r="B192" s="61" t="s">
        <v>471</v>
      </c>
      <c r="C192" s="68">
        <v>6</v>
      </c>
      <c r="D192" s="68">
        <v>10</v>
      </c>
      <c r="E192" s="68">
        <v>16</v>
      </c>
      <c r="F192" s="36"/>
      <c r="G192" s="36"/>
      <c r="H192" s="36"/>
    </row>
    <row r="193" spans="1:8" x14ac:dyDescent="0.3">
      <c r="A193" s="60" t="s">
        <v>472</v>
      </c>
      <c r="B193" s="61" t="s">
        <v>473</v>
      </c>
      <c r="C193" s="68">
        <v>14</v>
      </c>
      <c r="D193" s="68">
        <v>42</v>
      </c>
      <c r="E193" s="68">
        <v>56</v>
      </c>
      <c r="F193" s="36"/>
      <c r="G193" s="36"/>
      <c r="H193" s="36"/>
    </row>
    <row r="194" spans="1:8" x14ac:dyDescent="0.3">
      <c r="A194" s="60" t="s">
        <v>474</v>
      </c>
      <c r="B194" s="61" t="s">
        <v>475</v>
      </c>
      <c r="C194" s="68">
        <v>10</v>
      </c>
      <c r="D194" s="68">
        <v>15</v>
      </c>
      <c r="E194" s="68">
        <v>25</v>
      </c>
      <c r="F194" s="36"/>
      <c r="G194" s="36"/>
      <c r="H194" s="36"/>
    </row>
    <row r="195" spans="1:8" x14ac:dyDescent="0.3">
      <c r="A195" s="60" t="s">
        <v>476</v>
      </c>
      <c r="B195" s="61" t="s">
        <v>477</v>
      </c>
      <c r="C195" s="68">
        <v>11</v>
      </c>
      <c r="D195" s="68">
        <v>19</v>
      </c>
      <c r="E195" s="68">
        <v>30</v>
      </c>
      <c r="F195" s="36"/>
      <c r="G195" s="36"/>
      <c r="H195" s="36"/>
    </row>
    <row r="196" spans="1:8" x14ac:dyDescent="0.3">
      <c r="A196" s="60" t="s">
        <v>478</v>
      </c>
      <c r="B196" s="61" t="s">
        <v>479</v>
      </c>
      <c r="C196" s="68">
        <v>12</v>
      </c>
      <c r="D196" s="68">
        <v>33</v>
      </c>
      <c r="E196" s="68">
        <v>45</v>
      </c>
      <c r="F196" s="36"/>
      <c r="G196" s="36"/>
      <c r="H196" s="36"/>
    </row>
    <row r="197" spans="1:8" x14ac:dyDescent="0.3">
      <c r="A197" s="60" t="s">
        <v>480</v>
      </c>
      <c r="B197" s="61" t="s">
        <v>481</v>
      </c>
      <c r="C197" s="68">
        <v>10</v>
      </c>
      <c r="D197" s="68">
        <v>22</v>
      </c>
      <c r="E197" s="68">
        <v>32</v>
      </c>
      <c r="F197" s="36"/>
      <c r="G197" s="36"/>
      <c r="H197" s="36"/>
    </row>
    <row r="198" spans="1:8" x14ac:dyDescent="0.3">
      <c r="A198" s="60" t="s">
        <v>482</v>
      </c>
      <c r="B198" s="61" t="s">
        <v>483</v>
      </c>
      <c r="C198" s="68">
        <v>5</v>
      </c>
      <c r="D198" s="68">
        <v>9</v>
      </c>
      <c r="E198" s="68">
        <v>14</v>
      </c>
      <c r="F198" s="36"/>
      <c r="G198" s="36"/>
      <c r="H198" s="36"/>
    </row>
    <row r="199" spans="1:8" x14ac:dyDescent="0.3">
      <c r="A199" s="60" t="s">
        <v>484</v>
      </c>
      <c r="B199" s="61" t="s">
        <v>485</v>
      </c>
      <c r="C199" s="68">
        <v>12</v>
      </c>
      <c r="D199" s="68">
        <v>17</v>
      </c>
      <c r="E199" s="68">
        <v>29</v>
      </c>
      <c r="F199" s="36"/>
      <c r="G199" s="36"/>
      <c r="H199" s="36"/>
    </row>
    <row r="200" spans="1:8" x14ac:dyDescent="0.3">
      <c r="A200" s="60" t="s">
        <v>486</v>
      </c>
      <c r="B200" s="61" t="s">
        <v>487</v>
      </c>
      <c r="C200" s="68">
        <v>0</v>
      </c>
      <c r="D200" s="68">
        <v>16</v>
      </c>
      <c r="E200" s="68">
        <v>16</v>
      </c>
      <c r="F200" s="36"/>
      <c r="G200" s="36"/>
      <c r="H200" s="36"/>
    </row>
    <row r="201" spans="1:8" x14ac:dyDescent="0.3">
      <c r="A201" s="60" t="s">
        <v>488</v>
      </c>
      <c r="B201" s="61" t="s">
        <v>489</v>
      </c>
      <c r="C201" s="68">
        <v>6</v>
      </c>
      <c r="D201" s="68">
        <v>15</v>
      </c>
      <c r="E201" s="68">
        <v>21</v>
      </c>
      <c r="F201" s="36"/>
      <c r="G201" s="36"/>
      <c r="H201" s="36"/>
    </row>
    <row r="202" spans="1:8" x14ac:dyDescent="0.3">
      <c r="A202" s="54" t="s">
        <v>490</v>
      </c>
      <c r="B202" s="144" t="s">
        <v>491</v>
      </c>
      <c r="C202" s="55">
        <v>67</v>
      </c>
      <c r="D202" s="55">
        <v>131</v>
      </c>
      <c r="E202" s="71">
        <v>198</v>
      </c>
      <c r="F202" s="36"/>
      <c r="G202" s="36"/>
      <c r="H202" s="36"/>
    </row>
    <row r="203" spans="1:8" x14ac:dyDescent="0.3">
      <c r="A203" s="60" t="s">
        <v>492</v>
      </c>
      <c r="B203" s="61" t="s">
        <v>493</v>
      </c>
      <c r="C203" s="68">
        <v>8</v>
      </c>
      <c r="D203" s="68">
        <v>18</v>
      </c>
      <c r="E203" s="68">
        <v>26</v>
      </c>
      <c r="F203" s="36"/>
      <c r="G203" s="36"/>
      <c r="H203" s="36"/>
    </row>
    <row r="204" spans="1:8" x14ac:dyDescent="0.3">
      <c r="A204" s="60" t="s">
        <v>494</v>
      </c>
      <c r="B204" s="61" t="s">
        <v>495</v>
      </c>
      <c r="C204" s="68">
        <v>3</v>
      </c>
      <c r="D204" s="68">
        <v>25</v>
      </c>
      <c r="E204" s="68">
        <v>28</v>
      </c>
      <c r="F204" s="36"/>
      <c r="G204" s="36"/>
      <c r="H204" s="36"/>
    </row>
    <row r="205" spans="1:8" x14ac:dyDescent="0.3">
      <c r="A205" s="60" t="s">
        <v>496</v>
      </c>
      <c r="B205" s="61" t="s">
        <v>497</v>
      </c>
      <c r="C205" s="68">
        <v>6</v>
      </c>
      <c r="D205" s="68">
        <v>5</v>
      </c>
      <c r="E205" s="68">
        <v>11</v>
      </c>
      <c r="F205" s="36"/>
      <c r="G205" s="36"/>
      <c r="H205" s="36"/>
    </row>
    <row r="206" spans="1:8" x14ac:dyDescent="0.3">
      <c r="A206" s="60" t="s">
        <v>498</v>
      </c>
      <c r="B206" s="61" t="s">
        <v>499</v>
      </c>
      <c r="C206" s="68">
        <v>17</v>
      </c>
      <c r="D206" s="68">
        <v>22</v>
      </c>
      <c r="E206" s="68">
        <v>39</v>
      </c>
      <c r="F206" s="36"/>
      <c r="G206" s="36"/>
      <c r="H206" s="36"/>
    </row>
    <row r="207" spans="1:8" x14ac:dyDescent="0.3">
      <c r="A207" s="60" t="s">
        <v>500</v>
      </c>
      <c r="B207" s="61" t="s">
        <v>501</v>
      </c>
      <c r="C207" s="68">
        <v>17</v>
      </c>
      <c r="D207" s="68">
        <v>10</v>
      </c>
      <c r="E207" s="68">
        <v>27</v>
      </c>
      <c r="F207" s="36"/>
      <c r="G207" s="36"/>
      <c r="H207" s="36"/>
    </row>
    <row r="208" spans="1:8" x14ac:dyDescent="0.3">
      <c r="A208" s="60" t="s">
        <v>502</v>
      </c>
      <c r="B208" s="61" t="s">
        <v>503</v>
      </c>
      <c r="C208" s="68">
        <v>6</v>
      </c>
      <c r="D208" s="68">
        <v>17</v>
      </c>
      <c r="E208" s="68">
        <v>23</v>
      </c>
      <c r="F208" s="36"/>
      <c r="G208" s="36"/>
      <c r="H208" s="36"/>
    </row>
    <row r="209" spans="1:8" x14ac:dyDescent="0.3">
      <c r="A209" s="60" t="s">
        <v>504</v>
      </c>
      <c r="B209" s="61" t="s">
        <v>505</v>
      </c>
      <c r="C209" s="68">
        <v>10</v>
      </c>
      <c r="D209" s="68">
        <v>34</v>
      </c>
      <c r="E209" s="68">
        <v>44</v>
      </c>
      <c r="F209" s="36"/>
      <c r="G209" s="36"/>
      <c r="H209" s="36"/>
    </row>
    <row r="210" spans="1:8" x14ac:dyDescent="0.3">
      <c r="A210" s="54" t="s">
        <v>506</v>
      </c>
      <c r="B210" s="144" t="s">
        <v>507</v>
      </c>
      <c r="C210" s="55">
        <v>44</v>
      </c>
      <c r="D210" s="55">
        <v>80</v>
      </c>
      <c r="E210" s="71">
        <v>124</v>
      </c>
      <c r="F210" s="36"/>
      <c r="G210" s="36"/>
      <c r="H210" s="36"/>
    </row>
    <row r="211" spans="1:8" x14ac:dyDescent="0.3">
      <c r="A211" s="60" t="s">
        <v>508</v>
      </c>
      <c r="B211" s="61" t="s">
        <v>509</v>
      </c>
      <c r="C211" s="68">
        <v>4</v>
      </c>
      <c r="D211" s="68">
        <v>13</v>
      </c>
      <c r="E211" s="68">
        <v>17</v>
      </c>
      <c r="F211" s="36"/>
      <c r="G211" s="36"/>
      <c r="H211" s="36"/>
    </row>
    <row r="212" spans="1:8" x14ac:dyDescent="0.3">
      <c r="A212" s="60" t="s">
        <v>510</v>
      </c>
      <c r="B212" s="61" t="s">
        <v>511</v>
      </c>
      <c r="C212" s="68">
        <v>13</v>
      </c>
      <c r="D212" s="68">
        <v>27</v>
      </c>
      <c r="E212" s="68">
        <v>40</v>
      </c>
      <c r="F212" s="36"/>
      <c r="G212" s="36"/>
      <c r="H212" s="36"/>
    </row>
    <row r="213" spans="1:8" x14ac:dyDescent="0.3">
      <c r="A213" s="60" t="s">
        <v>512</v>
      </c>
      <c r="B213" s="61" t="s">
        <v>513</v>
      </c>
      <c r="C213" s="68">
        <v>10</v>
      </c>
      <c r="D213" s="68">
        <v>10</v>
      </c>
      <c r="E213" s="68">
        <v>20</v>
      </c>
      <c r="F213" s="36"/>
      <c r="G213" s="36"/>
      <c r="H213" s="36"/>
    </row>
    <row r="214" spans="1:8" x14ac:dyDescent="0.3">
      <c r="A214" s="60" t="s">
        <v>514</v>
      </c>
      <c r="B214" s="61" t="s">
        <v>515</v>
      </c>
      <c r="C214" s="68">
        <v>11</v>
      </c>
      <c r="D214" s="68">
        <v>13</v>
      </c>
      <c r="E214" s="68">
        <v>24</v>
      </c>
      <c r="F214" s="36"/>
      <c r="G214" s="36"/>
      <c r="H214" s="36"/>
    </row>
    <row r="215" spans="1:8" x14ac:dyDescent="0.3">
      <c r="A215" s="119" t="s">
        <v>516</v>
      </c>
      <c r="B215" s="64" t="s">
        <v>517</v>
      </c>
      <c r="C215" s="67">
        <v>6</v>
      </c>
      <c r="D215" s="67">
        <v>17</v>
      </c>
      <c r="E215" s="67">
        <v>23</v>
      </c>
      <c r="F215" s="36"/>
      <c r="G215" s="36"/>
      <c r="H215" s="36"/>
    </row>
    <row r="216" spans="1:8" x14ac:dyDescent="0.3">
      <c r="A216" s="54" t="s">
        <v>518</v>
      </c>
      <c r="B216" s="56" t="s">
        <v>1008</v>
      </c>
      <c r="C216" s="55">
        <v>408</v>
      </c>
      <c r="D216" s="55">
        <v>623</v>
      </c>
      <c r="E216" s="71">
        <v>1031</v>
      </c>
      <c r="F216" s="36"/>
      <c r="G216" s="36"/>
      <c r="H216" s="36"/>
    </row>
    <row r="217" spans="1:8" x14ac:dyDescent="0.3">
      <c r="A217" s="54" t="s">
        <v>520</v>
      </c>
      <c r="B217" s="144" t="s">
        <v>521</v>
      </c>
      <c r="C217" s="55">
        <v>92</v>
      </c>
      <c r="D217" s="55">
        <v>119</v>
      </c>
      <c r="E217" s="71">
        <v>211</v>
      </c>
      <c r="F217" s="36"/>
      <c r="G217" s="36"/>
      <c r="H217" s="36"/>
    </row>
    <row r="218" spans="1:8" x14ac:dyDescent="0.3">
      <c r="A218" s="60" t="s">
        <v>522</v>
      </c>
      <c r="B218" s="61" t="s">
        <v>523</v>
      </c>
      <c r="C218" s="68">
        <v>14</v>
      </c>
      <c r="D218" s="68">
        <v>20</v>
      </c>
      <c r="E218" s="68">
        <v>34</v>
      </c>
      <c r="F218" s="36"/>
      <c r="G218" s="36"/>
      <c r="H218" s="36"/>
    </row>
    <row r="219" spans="1:8" x14ac:dyDescent="0.3">
      <c r="A219" s="60" t="s">
        <v>524</v>
      </c>
      <c r="B219" s="61" t="s">
        <v>525</v>
      </c>
      <c r="C219" s="68">
        <v>0</v>
      </c>
      <c r="D219" s="68">
        <v>0</v>
      </c>
      <c r="E219" s="68">
        <v>0</v>
      </c>
      <c r="F219" s="36"/>
      <c r="G219" s="36"/>
      <c r="H219" s="36"/>
    </row>
    <row r="220" spans="1:8" x14ac:dyDescent="0.3">
      <c r="A220" s="60" t="s">
        <v>526</v>
      </c>
      <c r="B220" s="61" t="s">
        <v>527</v>
      </c>
      <c r="C220" s="68">
        <v>4</v>
      </c>
      <c r="D220" s="68">
        <v>11</v>
      </c>
      <c r="E220" s="68">
        <v>15</v>
      </c>
      <c r="F220" s="36"/>
      <c r="G220" s="36"/>
      <c r="H220" s="36"/>
    </row>
    <row r="221" spans="1:8" x14ac:dyDescent="0.3">
      <c r="A221" s="60" t="s">
        <v>528</v>
      </c>
      <c r="B221" s="61" t="s">
        <v>529</v>
      </c>
      <c r="C221" s="68">
        <v>3</v>
      </c>
      <c r="D221" s="68">
        <v>4</v>
      </c>
      <c r="E221" s="68">
        <v>7</v>
      </c>
      <c r="F221" s="36"/>
      <c r="G221" s="36"/>
      <c r="H221" s="36"/>
    </row>
    <row r="222" spans="1:8" x14ac:dyDescent="0.3">
      <c r="A222" s="60" t="s">
        <v>530</v>
      </c>
      <c r="B222" s="61" t="s">
        <v>531</v>
      </c>
      <c r="C222" s="68">
        <v>14</v>
      </c>
      <c r="D222" s="68">
        <v>10</v>
      </c>
      <c r="E222" s="68">
        <v>24</v>
      </c>
      <c r="F222" s="36"/>
      <c r="G222" s="36"/>
      <c r="H222" s="36"/>
    </row>
    <row r="223" spans="1:8" x14ac:dyDescent="0.3">
      <c r="A223" s="60" t="s">
        <v>532</v>
      </c>
      <c r="B223" s="61" t="s">
        <v>533</v>
      </c>
      <c r="C223" s="68">
        <v>1</v>
      </c>
      <c r="D223" s="68">
        <v>6</v>
      </c>
      <c r="E223" s="68">
        <v>7</v>
      </c>
      <c r="F223" s="36"/>
      <c r="G223" s="36"/>
      <c r="H223" s="36"/>
    </row>
    <row r="224" spans="1:8" x14ac:dyDescent="0.3">
      <c r="A224" s="60" t="s">
        <v>534</v>
      </c>
      <c r="B224" s="61" t="s">
        <v>535</v>
      </c>
      <c r="C224" s="68">
        <v>5</v>
      </c>
      <c r="D224" s="68">
        <v>15</v>
      </c>
      <c r="E224" s="68">
        <v>20</v>
      </c>
      <c r="F224" s="36"/>
      <c r="G224" s="36"/>
      <c r="H224" s="36"/>
    </row>
    <row r="225" spans="1:8" x14ac:dyDescent="0.3">
      <c r="A225" s="60" t="s">
        <v>536</v>
      </c>
      <c r="B225" s="61" t="s">
        <v>537</v>
      </c>
      <c r="C225" s="68">
        <v>7</v>
      </c>
      <c r="D225" s="68">
        <v>9</v>
      </c>
      <c r="E225" s="68">
        <v>16</v>
      </c>
      <c r="F225" s="36"/>
      <c r="G225" s="36"/>
      <c r="H225" s="36"/>
    </row>
    <row r="226" spans="1:8" x14ac:dyDescent="0.3">
      <c r="A226" s="60" t="s">
        <v>538</v>
      </c>
      <c r="B226" s="61" t="s">
        <v>539</v>
      </c>
      <c r="C226" s="68">
        <v>6</v>
      </c>
      <c r="D226" s="68">
        <v>8</v>
      </c>
      <c r="E226" s="68">
        <v>14</v>
      </c>
      <c r="F226" s="36"/>
      <c r="G226" s="36"/>
      <c r="H226" s="36"/>
    </row>
    <row r="227" spans="1:8" x14ac:dyDescent="0.3">
      <c r="A227" s="60" t="s">
        <v>540</v>
      </c>
      <c r="B227" s="61" t="s">
        <v>541</v>
      </c>
      <c r="C227" s="68">
        <v>7</v>
      </c>
      <c r="D227" s="68">
        <v>8</v>
      </c>
      <c r="E227" s="68">
        <v>15</v>
      </c>
      <c r="F227" s="36"/>
      <c r="G227" s="36"/>
      <c r="H227" s="36"/>
    </row>
    <row r="228" spans="1:8" x14ac:dyDescent="0.3">
      <c r="A228" s="60" t="s">
        <v>542</v>
      </c>
      <c r="B228" s="61" t="s">
        <v>543</v>
      </c>
      <c r="C228" s="68">
        <v>6</v>
      </c>
      <c r="D228" s="68">
        <v>6</v>
      </c>
      <c r="E228" s="68">
        <v>12</v>
      </c>
      <c r="F228" s="36"/>
      <c r="G228" s="36"/>
      <c r="H228" s="36"/>
    </row>
    <row r="229" spans="1:8" x14ac:dyDescent="0.3">
      <c r="A229" s="60" t="s">
        <v>544</v>
      </c>
      <c r="B229" s="61" t="s">
        <v>545</v>
      </c>
      <c r="C229" s="68">
        <v>7</v>
      </c>
      <c r="D229" s="68">
        <v>5</v>
      </c>
      <c r="E229" s="68">
        <v>12</v>
      </c>
      <c r="F229" s="36"/>
      <c r="G229" s="36"/>
      <c r="H229" s="36"/>
    </row>
    <row r="230" spans="1:8" x14ac:dyDescent="0.3">
      <c r="A230" s="60" t="s">
        <v>546</v>
      </c>
      <c r="B230" s="61" t="s">
        <v>547</v>
      </c>
      <c r="C230" s="68">
        <v>9</v>
      </c>
      <c r="D230" s="68">
        <v>10</v>
      </c>
      <c r="E230" s="68">
        <v>19</v>
      </c>
      <c r="F230" s="36"/>
      <c r="G230" s="36"/>
      <c r="H230" s="36"/>
    </row>
    <row r="231" spans="1:8" x14ac:dyDescent="0.3">
      <c r="A231" s="60" t="s">
        <v>548</v>
      </c>
      <c r="B231" s="61" t="s">
        <v>549</v>
      </c>
      <c r="C231" s="68">
        <v>9</v>
      </c>
      <c r="D231" s="68">
        <v>7</v>
      </c>
      <c r="E231" s="68">
        <v>16</v>
      </c>
      <c r="F231" s="36"/>
      <c r="G231" s="36"/>
      <c r="H231" s="36"/>
    </row>
    <row r="232" spans="1:8" x14ac:dyDescent="0.3">
      <c r="A232" s="54" t="s">
        <v>550</v>
      </c>
      <c r="B232" s="144" t="s">
        <v>551</v>
      </c>
      <c r="C232" s="55">
        <v>316</v>
      </c>
      <c r="D232" s="55">
        <v>504</v>
      </c>
      <c r="E232" s="71">
        <v>820</v>
      </c>
      <c r="F232" s="36"/>
      <c r="G232" s="36"/>
      <c r="H232" s="36"/>
    </row>
    <row r="233" spans="1:8" x14ac:dyDescent="0.3">
      <c r="A233" s="60" t="s">
        <v>552</v>
      </c>
      <c r="B233" s="61" t="s">
        <v>553</v>
      </c>
      <c r="C233" s="68">
        <v>5</v>
      </c>
      <c r="D233" s="68">
        <v>6</v>
      </c>
      <c r="E233" s="68">
        <v>11</v>
      </c>
      <c r="F233" s="36"/>
      <c r="G233" s="36"/>
      <c r="H233" s="36"/>
    </row>
    <row r="234" spans="1:8" x14ac:dyDescent="0.3">
      <c r="A234" s="60" t="s">
        <v>554</v>
      </c>
      <c r="B234" s="61" t="s">
        <v>555</v>
      </c>
      <c r="C234" s="68">
        <v>44</v>
      </c>
      <c r="D234" s="68">
        <v>74</v>
      </c>
      <c r="E234" s="68">
        <v>118</v>
      </c>
      <c r="F234" s="36"/>
      <c r="G234" s="36"/>
      <c r="H234" s="36"/>
    </row>
    <row r="235" spans="1:8" x14ac:dyDescent="0.3">
      <c r="A235" s="60" t="s">
        <v>556</v>
      </c>
      <c r="B235" s="61" t="s">
        <v>557</v>
      </c>
      <c r="C235" s="68">
        <v>9</v>
      </c>
      <c r="D235" s="68">
        <v>14</v>
      </c>
      <c r="E235" s="68">
        <v>23</v>
      </c>
      <c r="F235" s="36"/>
      <c r="G235" s="36"/>
      <c r="H235" s="36"/>
    </row>
    <row r="236" spans="1:8" x14ac:dyDescent="0.3">
      <c r="A236" s="60" t="s">
        <v>558</v>
      </c>
      <c r="B236" s="61" t="s">
        <v>559</v>
      </c>
      <c r="C236" s="68">
        <v>29</v>
      </c>
      <c r="D236" s="68">
        <v>27</v>
      </c>
      <c r="E236" s="68">
        <v>56</v>
      </c>
      <c r="F236" s="36"/>
      <c r="G236" s="36"/>
      <c r="H236" s="36"/>
    </row>
    <row r="237" spans="1:8" x14ac:dyDescent="0.3">
      <c r="A237" s="60" t="s">
        <v>560</v>
      </c>
      <c r="B237" s="61" t="s">
        <v>561</v>
      </c>
      <c r="C237" s="68">
        <v>41</v>
      </c>
      <c r="D237" s="68">
        <v>37</v>
      </c>
      <c r="E237" s="68">
        <v>78</v>
      </c>
      <c r="F237" s="36"/>
      <c r="G237" s="36"/>
      <c r="H237" s="36"/>
    </row>
    <row r="238" spans="1:8" x14ac:dyDescent="0.3">
      <c r="A238" s="60" t="s">
        <v>562</v>
      </c>
      <c r="B238" s="61" t="s">
        <v>563</v>
      </c>
      <c r="C238" s="68">
        <v>14</v>
      </c>
      <c r="D238" s="68">
        <v>28</v>
      </c>
      <c r="E238" s="68">
        <v>42</v>
      </c>
      <c r="F238" s="36"/>
      <c r="G238" s="36"/>
      <c r="H238" s="36"/>
    </row>
    <row r="239" spans="1:8" x14ac:dyDescent="0.3">
      <c r="A239" s="60" t="s">
        <v>564</v>
      </c>
      <c r="B239" s="61" t="s">
        <v>565</v>
      </c>
      <c r="C239" s="68">
        <v>18</v>
      </c>
      <c r="D239" s="68">
        <v>32</v>
      </c>
      <c r="E239" s="68">
        <v>50</v>
      </c>
      <c r="F239" s="36"/>
      <c r="G239" s="36"/>
      <c r="H239" s="36"/>
    </row>
    <row r="240" spans="1:8" x14ac:dyDescent="0.3">
      <c r="A240" s="60" t="s">
        <v>566</v>
      </c>
      <c r="B240" s="61" t="s">
        <v>567</v>
      </c>
      <c r="C240" s="68">
        <v>13</v>
      </c>
      <c r="D240" s="68">
        <v>14</v>
      </c>
      <c r="E240" s="68">
        <v>27</v>
      </c>
      <c r="F240" s="36"/>
      <c r="G240" s="36"/>
      <c r="H240" s="36"/>
    </row>
    <row r="241" spans="1:8" x14ac:dyDescent="0.3">
      <c r="A241" s="60" t="s">
        <v>568</v>
      </c>
      <c r="B241" s="61" t="s">
        <v>569</v>
      </c>
      <c r="C241" s="68">
        <v>5</v>
      </c>
      <c r="D241" s="68">
        <v>11</v>
      </c>
      <c r="E241" s="68">
        <v>16</v>
      </c>
      <c r="F241" s="36"/>
      <c r="G241" s="36"/>
      <c r="H241" s="36"/>
    </row>
    <row r="242" spans="1:8" x14ac:dyDescent="0.3">
      <c r="A242" s="60" t="s">
        <v>570</v>
      </c>
      <c r="B242" s="61" t="s">
        <v>571</v>
      </c>
      <c r="C242" s="68">
        <v>24</v>
      </c>
      <c r="D242" s="68">
        <v>30</v>
      </c>
      <c r="E242" s="68">
        <v>54</v>
      </c>
      <c r="F242" s="36"/>
      <c r="G242" s="36"/>
      <c r="H242" s="36"/>
    </row>
    <row r="243" spans="1:8" x14ac:dyDescent="0.3">
      <c r="A243" s="60" t="s">
        <v>572</v>
      </c>
      <c r="B243" s="61" t="s">
        <v>573</v>
      </c>
      <c r="C243" s="68">
        <v>6</v>
      </c>
      <c r="D243" s="68">
        <v>25</v>
      </c>
      <c r="E243" s="68">
        <v>31</v>
      </c>
      <c r="F243" s="36"/>
      <c r="G243" s="36"/>
      <c r="H243" s="36"/>
    </row>
    <row r="244" spans="1:8" x14ac:dyDescent="0.3">
      <c r="A244" s="60" t="s">
        <v>574</v>
      </c>
      <c r="B244" s="61" t="s">
        <v>575</v>
      </c>
      <c r="C244" s="68">
        <v>24</v>
      </c>
      <c r="D244" s="68">
        <v>38</v>
      </c>
      <c r="E244" s="68">
        <v>62</v>
      </c>
      <c r="F244" s="36"/>
      <c r="G244" s="36"/>
      <c r="H244" s="36"/>
    </row>
    <row r="245" spans="1:8" x14ac:dyDescent="0.3">
      <c r="A245" s="60" t="s">
        <v>576</v>
      </c>
      <c r="B245" s="61" t="s">
        <v>577</v>
      </c>
      <c r="C245" s="68">
        <v>15</v>
      </c>
      <c r="D245" s="68">
        <v>38</v>
      </c>
      <c r="E245" s="68">
        <v>53</v>
      </c>
      <c r="F245" s="36"/>
      <c r="G245" s="36"/>
      <c r="H245" s="36"/>
    </row>
    <row r="246" spans="1:8" x14ac:dyDescent="0.3">
      <c r="A246" s="60" t="s">
        <v>578</v>
      </c>
      <c r="B246" s="61" t="s">
        <v>579</v>
      </c>
      <c r="C246" s="68">
        <v>9</v>
      </c>
      <c r="D246" s="68">
        <v>15</v>
      </c>
      <c r="E246" s="68">
        <v>24</v>
      </c>
      <c r="F246" s="36"/>
      <c r="G246" s="36"/>
      <c r="H246" s="36"/>
    </row>
    <row r="247" spans="1:8" x14ac:dyDescent="0.3">
      <c r="A247" s="60" t="s">
        <v>580</v>
      </c>
      <c r="B247" s="61" t="s">
        <v>581</v>
      </c>
      <c r="C247" s="68">
        <v>10</v>
      </c>
      <c r="D247" s="68">
        <v>22</v>
      </c>
      <c r="E247" s="68">
        <v>32</v>
      </c>
      <c r="F247" s="36"/>
      <c r="G247" s="36"/>
      <c r="H247" s="36"/>
    </row>
    <row r="248" spans="1:8" x14ac:dyDescent="0.3">
      <c r="A248" s="60" t="s">
        <v>582</v>
      </c>
      <c r="B248" s="61" t="s">
        <v>583</v>
      </c>
      <c r="C248" s="68">
        <v>22</v>
      </c>
      <c r="D248" s="68">
        <v>58</v>
      </c>
      <c r="E248" s="68">
        <v>80</v>
      </c>
      <c r="F248" s="36"/>
      <c r="G248" s="36"/>
      <c r="H248" s="36"/>
    </row>
    <row r="249" spans="1:8" x14ac:dyDescent="0.3">
      <c r="A249" s="60" t="s">
        <v>584</v>
      </c>
      <c r="B249" s="61" t="s">
        <v>585</v>
      </c>
      <c r="C249" s="68">
        <v>13</v>
      </c>
      <c r="D249" s="68">
        <v>14</v>
      </c>
      <c r="E249" s="68">
        <v>27</v>
      </c>
      <c r="F249" s="36"/>
      <c r="G249" s="36"/>
      <c r="H249" s="36"/>
    </row>
    <row r="250" spans="1:8" x14ac:dyDescent="0.3">
      <c r="A250" s="60" t="s">
        <v>586</v>
      </c>
      <c r="B250" s="61" t="s">
        <v>587</v>
      </c>
      <c r="C250" s="68">
        <v>9</v>
      </c>
      <c r="D250" s="68">
        <v>10</v>
      </c>
      <c r="E250" s="68">
        <v>19</v>
      </c>
      <c r="F250" s="36"/>
      <c r="G250" s="36"/>
      <c r="H250" s="36"/>
    </row>
    <row r="251" spans="1:8" x14ac:dyDescent="0.3">
      <c r="A251" s="119" t="s">
        <v>588</v>
      </c>
      <c r="B251" s="64" t="s">
        <v>589</v>
      </c>
      <c r="C251" s="67">
        <v>6</v>
      </c>
      <c r="D251" s="67">
        <v>11</v>
      </c>
      <c r="E251" s="67">
        <v>17</v>
      </c>
      <c r="F251" s="36"/>
      <c r="G251" s="36"/>
      <c r="H251" s="36"/>
    </row>
    <row r="252" spans="1:8" x14ac:dyDescent="0.3">
      <c r="A252" s="54" t="s">
        <v>590</v>
      </c>
      <c r="B252" s="56" t="s">
        <v>1023</v>
      </c>
      <c r="C252" s="55">
        <v>835</v>
      </c>
      <c r="D252" s="55">
        <v>1563</v>
      </c>
      <c r="E252" s="71">
        <v>2398</v>
      </c>
      <c r="F252" s="36"/>
      <c r="G252" s="36"/>
      <c r="H252" s="36"/>
    </row>
    <row r="253" spans="1:8" x14ac:dyDescent="0.3">
      <c r="A253" s="60" t="s">
        <v>592</v>
      </c>
      <c r="B253" s="61" t="s">
        <v>593</v>
      </c>
      <c r="C253" s="68">
        <v>12</v>
      </c>
      <c r="D253" s="68">
        <v>17</v>
      </c>
      <c r="E253" s="68">
        <v>29</v>
      </c>
      <c r="F253" s="36"/>
      <c r="G253" s="36"/>
      <c r="H253" s="36"/>
    </row>
    <row r="254" spans="1:8" x14ac:dyDescent="0.3">
      <c r="A254" s="60" t="s">
        <v>594</v>
      </c>
      <c r="B254" s="61" t="s">
        <v>595</v>
      </c>
      <c r="C254" s="68">
        <v>19</v>
      </c>
      <c r="D254" s="68">
        <v>51</v>
      </c>
      <c r="E254" s="68">
        <v>70</v>
      </c>
      <c r="F254" s="36"/>
      <c r="G254" s="36"/>
      <c r="H254" s="36"/>
    </row>
    <row r="255" spans="1:8" x14ac:dyDescent="0.3">
      <c r="A255" s="60" t="s">
        <v>598</v>
      </c>
      <c r="B255" s="61" t="s">
        <v>599</v>
      </c>
      <c r="C255" s="68">
        <v>11</v>
      </c>
      <c r="D255" s="68">
        <v>9</v>
      </c>
      <c r="E255" s="68">
        <v>20</v>
      </c>
      <c r="F255" s="36"/>
      <c r="G255" s="36"/>
      <c r="H255" s="36"/>
    </row>
    <row r="256" spans="1:8" x14ac:dyDescent="0.3">
      <c r="A256" s="60" t="s">
        <v>600</v>
      </c>
      <c r="B256" s="61" t="s">
        <v>601</v>
      </c>
      <c r="C256" s="68">
        <v>13</v>
      </c>
      <c r="D256" s="68">
        <v>19</v>
      </c>
      <c r="E256" s="68">
        <v>32</v>
      </c>
      <c r="F256" s="36"/>
      <c r="G256" s="36"/>
      <c r="H256" s="36"/>
    </row>
    <row r="257" spans="1:8" x14ac:dyDescent="0.3">
      <c r="A257" s="60" t="s">
        <v>602</v>
      </c>
      <c r="B257" s="61" t="s">
        <v>603</v>
      </c>
      <c r="C257" s="68">
        <v>66</v>
      </c>
      <c r="D257" s="68">
        <v>81</v>
      </c>
      <c r="E257" s="68">
        <v>147</v>
      </c>
      <c r="F257" s="36"/>
      <c r="G257" s="36"/>
      <c r="H257" s="36"/>
    </row>
    <row r="258" spans="1:8" x14ac:dyDescent="0.3">
      <c r="A258" s="60" t="s">
        <v>604</v>
      </c>
      <c r="B258" s="61" t="s">
        <v>605</v>
      </c>
      <c r="C258" s="68">
        <v>1</v>
      </c>
      <c r="D258" s="68">
        <v>8</v>
      </c>
      <c r="E258" s="68">
        <v>9</v>
      </c>
      <c r="F258" s="36"/>
      <c r="G258" s="36"/>
      <c r="H258" s="36"/>
    </row>
    <row r="259" spans="1:8" x14ac:dyDescent="0.3">
      <c r="A259" s="60" t="s">
        <v>606</v>
      </c>
      <c r="B259" s="61" t="s">
        <v>607</v>
      </c>
      <c r="C259" s="68">
        <v>5</v>
      </c>
      <c r="D259" s="68">
        <v>11</v>
      </c>
      <c r="E259" s="68">
        <v>16</v>
      </c>
      <c r="F259" s="36"/>
      <c r="G259" s="36"/>
      <c r="H259" s="36"/>
    </row>
    <row r="260" spans="1:8" x14ac:dyDescent="0.3">
      <c r="A260" s="60" t="s">
        <v>608</v>
      </c>
      <c r="B260" s="61" t="s">
        <v>609</v>
      </c>
      <c r="C260" s="68">
        <v>4</v>
      </c>
      <c r="D260" s="68">
        <v>13</v>
      </c>
      <c r="E260" s="68">
        <v>17</v>
      </c>
      <c r="F260" s="36"/>
      <c r="G260" s="36"/>
      <c r="H260" s="36"/>
    </row>
    <row r="261" spans="1:8" x14ac:dyDescent="0.3">
      <c r="A261" s="60" t="s">
        <v>610</v>
      </c>
      <c r="B261" s="61" t="s">
        <v>611</v>
      </c>
      <c r="C261" s="68">
        <v>6</v>
      </c>
      <c r="D261" s="68">
        <v>18</v>
      </c>
      <c r="E261" s="68">
        <v>24</v>
      </c>
      <c r="F261" s="36"/>
      <c r="G261" s="36"/>
      <c r="H261" s="36"/>
    </row>
    <row r="262" spans="1:8" x14ac:dyDescent="0.3">
      <c r="A262" s="60" t="s">
        <v>612</v>
      </c>
      <c r="B262" s="61" t="s">
        <v>613</v>
      </c>
      <c r="C262" s="68">
        <v>22</v>
      </c>
      <c r="D262" s="68">
        <v>29</v>
      </c>
      <c r="E262" s="68">
        <v>51</v>
      </c>
      <c r="F262" s="36"/>
      <c r="G262" s="36"/>
      <c r="H262" s="36"/>
    </row>
    <row r="263" spans="1:8" x14ac:dyDescent="0.3">
      <c r="A263" s="60" t="s">
        <v>614</v>
      </c>
      <c r="B263" s="61" t="s">
        <v>615</v>
      </c>
      <c r="C263" s="68">
        <v>14</v>
      </c>
      <c r="D263" s="68">
        <v>34</v>
      </c>
      <c r="E263" s="68">
        <v>48</v>
      </c>
      <c r="F263" s="36"/>
      <c r="G263" s="36"/>
      <c r="H263" s="36"/>
    </row>
    <row r="264" spans="1:8" x14ac:dyDescent="0.3">
      <c r="A264" s="60" t="s">
        <v>616</v>
      </c>
      <c r="B264" s="61" t="s">
        <v>617</v>
      </c>
      <c r="C264" s="68">
        <v>19</v>
      </c>
      <c r="D264" s="68">
        <v>36</v>
      </c>
      <c r="E264" s="68">
        <v>55</v>
      </c>
      <c r="F264" s="36"/>
      <c r="G264" s="36"/>
      <c r="H264" s="36"/>
    </row>
    <row r="265" spans="1:8" x14ac:dyDescent="0.3">
      <c r="A265" s="60" t="s">
        <v>596</v>
      </c>
      <c r="B265" s="61" t="s">
        <v>597</v>
      </c>
      <c r="C265" s="68">
        <v>63</v>
      </c>
      <c r="D265" s="68">
        <v>110</v>
      </c>
      <c r="E265" s="68">
        <v>173</v>
      </c>
      <c r="F265" s="36"/>
      <c r="G265" s="36"/>
      <c r="H265" s="36"/>
    </row>
    <row r="266" spans="1:8" x14ac:dyDescent="0.3">
      <c r="A266" s="54" t="s">
        <v>618</v>
      </c>
      <c r="B266" s="144" t="s">
        <v>619</v>
      </c>
      <c r="C266" s="55">
        <v>42</v>
      </c>
      <c r="D266" s="55">
        <v>106</v>
      </c>
      <c r="E266" s="71">
        <v>148</v>
      </c>
      <c r="F266" s="36"/>
      <c r="G266" s="36"/>
      <c r="H266" s="36"/>
    </row>
    <row r="267" spans="1:8" x14ac:dyDescent="0.3">
      <c r="A267" s="60" t="s">
        <v>620</v>
      </c>
      <c r="B267" s="61" t="s">
        <v>621</v>
      </c>
      <c r="C267" s="68">
        <v>2</v>
      </c>
      <c r="D267" s="68">
        <v>15</v>
      </c>
      <c r="E267" s="68">
        <v>17</v>
      </c>
      <c r="F267" s="36"/>
      <c r="G267" s="36"/>
      <c r="H267" s="36"/>
    </row>
    <row r="268" spans="1:8" x14ac:dyDescent="0.3">
      <c r="A268" s="60" t="s">
        <v>622</v>
      </c>
      <c r="B268" s="61" t="s">
        <v>623</v>
      </c>
      <c r="C268" s="68">
        <v>13</v>
      </c>
      <c r="D268" s="68">
        <v>11</v>
      </c>
      <c r="E268" s="68">
        <v>24</v>
      </c>
      <c r="F268" s="36"/>
      <c r="G268" s="36"/>
      <c r="H268" s="36"/>
    </row>
    <row r="269" spans="1:8" x14ac:dyDescent="0.3">
      <c r="A269" s="60" t="s">
        <v>624</v>
      </c>
      <c r="B269" s="61" t="s">
        <v>625</v>
      </c>
      <c r="C269" s="68">
        <v>8</v>
      </c>
      <c r="D269" s="68">
        <v>32</v>
      </c>
      <c r="E269" s="68">
        <v>40</v>
      </c>
      <c r="F269" s="36"/>
      <c r="G269" s="36"/>
      <c r="H269" s="36"/>
    </row>
    <row r="270" spans="1:8" x14ac:dyDescent="0.3">
      <c r="A270" s="60" t="s">
        <v>626</v>
      </c>
      <c r="B270" s="61" t="s">
        <v>627</v>
      </c>
      <c r="C270" s="68">
        <v>7</v>
      </c>
      <c r="D270" s="68">
        <v>17</v>
      </c>
      <c r="E270" s="68">
        <v>24</v>
      </c>
      <c r="F270" s="36"/>
      <c r="G270" s="36"/>
      <c r="H270" s="36"/>
    </row>
    <row r="271" spans="1:8" x14ac:dyDescent="0.3">
      <c r="A271" s="60" t="s">
        <v>628</v>
      </c>
      <c r="B271" s="61" t="s">
        <v>629</v>
      </c>
      <c r="C271" s="68">
        <v>12</v>
      </c>
      <c r="D271" s="68">
        <v>31</v>
      </c>
      <c r="E271" s="68">
        <v>43</v>
      </c>
      <c r="F271" s="36"/>
      <c r="G271" s="36"/>
      <c r="H271" s="36"/>
    </row>
    <row r="272" spans="1:8" x14ac:dyDescent="0.3">
      <c r="A272" s="54" t="s">
        <v>630</v>
      </c>
      <c r="B272" s="144" t="s">
        <v>631</v>
      </c>
      <c r="C272" s="55">
        <v>139</v>
      </c>
      <c r="D272" s="55">
        <v>348</v>
      </c>
      <c r="E272" s="71">
        <v>487</v>
      </c>
      <c r="F272" s="36"/>
      <c r="G272" s="36"/>
      <c r="H272" s="36"/>
    </row>
    <row r="273" spans="1:8" x14ac:dyDescent="0.3">
      <c r="A273" s="60" t="s">
        <v>632</v>
      </c>
      <c r="B273" s="61" t="s">
        <v>633</v>
      </c>
      <c r="C273" s="68">
        <v>16</v>
      </c>
      <c r="D273" s="68">
        <v>42</v>
      </c>
      <c r="E273" s="68">
        <v>58</v>
      </c>
      <c r="F273" s="36"/>
      <c r="G273" s="36"/>
      <c r="H273" s="36"/>
    </row>
    <row r="274" spans="1:8" x14ac:dyDescent="0.3">
      <c r="A274" s="60" t="s">
        <v>634</v>
      </c>
      <c r="B274" s="61" t="s">
        <v>635</v>
      </c>
      <c r="C274" s="68">
        <v>13</v>
      </c>
      <c r="D274" s="68">
        <v>36</v>
      </c>
      <c r="E274" s="68">
        <v>49</v>
      </c>
      <c r="F274" s="36"/>
      <c r="G274" s="36"/>
      <c r="H274" s="36"/>
    </row>
    <row r="275" spans="1:8" x14ac:dyDescent="0.3">
      <c r="A275" s="60" t="s">
        <v>636</v>
      </c>
      <c r="B275" s="61" t="s">
        <v>637</v>
      </c>
      <c r="C275" s="68">
        <v>8</v>
      </c>
      <c r="D275" s="68">
        <v>49</v>
      </c>
      <c r="E275" s="68">
        <v>57</v>
      </c>
      <c r="F275" s="36"/>
      <c r="G275" s="36"/>
      <c r="H275" s="36"/>
    </row>
    <row r="276" spans="1:8" x14ac:dyDescent="0.3">
      <c r="A276" s="60" t="s">
        <v>638</v>
      </c>
      <c r="B276" s="61" t="s">
        <v>639</v>
      </c>
      <c r="C276" s="68">
        <v>13</v>
      </c>
      <c r="D276" s="68">
        <v>45</v>
      </c>
      <c r="E276" s="68">
        <v>58</v>
      </c>
      <c r="F276" s="36"/>
      <c r="G276" s="36"/>
      <c r="H276" s="36"/>
    </row>
    <row r="277" spans="1:8" x14ac:dyDescent="0.3">
      <c r="A277" s="60" t="s">
        <v>640</v>
      </c>
      <c r="B277" s="61" t="s">
        <v>641</v>
      </c>
      <c r="C277" s="68">
        <v>1</v>
      </c>
      <c r="D277" s="68">
        <v>5</v>
      </c>
      <c r="E277" s="68">
        <v>6</v>
      </c>
      <c r="F277" s="36"/>
      <c r="G277" s="36"/>
      <c r="H277" s="36"/>
    </row>
    <row r="278" spans="1:8" x14ac:dyDescent="0.3">
      <c r="A278" s="60" t="s">
        <v>642</v>
      </c>
      <c r="B278" s="61" t="s">
        <v>643</v>
      </c>
      <c r="C278" s="68">
        <v>16</v>
      </c>
      <c r="D278" s="68">
        <v>23</v>
      </c>
      <c r="E278" s="68">
        <v>39</v>
      </c>
      <c r="F278" s="36"/>
      <c r="G278" s="36"/>
      <c r="H278" s="36"/>
    </row>
    <row r="279" spans="1:8" x14ac:dyDescent="0.3">
      <c r="A279" s="60" t="s">
        <v>644</v>
      </c>
      <c r="B279" s="61" t="s">
        <v>645</v>
      </c>
      <c r="C279" s="68">
        <v>4</v>
      </c>
      <c r="D279" s="68">
        <v>23</v>
      </c>
      <c r="E279" s="68">
        <v>27</v>
      </c>
      <c r="F279" s="36"/>
      <c r="G279" s="36"/>
      <c r="H279" s="36"/>
    </row>
    <row r="280" spans="1:8" x14ac:dyDescent="0.3">
      <c r="A280" s="60" t="s">
        <v>646</v>
      </c>
      <c r="B280" s="61" t="s">
        <v>647</v>
      </c>
      <c r="C280" s="68">
        <v>29</v>
      </c>
      <c r="D280" s="68">
        <v>64</v>
      </c>
      <c r="E280" s="68">
        <v>93</v>
      </c>
      <c r="F280" s="36"/>
      <c r="G280" s="36"/>
      <c r="H280" s="36"/>
    </row>
    <row r="281" spans="1:8" x14ac:dyDescent="0.3">
      <c r="A281" s="60" t="s">
        <v>648</v>
      </c>
      <c r="B281" s="61" t="s">
        <v>649</v>
      </c>
      <c r="C281" s="68">
        <v>7</v>
      </c>
      <c r="D281" s="68">
        <v>19</v>
      </c>
      <c r="E281" s="68">
        <v>26</v>
      </c>
      <c r="F281" s="36"/>
      <c r="G281" s="36"/>
      <c r="H281" s="36"/>
    </row>
    <row r="282" spans="1:8" x14ac:dyDescent="0.3">
      <c r="A282" s="60" t="s">
        <v>650</v>
      </c>
      <c r="B282" s="61" t="s">
        <v>651</v>
      </c>
      <c r="C282" s="68">
        <v>16</v>
      </c>
      <c r="D282" s="68">
        <v>12</v>
      </c>
      <c r="E282" s="68">
        <v>28</v>
      </c>
      <c r="F282" s="36"/>
      <c r="G282" s="36"/>
      <c r="H282" s="36"/>
    </row>
    <row r="283" spans="1:8" x14ac:dyDescent="0.3">
      <c r="A283" s="60" t="s">
        <v>652</v>
      </c>
      <c r="B283" s="61" t="s">
        <v>653</v>
      </c>
      <c r="C283" s="68">
        <v>16</v>
      </c>
      <c r="D283" s="68">
        <v>30</v>
      </c>
      <c r="E283" s="68">
        <v>46</v>
      </c>
      <c r="F283" s="36"/>
      <c r="G283" s="36"/>
      <c r="H283" s="36"/>
    </row>
    <row r="284" spans="1:8" x14ac:dyDescent="0.3">
      <c r="A284" s="54" t="s">
        <v>654</v>
      </c>
      <c r="B284" s="144" t="s">
        <v>655</v>
      </c>
      <c r="C284" s="55">
        <v>119</v>
      </c>
      <c r="D284" s="55">
        <v>176</v>
      </c>
      <c r="E284" s="71">
        <v>295</v>
      </c>
      <c r="F284" s="36"/>
      <c r="G284" s="36"/>
      <c r="H284" s="36"/>
    </row>
    <row r="285" spans="1:8" x14ac:dyDescent="0.3">
      <c r="A285" s="60" t="s">
        <v>656</v>
      </c>
      <c r="B285" s="61" t="s">
        <v>657</v>
      </c>
      <c r="C285" s="68">
        <v>15</v>
      </c>
      <c r="D285" s="68">
        <v>21</v>
      </c>
      <c r="E285" s="68">
        <v>36</v>
      </c>
      <c r="F285" s="36"/>
      <c r="G285" s="36"/>
      <c r="H285" s="36"/>
    </row>
    <row r="286" spans="1:8" x14ac:dyDescent="0.3">
      <c r="A286" s="60" t="s">
        <v>658</v>
      </c>
      <c r="B286" s="61" t="s">
        <v>659</v>
      </c>
      <c r="C286" s="68">
        <v>8</v>
      </c>
      <c r="D286" s="68">
        <v>24</v>
      </c>
      <c r="E286" s="68">
        <v>32</v>
      </c>
      <c r="F286" s="36"/>
      <c r="G286" s="36"/>
      <c r="H286" s="36"/>
    </row>
    <row r="287" spans="1:8" x14ac:dyDescent="0.3">
      <c r="A287" s="60" t="s">
        <v>660</v>
      </c>
      <c r="B287" s="61" t="s">
        <v>661</v>
      </c>
      <c r="C287" s="68">
        <v>5</v>
      </c>
      <c r="D287" s="68">
        <v>8</v>
      </c>
      <c r="E287" s="68">
        <v>13</v>
      </c>
      <c r="F287" s="36"/>
      <c r="G287" s="36"/>
      <c r="H287" s="36"/>
    </row>
    <row r="288" spans="1:8" x14ac:dyDescent="0.3">
      <c r="A288" s="60" t="s">
        <v>662</v>
      </c>
      <c r="B288" s="61" t="s">
        <v>663</v>
      </c>
      <c r="C288" s="68">
        <v>34</v>
      </c>
      <c r="D288" s="68">
        <v>8</v>
      </c>
      <c r="E288" s="68">
        <v>42</v>
      </c>
      <c r="F288" s="36"/>
      <c r="G288" s="36"/>
      <c r="H288" s="36"/>
    </row>
    <row r="289" spans="1:8" x14ac:dyDescent="0.3">
      <c r="A289" s="60" t="s">
        <v>664</v>
      </c>
      <c r="B289" s="61" t="s">
        <v>665</v>
      </c>
      <c r="C289" s="68">
        <v>6</v>
      </c>
      <c r="D289" s="68">
        <v>13</v>
      </c>
      <c r="E289" s="68">
        <v>19</v>
      </c>
      <c r="F289" s="36"/>
      <c r="G289" s="36"/>
      <c r="H289" s="36"/>
    </row>
    <row r="290" spans="1:8" x14ac:dyDescent="0.3">
      <c r="A290" s="60" t="s">
        <v>666</v>
      </c>
      <c r="B290" s="61" t="s">
        <v>667</v>
      </c>
      <c r="C290" s="68">
        <v>6</v>
      </c>
      <c r="D290" s="68">
        <v>8</v>
      </c>
      <c r="E290" s="68">
        <v>14</v>
      </c>
      <c r="F290" s="36"/>
      <c r="G290" s="36"/>
      <c r="H290" s="36"/>
    </row>
    <row r="291" spans="1:8" x14ac:dyDescent="0.3">
      <c r="A291" s="60" t="s">
        <v>668</v>
      </c>
      <c r="B291" s="61" t="s">
        <v>669</v>
      </c>
      <c r="C291" s="68">
        <v>16</v>
      </c>
      <c r="D291" s="68">
        <v>17</v>
      </c>
      <c r="E291" s="68">
        <v>33</v>
      </c>
      <c r="F291" s="36"/>
      <c r="G291" s="36"/>
      <c r="H291" s="36"/>
    </row>
    <row r="292" spans="1:8" x14ac:dyDescent="0.3">
      <c r="A292" s="60" t="s">
        <v>670</v>
      </c>
      <c r="B292" s="61" t="s">
        <v>671</v>
      </c>
      <c r="C292" s="68">
        <v>8</v>
      </c>
      <c r="D292" s="68">
        <v>23</v>
      </c>
      <c r="E292" s="68">
        <v>31</v>
      </c>
      <c r="F292" s="36"/>
      <c r="G292" s="36"/>
      <c r="H292" s="36"/>
    </row>
    <row r="293" spans="1:8" x14ac:dyDescent="0.3">
      <c r="A293" s="60" t="s">
        <v>672</v>
      </c>
      <c r="B293" s="61" t="s">
        <v>673</v>
      </c>
      <c r="C293" s="68">
        <v>3</v>
      </c>
      <c r="D293" s="68">
        <v>4</v>
      </c>
      <c r="E293" s="68">
        <v>7</v>
      </c>
      <c r="F293" s="36"/>
      <c r="G293" s="36"/>
      <c r="H293" s="36"/>
    </row>
    <row r="294" spans="1:8" x14ac:dyDescent="0.3">
      <c r="A294" s="60" t="s">
        <v>674</v>
      </c>
      <c r="B294" s="61" t="s">
        <v>675</v>
      </c>
      <c r="C294" s="68">
        <v>4</v>
      </c>
      <c r="D294" s="68">
        <v>16</v>
      </c>
      <c r="E294" s="68">
        <v>20</v>
      </c>
      <c r="F294" s="36"/>
      <c r="G294" s="36"/>
      <c r="H294" s="36"/>
    </row>
    <row r="295" spans="1:8" x14ac:dyDescent="0.3">
      <c r="A295" s="60" t="s">
        <v>676</v>
      </c>
      <c r="B295" s="61" t="s">
        <v>677</v>
      </c>
      <c r="C295" s="68">
        <v>8</v>
      </c>
      <c r="D295" s="68">
        <v>17</v>
      </c>
      <c r="E295" s="68">
        <v>25</v>
      </c>
      <c r="F295" s="36"/>
      <c r="G295" s="36"/>
      <c r="H295" s="36"/>
    </row>
    <row r="296" spans="1:8" x14ac:dyDescent="0.3">
      <c r="A296" s="60" t="s">
        <v>678</v>
      </c>
      <c r="B296" s="61" t="s">
        <v>679</v>
      </c>
      <c r="C296" s="68">
        <v>6</v>
      </c>
      <c r="D296" s="68">
        <v>17</v>
      </c>
      <c r="E296" s="68">
        <v>23</v>
      </c>
      <c r="F296" s="36"/>
      <c r="G296" s="36"/>
      <c r="H296" s="36"/>
    </row>
    <row r="297" spans="1:8" x14ac:dyDescent="0.3">
      <c r="A297" s="54" t="s">
        <v>680</v>
      </c>
      <c r="B297" s="144" t="s">
        <v>681</v>
      </c>
      <c r="C297" s="55">
        <v>59</v>
      </c>
      <c r="D297" s="55">
        <v>126</v>
      </c>
      <c r="E297" s="71">
        <v>185</v>
      </c>
      <c r="F297" s="36"/>
      <c r="G297" s="36"/>
      <c r="H297" s="36"/>
    </row>
    <row r="298" spans="1:8" x14ac:dyDescent="0.3">
      <c r="A298" s="60" t="s">
        <v>682</v>
      </c>
      <c r="B298" s="61" t="s">
        <v>683</v>
      </c>
      <c r="C298" s="68">
        <v>8</v>
      </c>
      <c r="D298" s="68">
        <v>42</v>
      </c>
      <c r="E298" s="68">
        <v>50</v>
      </c>
      <c r="F298" s="36"/>
      <c r="G298" s="36"/>
      <c r="H298" s="36"/>
    </row>
    <row r="299" spans="1:8" x14ac:dyDescent="0.3">
      <c r="A299" s="60" t="s">
        <v>684</v>
      </c>
      <c r="B299" s="61" t="s">
        <v>685</v>
      </c>
      <c r="C299" s="68">
        <v>16</v>
      </c>
      <c r="D299" s="68">
        <v>10</v>
      </c>
      <c r="E299" s="68">
        <v>26</v>
      </c>
      <c r="F299" s="36"/>
      <c r="G299" s="36"/>
      <c r="H299" s="36"/>
    </row>
    <row r="300" spans="1:8" x14ac:dyDescent="0.3">
      <c r="A300" s="60" t="s">
        <v>686</v>
      </c>
      <c r="B300" s="61" t="s">
        <v>687</v>
      </c>
      <c r="C300" s="68">
        <v>17</v>
      </c>
      <c r="D300" s="68">
        <v>40</v>
      </c>
      <c r="E300" s="68">
        <v>57</v>
      </c>
      <c r="F300" s="36"/>
      <c r="G300" s="36"/>
      <c r="H300" s="36"/>
    </row>
    <row r="301" spans="1:8" x14ac:dyDescent="0.3">
      <c r="A301" s="60" t="s">
        <v>688</v>
      </c>
      <c r="B301" s="61" t="s">
        <v>689</v>
      </c>
      <c r="C301" s="68">
        <v>11</v>
      </c>
      <c r="D301" s="68">
        <v>21</v>
      </c>
      <c r="E301" s="68">
        <v>32</v>
      </c>
      <c r="F301" s="36"/>
      <c r="G301" s="36"/>
      <c r="H301" s="36"/>
    </row>
    <row r="302" spans="1:8" x14ac:dyDescent="0.3">
      <c r="A302" s="60" t="s">
        <v>690</v>
      </c>
      <c r="B302" s="61" t="s">
        <v>691</v>
      </c>
      <c r="C302" s="68">
        <v>7</v>
      </c>
      <c r="D302" s="68">
        <v>13</v>
      </c>
      <c r="E302" s="68">
        <v>20</v>
      </c>
      <c r="F302" s="36"/>
      <c r="G302" s="36"/>
      <c r="H302" s="36"/>
    </row>
    <row r="303" spans="1:8" x14ac:dyDescent="0.3">
      <c r="A303" s="54" t="s">
        <v>692</v>
      </c>
      <c r="B303" s="144" t="s">
        <v>693</v>
      </c>
      <c r="C303" s="55">
        <v>130</v>
      </c>
      <c r="D303" s="55">
        <v>193</v>
      </c>
      <c r="E303" s="71">
        <v>323</v>
      </c>
      <c r="F303" s="36"/>
      <c r="G303" s="36"/>
      <c r="H303" s="36"/>
    </row>
    <row r="304" spans="1:8" x14ac:dyDescent="0.3">
      <c r="A304" s="60" t="s">
        <v>694</v>
      </c>
      <c r="B304" s="61" t="s">
        <v>695</v>
      </c>
      <c r="C304" s="68">
        <v>19</v>
      </c>
      <c r="D304" s="68">
        <v>30</v>
      </c>
      <c r="E304" s="68">
        <v>49</v>
      </c>
      <c r="F304" s="36"/>
      <c r="G304" s="36"/>
      <c r="H304" s="36"/>
    </row>
    <row r="305" spans="1:8" x14ac:dyDescent="0.3">
      <c r="A305" s="60" t="s">
        <v>696</v>
      </c>
      <c r="B305" s="61" t="s">
        <v>697</v>
      </c>
      <c r="C305" s="68">
        <v>8</v>
      </c>
      <c r="D305" s="68">
        <v>10</v>
      </c>
      <c r="E305" s="68">
        <v>18</v>
      </c>
      <c r="F305" s="36"/>
      <c r="G305" s="36"/>
      <c r="H305" s="36"/>
    </row>
    <row r="306" spans="1:8" x14ac:dyDescent="0.3">
      <c r="A306" s="60" t="s">
        <v>698</v>
      </c>
      <c r="B306" s="61" t="s">
        <v>699</v>
      </c>
      <c r="C306" s="68">
        <v>19</v>
      </c>
      <c r="D306" s="68">
        <v>30</v>
      </c>
      <c r="E306" s="68">
        <v>49</v>
      </c>
      <c r="F306" s="36"/>
      <c r="G306" s="36"/>
      <c r="H306" s="36"/>
    </row>
    <row r="307" spans="1:8" x14ac:dyDescent="0.3">
      <c r="A307" s="60" t="s">
        <v>700</v>
      </c>
      <c r="B307" s="61" t="s">
        <v>701</v>
      </c>
      <c r="C307" s="68">
        <v>9</v>
      </c>
      <c r="D307" s="68">
        <v>14</v>
      </c>
      <c r="E307" s="68">
        <v>23</v>
      </c>
      <c r="F307" s="36"/>
      <c r="G307" s="36"/>
      <c r="H307" s="36"/>
    </row>
    <row r="308" spans="1:8" x14ac:dyDescent="0.3">
      <c r="A308" s="60" t="s">
        <v>702</v>
      </c>
      <c r="B308" s="61" t="s">
        <v>703</v>
      </c>
      <c r="C308" s="68">
        <v>22</v>
      </c>
      <c r="D308" s="68">
        <v>23</v>
      </c>
      <c r="E308" s="68">
        <v>45</v>
      </c>
      <c r="F308" s="36"/>
      <c r="G308" s="36"/>
      <c r="H308" s="36"/>
    </row>
    <row r="309" spans="1:8" x14ac:dyDescent="0.3">
      <c r="A309" s="60" t="s">
        <v>704</v>
      </c>
      <c r="B309" s="61" t="s">
        <v>705</v>
      </c>
      <c r="C309" s="68">
        <v>6</v>
      </c>
      <c r="D309" s="68">
        <v>9</v>
      </c>
      <c r="E309" s="68">
        <v>15</v>
      </c>
      <c r="F309" s="36"/>
      <c r="G309" s="36"/>
      <c r="H309" s="36"/>
    </row>
    <row r="310" spans="1:8" x14ac:dyDescent="0.3">
      <c r="A310" s="60" t="s">
        <v>706</v>
      </c>
      <c r="B310" s="61" t="s">
        <v>707</v>
      </c>
      <c r="C310" s="68">
        <v>4</v>
      </c>
      <c r="D310" s="68">
        <v>13</v>
      </c>
      <c r="E310" s="68">
        <v>17</v>
      </c>
      <c r="F310" s="36"/>
      <c r="G310" s="36"/>
      <c r="H310" s="36"/>
    </row>
    <row r="311" spans="1:8" x14ac:dyDescent="0.3">
      <c r="A311" s="60" t="s">
        <v>708</v>
      </c>
      <c r="B311" s="61" t="s">
        <v>709</v>
      </c>
      <c r="C311" s="68">
        <v>8</v>
      </c>
      <c r="D311" s="68">
        <v>18</v>
      </c>
      <c r="E311" s="68">
        <v>26</v>
      </c>
      <c r="F311" s="36"/>
      <c r="G311" s="36"/>
      <c r="H311" s="36"/>
    </row>
    <row r="312" spans="1:8" x14ac:dyDescent="0.3">
      <c r="A312" s="60" t="s">
        <v>710</v>
      </c>
      <c r="B312" s="61" t="s">
        <v>711</v>
      </c>
      <c r="C312" s="68">
        <v>8</v>
      </c>
      <c r="D312" s="68">
        <v>12</v>
      </c>
      <c r="E312" s="68">
        <v>20</v>
      </c>
      <c r="F312" s="36"/>
      <c r="G312" s="36"/>
      <c r="H312" s="36"/>
    </row>
    <row r="313" spans="1:8" x14ac:dyDescent="0.3">
      <c r="A313" s="60" t="s">
        <v>712</v>
      </c>
      <c r="B313" s="61" t="s">
        <v>713</v>
      </c>
      <c r="C313" s="68">
        <v>13</v>
      </c>
      <c r="D313" s="68">
        <v>16</v>
      </c>
      <c r="E313" s="68">
        <v>29</v>
      </c>
      <c r="F313" s="36"/>
      <c r="G313" s="36"/>
      <c r="H313" s="36"/>
    </row>
    <row r="314" spans="1:8" x14ac:dyDescent="0.3">
      <c r="A314" s="60" t="s">
        <v>714</v>
      </c>
      <c r="B314" s="61" t="s">
        <v>715</v>
      </c>
      <c r="C314" s="68">
        <v>14</v>
      </c>
      <c r="D314" s="68">
        <v>18</v>
      </c>
      <c r="E314" s="68">
        <v>32</v>
      </c>
      <c r="G314" s="36"/>
      <c r="H314" s="36"/>
    </row>
    <row r="315" spans="1:8" x14ac:dyDescent="0.3">
      <c r="A315" s="54" t="s">
        <v>716</v>
      </c>
      <c r="B315" s="144" t="s">
        <v>717</v>
      </c>
      <c r="C315" s="55">
        <v>91</v>
      </c>
      <c r="D315" s="55">
        <v>178</v>
      </c>
      <c r="E315" s="71">
        <v>269</v>
      </c>
      <c r="F315" s="36"/>
      <c r="G315" s="36"/>
      <c r="H315" s="36"/>
    </row>
    <row r="316" spans="1:8" x14ac:dyDescent="0.3">
      <c r="A316" s="60" t="s">
        <v>718</v>
      </c>
      <c r="B316" s="61" t="s">
        <v>719</v>
      </c>
      <c r="C316" s="68">
        <v>5</v>
      </c>
      <c r="D316" s="68">
        <v>12</v>
      </c>
      <c r="E316" s="68">
        <v>17</v>
      </c>
      <c r="F316" s="36"/>
      <c r="G316" s="36"/>
      <c r="H316" s="36"/>
    </row>
    <row r="317" spans="1:8" x14ac:dyDescent="0.3">
      <c r="A317" s="60" t="s">
        <v>720</v>
      </c>
      <c r="B317" s="61" t="s">
        <v>721</v>
      </c>
      <c r="C317" s="68">
        <v>13</v>
      </c>
      <c r="D317" s="68">
        <v>17</v>
      </c>
      <c r="E317" s="68">
        <v>30</v>
      </c>
      <c r="F317" s="36"/>
      <c r="G317" s="36"/>
      <c r="H317" s="36"/>
    </row>
    <row r="318" spans="1:8" x14ac:dyDescent="0.3">
      <c r="A318" s="60" t="s">
        <v>722</v>
      </c>
      <c r="B318" s="61" t="s">
        <v>723</v>
      </c>
      <c r="C318" s="68">
        <v>14</v>
      </c>
      <c r="D318" s="68">
        <v>35</v>
      </c>
      <c r="E318" s="68">
        <v>49</v>
      </c>
      <c r="F318" s="36"/>
      <c r="G318" s="36"/>
      <c r="H318" s="36"/>
    </row>
    <row r="319" spans="1:8" x14ac:dyDescent="0.3">
      <c r="A319" s="60" t="s">
        <v>724</v>
      </c>
      <c r="B319" s="61" t="s">
        <v>725</v>
      </c>
      <c r="C319" s="68">
        <v>7</v>
      </c>
      <c r="D319" s="68">
        <v>7</v>
      </c>
      <c r="E319" s="68">
        <v>14</v>
      </c>
      <c r="F319" s="36"/>
      <c r="G319" s="36"/>
      <c r="H319" s="36"/>
    </row>
    <row r="320" spans="1:8" x14ac:dyDescent="0.3">
      <c r="A320" s="60" t="s">
        <v>726</v>
      </c>
      <c r="B320" s="61" t="s">
        <v>727</v>
      </c>
      <c r="C320" s="68">
        <v>23</v>
      </c>
      <c r="D320" s="68">
        <v>36</v>
      </c>
      <c r="E320" s="68">
        <v>59</v>
      </c>
      <c r="F320" s="36"/>
      <c r="G320" s="36"/>
      <c r="H320" s="36"/>
    </row>
    <row r="321" spans="1:8" x14ac:dyDescent="0.3">
      <c r="A321" s="60" t="s">
        <v>728</v>
      </c>
      <c r="B321" s="61" t="s">
        <v>729</v>
      </c>
      <c r="C321" s="68">
        <v>23</v>
      </c>
      <c r="D321" s="68">
        <v>62</v>
      </c>
      <c r="E321" s="68">
        <v>85</v>
      </c>
      <c r="F321" s="36"/>
      <c r="G321" s="36"/>
      <c r="H321" s="36"/>
    </row>
    <row r="322" spans="1:8" x14ac:dyDescent="0.3">
      <c r="A322" s="119" t="s">
        <v>730</v>
      </c>
      <c r="B322" s="64" t="s">
        <v>731</v>
      </c>
      <c r="C322" s="67">
        <v>6</v>
      </c>
      <c r="D322" s="67">
        <v>9</v>
      </c>
      <c r="E322" s="67">
        <v>15</v>
      </c>
      <c r="F322" s="36"/>
      <c r="G322" s="36"/>
      <c r="H322" s="36"/>
    </row>
    <row r="323" spans="1:8" x14ac:dyDescent="0.3">
      <c r="A323" s="54" t="s">
        <v>732</v>
      </c>
      <c r="B323" s="56" t="s">
        <v>1041</v>
      </c>
      <c r="C323" s="55">
        <v>468</v>
      </c>
      <c r="D323" s="55">
        <v>1184</v>
      </c>
      <c r="E323" s="55">
        <v>1652</v>
      </c>
      <c r="F323" s="36"/>
      <c r="G323" s="36"/>
      <c r="H323" s="36"/>
    </row>
    <row r="324" spans="1:8" x14ac:dyDescent="0.3">
      <c r="A324" s="60" t="s">
        <v>734</v>
      </c>
      <c r="B324" s="61" t="s">
        <v>735</v>
      </c>
      <c r="C324" s="68">
        <v>15</v>
      </c>
      <c r="D324" s="68">
        <v>31</v>
      </c>
      <c r="E324" s="68">
        <v>46</v>
      </c>
      <c r="F324" s="36"/>
      <c r="G324" s="36"/>
      <c r="H324" s="36"/>
    </row>
    <row r="325" spans="1:8" x14ac:dyDescent="0.3">
      <c r="A325" s="60" t="s">
        <v>736</v>
      </c>
      <c r="B325" s="61" t="s">
        <v>737</v>
      </c>
      <c r="C325" s="68">
        <v>23</v>
      </c>
      <c r="D325" s="68">
        <v>183</v>
      </c>
      <c r="E325" s="68">
        <v>206</v>
      </c>
      <c r="F325" s="36"/>
      <c r="G325" s="36"/>
      <c r="H325" s="36"/>
    </row>
    <row r="326" spans="1:8" x14ac:dyDescent="0.3">
      <c r="A326" s="60" t="s">
        <v>738</v>
      </c>
      <c r="B326" s="61" t="s">
        <v>739</v>
      </c>
      <c r="C326" s="68">
        <v>27</v>
      </c>
      <c r="D326" s="68">
        <v>41</v>
      </c>
      <c r="E326" s="68">
        <v>68</v>
      </c>
      <c r="F326" s="36"/>
      <c r="G326" s="36"/>
      <c r="H326" s="36"/>
    </row>
    <row r="327" spans="1:8" x14ac:dyDescent="0.3">
      <c r="A327" s="60" t="s">
        <v>740</v>
      </c>
      <c r="B327" s="61" t="s">
        <v>741</v>
      </c>
      <c r="C327" s="68">
        <v>85</v>
      </c>
      <c r="D327" s="68">
        <v>65</v>
      </c>
      <c r="E327" s="68">
        <v>150</v>
      </c>
      <c r="F327" s="36"/>
      <c r="G327" s="36"/>
      <c r="H327" s="36"/>
    </row>
    <row r="328" spans="1:8" x14ac:dyDescent="0.3">
      <c r="A328" s="60" t="s">
        <v>742</v>
      </c>
      <c r="B328" s="61" t="s">
        <v>743</v>
      </c>
      <c r="C328" s="68">
        <v>19</v>
      </c>
      <c r="D328" s="68">
        <v>119</v>
      </c>
      <c r="E328" s="68">
        <v>138</v>
      </c>
      <c r="F328" s="36"/>
      <c r="G328" s="36"/>
      <c r="H328" s="36"/>
    </row>
    <row r="329" spans="1:8" x14ac:dyDescent="0.3">
      <c r="A329" s="60" t="s">
        <v>744</v>
      </c>
      <c r="B329" s="61" t="s">
        <v>745</v>
      </c>
      <c r="C329" s="68">
        <v>0</v>
      </c>
      <c r="D329" s="68">
        <v>0</v>
      </c>
      <c r="E329" s="68">
        <v>0</v>
      </c>
      <c r="F329" s="36"/>
      <c r="G329" s="36"/>
      <c r="H329" s="36"/>
    </row>
    <row r="330" spans="1:8" x14ac:dyDescent="0.3">
      <c r="A330" s="60" t="s">
        <v>746</v>
      </c>
      <c r="B330" s="61" t="s">
        <v>747</v>
      </c>
      <c r="C330" s="68">
        <v>19</v>
      </c>
      <c r="D330" s="68">
        <v>37</v>
      </c>
      <c r="E330" s="68">
        <v>56</v>
      </c>
      <c r="F330" s="36"/>
      <c r="G330" s="36"/>
      <c r="H330" s="36"/>
    </row>
    <row r="331" spans="1:8" x14ac:dyDescent="0.3">
      <c r="A331" s="60" t="s">
        <v>748</v>
      </c>
      <c r="B331" s="61" t="s">
        <v>749</v>
      </c>
      <c r="C331" s="68">
        <v>5</v>
      </c>
      <c r="D331" s="68">
        <v>7</v>
      </c>
      <c r="E331" s="68">
        <v>12</v>
      </c>
      <c r="F331" s="36"/>
      <c r="G331" s="36"/>
      <c r="H331" s="36"/>
    </row>
    <row r="332" spans="1:8" x14ac:dyDescent="0.3">
      <c r="A332" s="60" t="s">
        <v>750</v>
      </c>
      <c r="B332" s="61" t="s">
        <v>751</v>
      </c>
      <c r="C332" s="68">
        <v>24</v>
      </c>
      <c r="D332" s="68">
        <v>64</v>
      </c>
      <c r="E332" s="68">
        <v>88</v>
      </c>
      <c r="F332" s="36"/>
      <c r="G332" s="36"/>
      <c r="H332" s="36"/>
    </row>
    <row r="333" spans="1:8" x14ac:dyDescent="0.3">
      <c r="A333" s="60" t="s">
        <v>752</v>
      </c>
      <c r="B333" s="61" t="s">
        <v>753</v>
      </c>
      <c r="C333" s="68">
        <v>13</v>
      </c>
      <c r="D333" s="68">
        <v>27</v>
      </c>
      <c r="E333" s="68">
        <v>40</v>
      </c>
      <c r="F333" s="36"/>
      <c r="G333" s="36"/>
      <c r="H333" s="36"/>
    </row>
    <row r="334" spans="1:8" x14ac:dyDescent="0.3">
      <c r="A334" s="60" t="s">
        <v>754</v>
      </c>
      <c r="B334" s="61" t="s">
        <v>755</v>
      </c>
      <c r="C334" s="68">
        <v>16</v>
      </c>
      <c r="D334" s="68">
        <v>11</v>
      </c>
      <c r="E334" s="68">
        <v>27</v>
      </c>
      <c r="F334" s="36"/>
      <c r="G334" s="36"/>
      <c r="H334" s="36"/>
    </row>
    <row r="335" spans="1:8" x14ac:dyDescent="0.3">
      <c r="A335" s="60" t="s">
        <v>756</v>
      </c>
      <c r="B335" s="61" t="s">
        <v>757</v>
      </c>
      <c r="C335" s="68">
        <v>33</v>
      </c>
      <c r="D335" s="68">
        <v>81</v>
      </c>
      <c r="E335" s="68">
        <v>114</v>
      </c>
      <c r="F335" s="36"/>
      <c r="G335" s="36"/>
      <c r="H335" s="36"/>
    </row>
    <row r="336" spans="1:8" x14ac:dyDescent="0.3">
      <c r="A336" s="54" t="s">
        <v>758</v>
      </c>
      <c r="B336" s="144" t="s">
        <v>759</v>
      </c>
      <c r="C336" s="55">
        <v>92</v>
      </c>
      <c r="D336" s="55">
        <v>141</v>
      </c>
      <c r="E336" s="71">
        <v>233</v>
      </c>
      <c r="F336" s="36"/>
      <c r="G336" s="36"/>
      <c r="H336" s="36"/>
    </row>
    <row r="337" spans="1:8" x14ac:dyDescent="0.3">
      <c r="A337" s="60" t="s">
        <v>760</v>
      </c>
      <c r="B337" s="61" t="s">
        <v>761</v>
      </c>
      <c r="C337" s="68">
        <v>14</v>
      </c>
      <c r="D337" s="68">
        <v>35</v>
      </c>
      <c r="E337" s="68">
        <v>49</v>
      </c>
      <c r="F337" s="36"/>
      <c r="G337" s="36"/>
      <c r="H337" s="36"/>
    </row>
    <row r="338" spans="1:8" x14ac:dyDescent="0.3">
      <c r="A338" s="60" t="s">
        <v>762</v>
      </c>
      <c r="B338" s="61" t="s">
        <v>763</v>
      </c>
      <c r="C338" s="68">
        <v>7</v>
      </c>
      <c r="D338" s="68">
        <v>16</v>
      </c>
      <c r="E338" s="68">
        <v>23</v>
      </c>
      <c r="F338" s="36"/>
      <c r="G338" s="36"/>
      <c r="H338" s="36"/>
    </row>
    <row r="339" spans="1:8" x14ac:dyDescent="0.3">
      <c r="A339" s="60" t="s">
        <v>764</v>
      </c>
      <c r="B339" s="61" t="s">
        <v>765</v>
      </c>
      <c r="C339" s="68">
        <v>24</v>
      </c>
      <c r="D339" s="68">
        <v>20</v>
      </c>
      <c r="E339" s="68">
        <v>44</v>
      </c>
      <c r="F339" s="36"/>
      <c r="G339" s="36"/>
      <c r="H339" s="36"/>
    </row>
    <row r="340" spans="1:8" x14ac:dyDescent="0.3">
      <c r="A340" s="60" t="s">
        <v>766</v>
      </c>
      <c r="B340" s="61" t="s">
        <v>767</v>
      </c>
      <c r="C340" s="68">
        <v>11</v>
      </c>
      <c r="D340" s="68">
        <v>19</v>
      </c>
      <c r="E340" s="68">
        <v>30</v>
      </c>
      <c r="F340" s="36"/>
      <c r="G340" s="36"/>
      <c r="H340" s="36"/>
    </row>
    <row r="341" spans="1:8" x14ac:dyDescent="0.3">
      <c r="A341" s="60" t="s">
        <v>768</v>
      </c>
      <c r="B341" s="61" t="s">
        <v>769</v>
      </c>
      <c r="C341" s="68">
        <v>15</v>
      </c>
      <c r="D341" s="68">
        <v>10</v>
      </c>
      <c r="E341" s="68">
        <v>25</v>
      </c>
      <c r="F341" s="36"/>
      <c r="G341" s="36"/>
      <c r="H341" s="36"/>
    </row>
    <row r="342" spans="1:8" x14ac:dyDescent="0.3">
      <c r="A342" s="60" t="s">
        <v>770</v>
      </c>
      <c r="B342" s="61" t="s">
        <v>771</v>
      </c>
      <c r="C342" s="68">
        <v>5</v>
      </c>
      <c r="D342" s="68">
        <v>14</v>
      </c>
      <c r="E342" s="68">
        <v>19</v>
      </c>
      <c r="F342" s="36"/>
      <c r="G342" s="36"/>
      <c r="H342" s="36"/>
    </row>
    <row r="343" spans="1:8" x14ac:dyDescent="0.3">
      <c r="A343" s="60" t="s">
        <v>772</v>
      </c>
      <c r="B343" s="61" t="s">
        <v>773</v>
      </c>
      <c r="C343" s="68">
        <v>10</v>
      </c>
      <c r="D343" s="68">
        <v>17</v>
      </c>
      <c r="E343" s="68">
        <v>27</v>
      </c>
      <c r="F343" s="36"/>
      <c r="G343" s="36"/>
      <c r="H343" s="36"/>
    </row>
    <row r="344" spans="1:8" x14ac:dyDescent="0.3">
      <c r="A344" s="60" t="s">
        <v>774</v>
      </c>
      <c r="B344" s="61" t="s">
        <v>775</v>
      </c>
      <c r="C344" s="68">
        <v>6</v>
      </c>
      <c r="D344" s="68">
        <v>10</v>
      </c>
      <c r="E344" s="68">
        <v>16</v>
      </c>
      <c r="F344" s="36"/>
      <c r="G344" s="36"/>
      <c r="H344" s="36"/>
    </row>
    <row r="345" spans="1:8" x14ac:dyDescent="0.3">
      <c r="A345" s="54" t="s">
        <v>776</v>
      </c>
      <c r="B345" s="144" t="s">
        <v>777</v>
      </c>
      <c r="C345" s="55">
        <v>47</v>
      </c>
      <c r="D345" s="55">
        <v>103</v>
      </c>
      <c r="E345" s="71">
        <v>150</v>
      </c>
      <c r="F345" s="36"/>
      <c r="G345" s="36"/>
      <c r="H345" s="36"/>
    </row>
    <row r="346" spans="1:8" x14ac:dyDescent="0.3">
      <c r="A346" s="60" t="s">
        <v>778</v>
      </c>
      <c r="B346" s="61" t="s">
        <v>779</v>
      </c>
      <c r="C346" s="68">
        <v>8</v>
      </c>
      <c r="D346" s="68">
        <v>8</v>
      </c>
      <c r="E346" s="68">
        <v>16</v>
      </c>
      <c r="F346" s="36"/>
      <c r="G346" s="36"/>
      <c r="H346" s="36"/>
    </row>
    <row r="347" spans="1:8" x14ac:dyDescent="0.3">
      <c r="A347" s="60" t="s">
        <v>780</v>
      </c>
      <c r="B347" s="61" t="s">
        <v>781</v>
      </c>
      <c r="C347" s="68">
        <v>10</v>
      </c>
      <c r="D347" s="68">
        <v>31</v>
      </c>
      <c r="E347" s="68">
        <v>41</v>
      </c>
      <c r="F347" s="36"/>
      <c r="G347" s="36"/>
      <c r="H347" s="36"/>
    </row>
    <row r="348" spans="1:8" x14ac:dyDescent="0.3">
      <c r="A348" s="60" t="s">
        <v>782</v>
      </c>
      <c r="B348" s="61" t="s">
        <v>783</v>
      </c>
      <c r="C348" s="68">
        <v>3</v>
      </c>
      <c r="D348" s="68">
        <v>22</v>
      </c>
      <c r="E348" s="68">
        <v>25</v>
      </c>
      <c r="F348" s="36"/>
      <c r="G348" s="36"/>
      <c r="H348" s="36"/>
    </row>
    <row r="349" spans="1:8" x14ac:dyDescent="0.3">
      <c r="A349" s="60" t="s">
        <v>784</v>
      </c>
      <c r="B349" s="61" t="s">
        <v>785</v>
      </c>
      <c r="C349" s="68">
        <v>6</v>
      </c>
      <c r="D349" s="68">
        <v>15</v>
      </c>
      <c r="E349" s="68">
        <v>21</v>
      </c>
      <c r="F349" s="36"/>
      <c r="G349" s="36"/>
      <c r="H349" s="36"/>
    </row>
    <row r="350" spans="1:8" x14ac:dyDescent="0.3">
      <c r="A350" s="60" t="s">
        <v>786</v>
      </c>
      <c r="B350" s="61" t="s">
        <v>787</v>
      </c>
      <c r="C350" s="68">
        <v>10</v>
      </c>
      <c r="D350" s="68">
        <v>13</v>
      </c>
      <c r="E350" s="68">
        <v>23</v>
      </c>
      <c r="F350" s="36"/>
      <c r="G350" s="36"/>
      <c r="H350" s="36"/>
    </row>
    <row r="351" spans="1:8" x14ac:dyDescent="0.3">
      <c r="A351" s="60" t="s">
        <v>788</v>
      </c>
      <c r="B351" s="61" t="s">
        <v>789</v>
      </c>
      <c r="C351" s="68">
        <v>10</v>
      </c>
      <c r="D351" s="68">
        <v>14</v>
      </c>
      <c r="E351" s="68">
        <v>24</v>
      </c>
      <c r="F351" s="36"/>
      <c r="G351" s="36"/>
      <c r="H351" s="36"/>
    </row>
    <row r="352" spans="1:8" x14ac:dyDescent="0.3">
      <c r="A352" s="54" t="s">
        <v>790</v>
      </c>
      <c r="B352" s="144" t="s">
        <v>791</v>
      </c>
      <c r="C352" s="55">
        <v>50</v>
      </c>
      <c r="D352" s="55">
        <v>274</v>
      </c>
      <c r="E352" s="71">
        <v>324</v>
      </c>
      <c r="F352" s="36"/>
      <c r="G352" s="36"/>
      <c r="H352" s="36"/>
    </row>
    <row r="353" spans="1:8" x14ac:dyDescent="0.3">
      <c r="A353" s="60" t="s">
        <v>792</v>
      </c>
      <c r="B353" s="61" t="s">
        <v>793</v>
      </c>
      <c r="C353" s="68">
        <v>3</v>
      </c>
      <c r="D353" s="68">
        <v>24</v>
      </c>
      <c r="E353" s="68">
        <v>27</v>
      </c>
      <c r="F353" s="36"/>
      <c r="G353" s="36"/>
      <c r="H353" s="36"/>
    </row>
    <row r="354" spans="1:8" x14ac:dyDescent="0.3">
      <c r="A354" s="60" t="s">
        <v>794</v>
      </c>
      <c r="B354" s="61" t="s">
        <v>795</v>
      </c>
      <c r="C354" s="68">
        <v>9</v>
      </c>
      <c r="D354" s="68">
        <v>31</v>
      </c>
      <c r="E354" s="68">
        <v>40</v>
      </c>
      <c r="F354" s="36"/>
      <c r="G354" s="36"/>
      <c r="H354" s="36"/>
    </row>
    <row r="355" spans="1:8" x14ac:dyDescent="0.3">
      <c r="A355" s="60" t="s">
        <v>796</v>
      </c>
      <c r="B355" s="61" t="s">
        <v>797</v>
      </c>
      <c r="C355" s="68">
        <v>24</v>
      </c>
      <c r="D355" s="68">
        <v>84</v>
      </c>
      <c r="E355" s="68">
        <v>108</v>
      </c>
      <c r="F355" s="36"/>
      <c r="G355" s="36"/>
      <c r="H355" s="36"/>
    </row>
    <row r="356" spans="1:8" x14ac:dyDescent="0.3">
      <c r="A356" s="119" t="s">
        <v>798</v>
      </c>
      <c r="B356" s="64" t="s">
        <v>799</v>
      </c>
      <c r="C356" s="67">
        <v>14</v>
      </c>
      <c r="D356" s="67">
        <v>135</v>
      </c>
      <c r="E356" s="67">
        <v>149</v>
      </c>
      <c r="F356" s="36"/>
      <c r="G356" s="36"/>
      <c r="H356" s="36"/>
    </row>
    <row r="357" spans="1:8" x14ac:dyDescent="0.3">
      <c r="A357" s="54" t="s">
        <v>800</v>
      </c>
      <c r="B357" s="56" t="s">
        <v>1054</v>
      </c>
      <c r="C357" s="55">
        <v>177</v>
      </c>
      <c r="D357" s="55">
        <v>1222</v>
      </c>
      <c r="E357" s="71">
        <v>1399</v>
      </c>
      <c r="F357" s="36"/>
      <c r="G357" s="36"/>
      <c r="H357" s="36"/>
    </row>
    <row r="358" spans="1:8" x14ac:dyDescent="0.3">
      <c r="A358" s="60" t="s">
        <v>802</v>
      </c>
      <c r="B358" s="61" t="s">
        <v>803</v>
      </c>
      <c r="C358" s="68">
        <v>2</v>
      </c>
      <c r="D358" s="68">
        <v>10</v>
      </c>
      <c r="E358" s="68">
        <v>12</v>
      </c>
      <c r="F358" s="36"/>
      <c r="G358" s="36"/>
      <c r="H358" s="36"/>
    </row>
    <row r="359" spans="1:8" x14ac:dyDescent="0.3">
      <c r="A359" s="60" t="s">
        <v>804</v>
      </c>
      <c r="B359" s="61" t="s">
        <v>805</v>
      </c>
      <c r="C359" s="68">
        <v>6</v>
      </c>
      <c r="D359" s="68">
        <v>27</v>
      </c>
      <c r="E359" s="68">
        <v>33</v>
      </c>
      <c r="F359" s="36"/>
      <c r="G359" s="36"/>
      <c r="H359" s="36"/>
    </row>
    <row r="360" spans="1:8" x14ac:dyDescent="0.3">
      <c r="A360" s="60" t="s">
        <v>806</v>
      </c>
      <c r="B360" s="61" t="s">
        <v>807</v>
      </c>
      <c r="C360" s="68">
        <v>5</v>
      </c>
      <c r="D360" s="68">
        <v>5</v>
      </c>
      <c r="E360" s="68">
        <v>10</v>
      </c>
      <c r="F360" s="36"/>
      <c r="G360" s="36"/>
      <c r="H360" s="36"/>
    </row>
    <row r="361" spans="1:8" x14ac:dyDescent="0.3">
      <c r="A361" s="60" t="s">
        <v>808</v>
      </c>
      <c r="B361" s="61" t="s">
        <v>809</v>
      </c>
      <c r="C361" s="68">
        <v>2</v>
      </c>
      <c r="D361" s="68">
        <v>2</v>
      </c>
      <c r="E361" s="68">
        <v>4</v>
      </c>
      <c r="F361" s="36"/>
      <c r="G361" s="36"/>
      <c r="H361" s="36"/>
    </row>
    <row r="362" spans="1:8" x14ac:dyDescent="0.3">
      <c r="A362" s="60" t="s">
        <v>810</v>
      </c>
      <c r="B362" s="61" t="s">
        <v>811</v>
      </c>
      <c r="C362" s="68">
        <v>9</v>
      </c>
      <c r="D362" s="68">
        <v>39</v>
      </c>
      <c r="E362" s="68">
        <v>48</v>
      </c>
      <c r="F362" s="36"/>
      <c r="G362" s="36"/>
      <c r="H362" s="36"/>
    </row>
    <row r="363" spans="1:8" x14ac:dyDescent="0.3">
      <c r="A363" s="60" t="s">
        <v>812</v>
      </c>
      <c r="B363" s="61" t="s">
        <v>813</v>
      </c>
      <c r="C363" s="68">
        <v>0</v>
      </c>
      <c r="D363" s="68">
        <v>26</v>
      </c>
      <c r="E363" s="68">
        <v>26</v>
      </c>
      <c r="F363" s="36"/>
      <c r="G363" s="36"/>
      <c r="H363" s="36"/>
    </row>
    <row r="364" spans="1:8" x14ac:dyDescent="0.3">
      <c r="A364" s="60" t="s">
        <v>814</v>
      </c>
      <c r="B364" s="61" t="s">
        <v>815</v>
      </c>
      <c r="C364" s="68">
        <v>2</v>
      </c>
      <c r="D364" s="68">
        <v>12</v>
      </c>
      <c r="E364" s="68">
        <v>14</v>
      </c>
      <c r="F364" s="36"/>
      <c r="G364" s="36"/>
      <c r="H364" s="36"/>
    </row>
    <row r="365" spans="1:8" x14ac:dyDescent="0.3">
      <c r="A365" s="60" t="s">
        <v>816</v>
      </c>
      <c r="B365" s="61" t="s">
        <v>817</v>
      </c>
      <c r="C365" s="68">
        <v>0</v>
      </c>
      <c r="D365" s="68">
        <v>6</v>
      </c>
      <c r="E365" s="68">
        <v>6</v>
      </c>
      <c r="F365" s="36"/>
      <c r="G365" s="36"/>
      <c r="H365" s="36"/>
    </row>
    <row r="366" spans="1:8" x14ac:dyDescent="0.3">
      <c r="A366" s="60" t="s">
        <v>818</v>
      </c>
      <c r="B366" s="61" t="s">
        <v>819</v>
      </c>
      <c r="C366" s="68">
        <v>2</v>
      </c>
      <c r="D366" s="68">
        <v>29</v>
      </c>
      <c r="E366" s="68">
        <v>31</v>
      </c>
      <c r="F366" s="36"/>
      <c r="G366" s="36"/>
      <c r="H366" s="36"/>
    </row>
    <row r="367" spans="1:8" x14ac:dyDescent="0.3">
      <c r="A367" s="60" t="s">
        <v>820</v>
      </c>
      <c r="B367" s="61" t="s">
        <v>821</v>
      </c>
      <c r="C367" s="68">
        <v>7</v>
      </c>
      <c r="D367" s="68">
        <v>85</v>
      </c>
      <c r="E367" s="68">
        <v>92</v>
      </c>
      <c r="F367" s="36"/>
      <c r="G367" s="36"/>
      <c r="H367" s="36"/>
    </row>
    <row r="368" spans="1:8" x14ac:dyDescent="0.3">
      <c r="A368" s="60" t="s">
        <v>822</v>
      </c>
      <c r="B368" s="61" t="s">
        <v>823</v>
      </c>
      <c r="C368" s="68">
        <v>0</v>
      </c>
      <c r="D368" s="68">
        <v>26</v>
      </c>
      <c r="E368" s="68">
        <v>26</v>
      </c>
      <c r="F368" s="36"/>
      <c r="G368" s="36"/>
      <c r="H368" s="36"/>
    </row>
    <row r="369" spans="1:8" x14ac:dyDescent="0.3">
      <c r="A369" s="60" t="s">
        <v>824</v>
      </c>
      <c r="B369" s="61" t="s">
        <v>825</v>
      </c>
      <c r="C369" s="68">
        <v>3</v>
      </c>
      <c r="D369" s="68">
        <v>37</v>
      </c>
      <c r="E369" s="68">
        <v>40</v>
      </c>
      <c r="F369" s="36"/>
      <c r="G369" s="36"/>
      <c r="H369" s="36"/>
    </row>
    <row r="370" spans="1:8" x14ac:dyDescent="0.3">
      <c r="A370" s="60" t="s">
        <v>826</v>
      </c>
      <c r="B370" s="61" t="s">
        <v>827</v>
      </c>
      <c r="C370" s="68">
        <v>5</v>
      </c>
      <c r="D370" s="68">
        <v>145</v>
      </c>
      <c r="E370" s="68">
        <v>150</v>
      </c>
      <c r="F370" s="36"/>
      <c r="G370" s="36"/>
      <c r="H370" s="36"/>
    </row>
    <row r="371" spans="1:8" x14ac:dyDescent="0.3">
      <c r="A371" s="60" t="s">
        <v>828</v>
      </c>
      <c r="B371" s="61" t="s">
        <v>829</v>
      </c>
      <c r="C371" s="68">
        <v>7</v>
      </c>
      <c r="D371" s="68">
        <v>103</v>
      </c>
      <c r="E371" s="68">
        <v>110</v>
      </c>
      <c r="F371" s="36"/>
      <c r="G371" s="36"/>
      <c r="H371" s="36"/>
    </row>
    <row r="372" spans="1:8" x14ac:dyDescent="0.3">
      <c r="A372" s="60" t="s">
        <v>830</v>
      </c>
      <c r="B372" s="61" t="s">
        <v>831</v>
      </c>
      <c r="C372" s="68">
        <v>19</v>
      </c>
      <c r="D372" s="68">
        <v>129</v>
      </c>
      <c r="E372" s="68">
        <v>148</v>
      </c>
      <c r="F372" s="36"/>
      <c r="G372" s="36"/>
      <c r="H372" s="36"/>
    </row>
    <row r="373" spans="1:8" x14ac:dyDescent="0.3">
      <c r="A373" s="60" t="s">
        <v>832</v>
      </c>
      <c r="B373" s="61" t="s">
        <v>833</v>
      </c>
      <c r="C373" s="68">
        <v>4</v>
      </c>
      <c r="D373" s="68">
        <v>5</v>
      </c>
      <c r="E373" s="68">
        <v>9</v>
      </c>
      <c r="F373" s="36"/>
      <c r="G373" s="36"/>
      <c r="H373" s="36"/>
    </row>
    <row r="374" spans="1:8" x14ac:dyDescent="0.3">
      <c r="A374" s="60" t="s">
        <v>834</v>
      </c>
      <c r="B374" s="61" t="s">
        <v>835</v>
      </c>
      <c r="C374" s="68">
        <v>1</v>
      </c>
      <c r="D374" s="68">
        <v>8</v>
      </c>
      <c r="E374" s="68">
        <v>9</v>
      </c>
      <c r="F374" s="36"/>
      <c r="G374" s="36"/>
      <c r="H374" s="36"/>
    </row>
    <row r="375" spans="1:8" x14ac:dyDescent="0.3">
      <c r="A375" s="60" t="s">
        <v>836</v>
      </c>
      <c r="B375" s="61" t="s">
        <v>837</v>
      </c>
      <c r="C375" s="68">
        <v>9</v>
      </c>
      <c r="D375" s="68">
        <v>7</v>
      </c>
      <c r="E375" s="68">
        <v>16</v>
      </c>
      <c r="F375" s="36"/>
      <c r="G375" s="36"/>
      <c r="H375" s="36"/>
    </row>
    <row r="376" spans="1:8" x14ac:dyDescent="0.3">
      <c r="A376" s="60" t="s">
        <v>838</v>
      </c>
      <c r="B376" s="61" t="s">
        <v>839</v>
      </c>
      <c r="C376" s="68">
        <v>1</v>
      </c>
      <c r="D376" s="68">
        <v>5</v>
      </c>
      <c r="E376" s="68">
        <v>6</v>
      </c>
      <c r="F376" s="36"/>
      <c r="G376" s="36"/>
      <c r="H376" s="36"/>
    </row>
    <row r="377" spans="1:8" x14ac:dyDescent="0.3">
      <c r="A377" s="60" t="s">
        <v>840</v>
      </c>
      <c r="B377" s="61" t="s">
        <v>841</v>
      </c>
      <c r="C377" s="68">
        <v>0</v>
      </c>
      <c r="D377" s="68">
        <v>0</v>
      </c>
      <c r="E377" s="68">
        <v>0</v>
      </c>
      <c r="F377" s="36"/>
      <c r="G377" s="36"/>
      <c r="H377" s="36"/>
    </row>
    <row r="378" spans="1:8" x14ac:dyDescent="0.3">
      <c r="A378" s="60" t="s">
        <v>842</v>
      </c>
      <c r="B378" s="61" t="s">
        <v>843</v>
      </c>
      <c r="C378" s="68">
        <v>0</v>
      </c>
      <c r="D378" s="68">
        <v>20</v>
      </c>
      <c r="E378" s="68">
        <v>20</v>
      </c>
      <c r="F378" s="36"/>
      <c r="G378" s="36"/>
      <c r="H378" s="36"/>
    </row>
    <row r="379" spans="1:8" x14ac:dyDescent="0.3">
      <c r="A379" s="60" t="s">
        <v>844</v>
      </c>
      <c r="B379" s="61" t="s">
        <v>845</v>
      </c>
      <c r="C379" s="68">
        <v>21</v>
      </c>
      <c r="D379" s="68">
        <v>135</v>
      </c>
      <c r="E379" s="68">
        <v>156</v>
      </c>
      <c r="F379" s="36"/>
      <c r="G379" s="36"/>
      <c r="H379" s="36"/>
    </row>
    <row r="380" spans="1:8" x14ac:dyDescent="0.3">
      <c r="A380" s="60" t="s">
        <v>846</v>
      </c>
      <c r="B380" s="61" t="s">
        <v>847</v>
      </c>
      <c r="C380" s="68">
        <v>22</v>
      </c>
      <c r="D380" s="68">
        <v>19</v>
      </c>
      <c r="E380" s="68">
        <v>41</v>
      </c>
      <c r="F380" s="36"/>
      <c r="G380" s="36"/>
      <c r="H380" s="36"/>
    </row>
    <row r="381" spans="1:8" x14ac:dyDescent="0.3">
      <c r="A381" s="60" t="s">
        <v>848</v>
      </c>
      <c r="B381" s="61" t="s">
        <v>849</v>
      </c>
      <c r="C381" s="68">
        <v>4</v>
      </c>
      <c r="D381" s="68">
        <v>18</v>
      </c>
      <c r="E381" s="68">
        <v>22</v>
      </c>
      <c r="F381" s="36"/>
      <c r="G381" s="36"/>
      <c r="H381" s="36"/>
    </row>
    <row r="382" spans="1:8" x14ac:dyDescent="0.3">
      <c r="A382" s="60" t="s">
        <v>850</v>
      </c>
      <c r="B382" s="61" t="s">
        <v>851</v>
      </c>
      <c r="C382" s="68">
        <v>5</v>
      </c>
      <c r="D382" s="68">
        <v>27</v>
      </c>
      <c r="E382" s="68">
        <v>32</v>
      </c>
      <c r="F382" s="36"/>
      <c r="G382" s="36"/>
      <c r="H382" s="36"/>
    </row>
    <row r="383" spans="1:8" x14ac:dyDescent="0.3">
      <c r="A383" s="60" t="s">
        <v>852</v>
      </c>
      <c r="B383" s="61" t="s">
        <v>853</v>
      </c>
      <c r="C383" s="68">
        <v>4</v>
      </c>
      <c r="D383" s="68">
        <v>11</v>
      </c>
      <c r="E383" s="68">
        <v>15</v>
      </c>
      <c r="F383" s="36"/>
      <c r="G383" s="36"/>
      <c r="H383" s="36"/>
    </row>
    <row r="384" spans="1:8" x14ac:dyDescent="0.3">
      <c r="A384" s="60" t="s">
        <v>854</v>
      </c>
      <c r="B384" s="61" t="s">
        <v>855</v>
      </c>
      <c r="C384" s="68">
        <v>0</v>
      </c>
      <c r="D384" s="68">
        <v>0</v>
      </c>
      <c r="E384" s="68">
        <v>0</v>
      </c>
      <c r="F384" s="36"/>
      <c r="G384" s="36"/>
      <c r="H384" s="36"/>
    </row>
    <row r="385" spans="1:8" x14ac:dyDescent="0.3">
      <c r="A385" s="60" t="s">
        <v>856</v>
      </c>
      <c r="B385" s="61" t="s">
        <v>857</v>
      </c>
      <c r="C385" s="68">
        <v>3</v>
      </c>
      <c r="D385" s="68">
        <v>8</v>
      </c>
      <c r="E385" s="68">
        <v>11</v>
      </c>
      <c r="F385" s="36"/>
      <c r="G385" s="36"/>
      <c r="H385" s="36"/>
    </row>
    <row r="386" spans="1:8" x14ac:dyDescent="0.3">
      <c r="A386" s="60" t="s">
        <v>858</v>
      </c>
      <c r="B386" s="61" t="s">
        <v>859</v>
      </c>
      <c r="C386" s="68">
        <v>19</v>
      </c>
      <c r="D386" s="68">
        <v>76</v>
      </c>
      <c r="E386" s="68">
        <v>95</v>
      </c>
      <c r="F386" s="36"/>
      <c r="G386" s="36"/>
      <c r="H386" s="36"/>
    </row>
    <row r="387" spans="1:8" x14ac:dyDescent="0.3">
      <c r="A387" s="60" t="s">
        <v>860</v>
      </c>
      <c r="B387" s="61" t="s">
        <v>861</v>
      </c>
      <c r="C387" s="68">
        <v>4</v>
      </c>
      <c r="D387" s="68">
        <v>69</v>
      </c>
      <c r="E387" s="68">
        <v>73</v>
      </c>
      <c r="F387" s="36"/>
      <c r="G387" s="36"/>
      <c r="H387" s="36"/>
    </row>
    <row r="388" spans="1:8" x14ac:dyDescent="0.3">
      <c r="A388" s="60" t="s">
        <v>862</v>
      </c>
      <c r="B388" s="61" t="s">
        <v>863</v>
      </c>
      <c r="C388" s="68">
        <v>2</v>
      </c>
      <c r="D388" s="68">
        <v>30</v>
      </c>
      <c r="E388" s="68">
        <v>32</v>
      </c>
      <c r="F388" s="36"/>
      <c r="G388" s="36"/>
      <c r="H388" s="36"/>
    </row>
    <row r="389" spans="1:8" x14ac:dyDescent="0.3">
      <c r="A389" s="119" t="s">
        <v>864</v>
      </c>
      <c r="B389" s="64" t="s">
        <v>865</v>
      </c>
      <c r="C389" s="67">
        <v>9</v>
      </c>
      <c r="D389" s="67">
        <v>103</v>
      </c>
      <c r="E389" s="67">
        <v>112</v>
      </c>
      <c r="F389" s="36"/>
      <c r="G389" s="36"/>
      <c r="H389" s="36"/>
    </row>
    <row r="390" spans="1:8" x14ac:dyDescent="0.3">
      <c r="A390" s="54" t="s">
        <v>866</v>
      </c>
      <c r="B390" s="56" t="s">
        <v>1047</v>
      </c>
      <c r="C390" s="55">
        <v>196</v>
      </c>
      <c r="D390" s="55">
        <v>795</v>
      </c>
      <c r="E390" s="55">
        <v>991</v>
      </c>
      <c r="F390" s="36"/>
      <c r="G390" s="36"/>
      <c r="H390" s="36"/>
    </row>
    <row r="391" spans="1:8" x14ac:dyDescent="0.3">
      <c r="A391" s="60" t="s">
        <v>888</v>
      </c>
      <c r="B391" s="61" t="s">
        <v>889</v>
      </c>
      <c r="C391" s="68">
        <v>4</v>
      </c>
      <c r="D391" s="68">
        <v>21</v>
      </c>
      <c r="E391" s="68">
        <v>25</v>
      </c>
      <c r="F391" s="36"/>
      <c r="G391" s="36"/>
      <c r="H391" s="36"/>
    </row>
    <row r="392" spans="1:8" x14ac:dyDescent="0.3">
      <c r="A392" s="60" t="s">
        <v>886</v>
      </c>
      <c r="B392" s="61" t="s">
        <v>887</v>
      </c>
      <c r="C392" s="68">
        <v>2</v>
      </c>
      <c r="D392" s="68">
        <v>26</v>
      </c>
      <c r="E392" s="68">
        <v>28</v>
      </c>
      <c r="F392" s="36"/>
      <c r="G392" s="36"/>
      <c r="H392" s="36"/>
    </row>
    <row r="393" spans="1:8" x14ac:dyDescent="0.3">
      <c r="A393" s="60" t="s">
        <v>880</v>
      </c>
      <c r="B393" s="61" t="s">
        <v>881</v>
      </c>
      <c r="C393" s="68">
        <v>5</v>
      </c>
      <c r="D393" s="68">
        <v>26</v>
      </c>
      <c r="E393" s="68">
        <v>31</v>
      </c>
      <c r="F393" s="36"/>
      <c r="G393" s="36"/>
      <c r="H393" s="36"/>
    </row>
    <row r="394" spans="1:8" x14ac:dyDescent="0.3">
      <c r="A394" s="60" t="s">
        <v>882</v>
      </c>
      <c r="B394" s="61" t="s">
        <v>883</v>
      </c>
      <c r="C394" s="68">
        <v>2</v>
      </c>
      <c r="D394" s="68">
        <v>13</v>
      </c>
      <c r="E394" s="68">
        <v>15</v>
      </c>
      <c r="F394" s="36"/>
      <c r="G394" s="36"/>
      <c r="H394" s="36"/>
    </row>
    <row r="395" spans="1:8" x14ac:dyDescent="0.3">
      <c r="A395" s="60" t="s">
        <v>884</v>
      </c>
      <c r="B395" s="61" t="s">
        <v>885</v>
      </c>
      <c r="C395" s="68">
        <v>9</v>
      </c>
      <c r="D395" s="68">
        <v>60</v>
      </c>
      <c r="E395" s="68">
        <v>69</v>
      </c>
      <c r="F395" s="36"/>
      <c r="G395" s="36"/>
      <c r="H395" s="36"/>
    </row>
    <row r="396" spans="1:8" x14ac:dyDescent="0.3">
      <c r="A396" s="60" t="s">
        <v>910</v>
      </c>
      <c r="B396" s="61" t="s">
        <v>911</v>
      </c>
      <c r="C396" s="68">
        <v>3</v>
      </c>
      <c r="D396" s="68">
        <v>23</v>
      </c>
      <c r="E396" s="68">
        <v>26</v>
      </c>
      <c r="F396" s="36"/>
      <c r="G396" s="36"/>
      <c r="H396" s="36"/>
    </row>
    <row r="397" spans="1:8" x14ac:dyDescent="0.3">
      <c r="A397" s="60" t="s">
        <v>900</v>
      </c>
      <c r="B397" s="61" t="s">
        <v>901</v>
      </c>
      <c r="C397" s="68">
        <v>7</v>
      </c>
      <c r="D397" s="68">
        <v>56</v>
      </c>
      <c r="E397" s="68">
        <v>63</v>
      </c>
      <c r="F397" s="36"/>
      <c r="G397" s="36"/>
      <c r="H397" s="36"/>
    </row>
    <row r="398" spans="1:8" x14ac:dyDescent="0.3">
      <c r="A398" s="60" t="s">
        <v>878</v>
      </c>
      <c r="B398" s="61" t="s">
        <v>879</v>
      </c>
      <c r="C398" s="68">
        <v>3</v>
      </c>
      <c r="D398" s="68">
        <v>10</v>
      </c>
      <c r="E398" s="68">
        <v>13</v>
      </c>
      <c r="F398" s="36"/>
      <c r="G398" s="36"/>
      <c r="H398" s="36"/>
    </row>
    <row r="399" spans="1:8" x14ac:dyDescent="0.3">
      <c r="A399" s="60" t="s">
        <v>898</v>
      </c>
      <c r="B399" s="61" t="s">
        <v>899</v>
      </c>
      <c r="C399" s="68">
        <v>31</v>
      </c>
      <c r="D399" s="68">
        <v>103</v>
      </c>
      <c r="E399" s="68">
        <v>134</v>
      </c>
      <c r="F399" s="36"/>
      <c r="G399" s="36"/>
      <c r="H399" s="36"/>
    </row>
    <row r="400" spans="1:8" x14ac:dyDescent="0.3">
      <c r="A400" s="60" t="s">
        <v>876</v>
      </c>
      <c r="B400" s="61" t="s">
        <v>877</v>
      </c>
      <c r="C400" s="68">
        <v>9</v>
      </c>
      <c r="D400" s="68">
        <v>111</v>
      </c>
      <c r="E400" s="68">
        <v>120</v>
      </c>
      <c r="F400" s="36"/>
      <c r="G400" s="36"/>
      <c r="H400" s="36"/>
    </row>
    <row r="401" spans="1:8" x14ac:dyDescent="0.3">
      <c r="A401" s="60" t="s">
        <v>904</v>
      </c>
      <c r="B401" s="61" t="s">
        <v>905</v>
      </c>
      <c r="C401" s="68">
        <v>15</v>
      </c>
      <c r="D401" s="68">
        <v>37</v>
      </c>
      <c r="E401" s="68">
        <v>52</v>
      </c>
      <c r="F401" s="36"/>
      <c r="G401" s="36"/>
      <c r="H401" s="36"/>
    </row>
    <row r="402" spans="1:8" x14ac:dyDescent="0.3">
      <c r="A402" s="60" t="s">
        <v>894</v>
      </c>
      <c r="B402" s="61" t="s">
        <v>895</v>
      </c>
      <c r="C402" s="68">
        <v>3</v>
      </c>
      <c r="D402" s="68">
        <v>35</v>
      </c>
      <c r="E402" s="68">
        <v>38</v>
      </c>
      <c r="F402" s="36"/>
      <c r="G402" s="36"/>
      <c r="H402" s="36"/>
    </row>
    <row r="403" spans="1:8" x14ac:dyDescent="0.3">
      <c r="A403" s="60" t="s">
        <v>870</v>
      </c>
      <c r="B403" s="61" t="s">
        <v>871</v>
      </c>
      <c r="C403" s="68">
        <v>25</v>
      </c>
      <c r="D403" s="68">
        <v>62</v>
      </c>
      <c r="E403" s="68">
        <v>87</v>
      </c>
      <c r="F403" s="36"/>
      <c r="G403" s="36"/>
      <c r="H403" s="36"/>
    </row>
    <row r="404" spans="1:8" x14ac:dyDescent="0.3">
      <c r="A404" s="60" t="s">
        <v>908</v>
      </c>
      <c r="B404" s="61" t="s">
        <v>4295</v>
      </c>
      <c r="C404" s="68">
        <v>11</v>
      </c>
      <c r="D404" s="68">
        <v>44</v>
      </c>
      <c r="E404" s="68">
        <v>55</v>
      </c>
      <c r="F404" s="36"/>
      <c r="G404" s="36"/>
      <c r="H404" s="36"/>
    </row>
    <row r="405" spans="1:8" x14ac:dyDescent="0.3">
      <c r="A405" s="60" t="s">
        <v>874</v>
      </c>
      <c r="B405" s="61" t="s">
        <v>875</v>
      </c>
      <c r="C405" s="68">
        <v>12</v>
      </c>
      <c r="D405" s="68">
        <v>41</v>
      </c>
      <c r="E405" s="68">
        <v>53</v>
      </c>
      <c r="F405" s="36"/>
      <c r="G405" s="36"/>
      <c r="H405" s="36"/>
    </row>
    <row r="406" spans="1:8" x14ac:dyDescent="0.3">
      <c r="A406" s="60" t="s">
        <v>902</v>
      </c>
      <c r="B406" s="61" t="s">
        <v>903</v>
      </c>
      <c r="C406" s="68">
        <v>14</v>
      </c>
      <c r="D406" s="68">
        <v>50</v>
      </c>
      <c r="E406" s="68">
        <v>64</v>
      </c>
      <c r="F406" s="36"/>
      <c r="G406" s="36"/>
      <c r="H406" s="36"/>
    </row>
    <row r="407" spans="1:8" x14ac:dyDescent="0.3">
      <c r="A407" s="60" t="s">
        <v>890</v>
      </c>
      <c r="B407" s="61" t="s">
        <v>891</v>
      </c>
      <c r="C407" s="68">
        <v>3</v>
      </c>
      <c r="D407" s="68">
        <v>4</v>
      </c>
      <c r="E407" s="68">
        <v>7</v>
      </c>
      <c r="F407" s="36"/>
      <c r="G407" s="36"/>
      <c r="H407" s="36"/>
    </row>
    <row r="408" spans="1:8" x14ac:dyDescent="0.3">
      <c r="A408" s="60" t="s">
        <v>872</v>
      </c>
      <c r="B408" s="61" t="s">
        <v>873</v>
      </c>
      <c r="C408" s="68">
        <v>12</v>
      </c>
      <c r="D408" s="68">
        <v>15</v>
      </c>
      <c r="E408" s="68">
        <v>27</v>
      </c>
      <c r="F408" s="36"/>
      <c r="G408" s="36"/>
      <c r="H408" s="36"/>
    </row>
    <row r="409" spans="1:8" x14ac:dyDescent="0.3">
      <c r="A409" s="60" t="s">
        <v>868</v>
      </c>
      <c r="B409" s="61" t="s">
        <v>869</v>
      </c>
      <c r="C409" s="68">
        <v>1</v>
      </c>
      <c r="D409" s="68">
        <v>12</v>
      </c>
      <c r="E409" s="68">
        <v>13</v>
      </c>
      <c r="F409" s="36"/>
      <c r="G409" s="36"/>
      <c r="H409" s="36"/>
    </row>
    <row r="410" spans="1:8" x14ac:dyDescent="0.3">
      <c r="A410" s="60" t="s">
        <v>906</v>
      </c>
      <c r="B410" s="61" t="s">
        <v>907</v>
      </c>
      <c r="C410" s="68">
        <v>3</v>
      </c>
      <c r="D410" s="68">
        <v>3</v>
      </c>
      <c r="E410" s="68">
        <v>6</v>
      </c>
      <c r="F410" s="36"/>
      <c r="G410" s="36"/>
      <c r="H410" s="36"/>
    </row>
    <row r="411" spans="1:8" x14ac:dyDescent="0.3">
      <c r="A411" s="60" t="s">
        <v>892</v>
      </c>
      <c r="B411" s="61" t="s">
        <v>893</v>
      </c>
      <c r="C411" s="68">
        <v>11</v>
      </c>
      <c r="D411" s="68">
        <v>26</v>
      </c>
      <c r="E411" s="68">
        <v>37</v>
      </c>
      <c r="F411" s="36"/>
      <c r="G411" s="36"/>
      <c r="H411" s="36"/>
    </row>
    <row r="412" spans="1:8" x14ac:dyDescent="0.3">
      <c r="A412" s="119" t="s">
        <v>896</v>
      </c>
      <c r="B412" s="64" t="s">
        <v>897</v>
      </c>
      <c r="C412" s="67">
        <v>11</v>
      </c>
      <c r="D412" s="67">
        <v>17</v>
      </c>
      <c r="E412" s="67">
        <v>28</v>
      </c>
      <c r="F412" s="36"/>
      <c r="G412" s="36"/>
      <c r="H412" s="36"/>
    </row>
    <row r="413" spans="1:8" x14ac:dyDescent="0.3">
      <c r="A413" s="54" t="s">
        <v>912</v>
      </c>
      <c r="B413" s="56" t="s">
        <v>1138</v>
      </c>
      <c r="C413" s="55">
        <v>23</v>
      </c>
      <c r="D413" s="55">
        <v>1412</v>
      </c>
      <c r="E413" s="71">
        <v>1435</v>
      </c>
      <c r="F413" s="36"/>
      <c r="G413" s="36"/>
      <c r="H413" s="36"/>
    </row>
    <row r="414" spans="1:8" x14ac:dyDescent="0.3">
      <c r="A414" s="60" t="s">
        <v>914</v>
      </c>
      <c r="B414" s="61" t="s">
        <v>915</v>
      </c>
      <c r="C414" s="68">
        <v>1</v>
      </c>
      <c r="D414" s="68">
        <v>121</v>
      </c>
      <c r="E414" s="68">
        <v>122</v>
      </c>
      <c r="F414" s="36"/>
      <c r="G414" s="36"/>
      <c r="H414" s="36"/>
    </row>
    <row r="415" spans="1:8" x14ac:dyDescent="0.3">
      <c r="A415" s="60" t="s">
        <v>916</v>
      </c>
      <c r="B415" s="61" t="s">
        <v>917</v>
      </c>
      <c r="C415" s="68">
        <v>2</v>
      </c>
      <c r="D415" s="68">
        <v>58</v>
      </c>
      <c r="E415" s="68">
        <v>60</v>
      </c>
      <c r="F415" s="36"/>
      <c r="G415" s="36"/>
      <c r="H415" s="36"/>
    </row>
    <row r="416" spans="1:8" x14ac:dyDescent="0.3">
      <c r="A416" s="60" t="s">
        <v>918</v>
      </c>
      <c r="B416" s="61" t="s">
        <v>919</v>
      </c>
      <c r="C416" s="68">
        <v>3</v>
      </c>
      <c r="D416" s="68">
        <v>43</v>
      </c>
      <c r="E416" s="68">
        <v>46</v>
      </c>
      <c r="F416" s="36"/>
      <c r="G416" s="36"/>
      <c r="H416" s="36"/>
    </row>
    <row r="417" spans="1:8" x14ac:dyDescent="0.3">
      <c r="A417" s="60" t="s">
        <v>920</v>
      </c>
      <c r="B417" s="61" t="s">
        <v>921</v>
      </c>
      <c r="C417" s="68">
        <v>1</v>
      </c>
      <c r="D417" s="68">
        <v>62</v>
      </c>
      <c r="E417" s="68">
        <v>63</v>
      </c>
      <c r="F417" s="36"/>
      <c r="G417" s="36"/>
      <c r="H417" s="36"/>
    </row>
    <row r="418" spans="1:8" x14ac:dyDescent="0.3">
      <c r="A418" s="60" t="s">
        <v>922</v>
      </c>
      <c r="B418" s="61" t="s">
        <v>923</v>
      </c>
      <c r="C418" s="68">
        <v>1</v>
      </c>
      <c r="D418" s="68">
        <v>111</v>
      </c>
      <c r="E418" s="68">
        <v>112</v>
      </c>
      <c r="F418" s="36"/>
      <c r="G418" s="36"/>
      <c r="H418" s="36"/>
    </row>
    <row r="419" spans="1:8" x14ac:dyDescent="0.3">
      <c r="A419" s="60" t="s">
        <v>924</v>
      </c>
      <c r="B419" s="61" t="s">
        <v>925</v>
      </c>
      <c r="C419" s="68">
        <v>0</v>
      </c>
      <c r="D419" s="68">
        <v>64</v>
      </c>
      <c r="E419" s="68">
        <v>64</v>
      </c>
      <c r="F419" s="36"/>
      <c r="G419" s="36"/>
      <c r="H419" s="36"/>
    </row>
    <row r="420" spans="1:8" x14ac:dyDescent="0.3">
      <c r="A420" s="60" t="s">
        <v>926</v>
      </c>
      <c r="B420" s="61" t="s">
        <v>927</v>
      </c>
      <c r="C420" s="68">
        <v>0</v>
      </c>
      <c r="D420" s="68">
        <v>144</v>
      </c>
      <c r="E420" s="68">
        <v>144</v>
      </c>
      <c r="F420" s="36"/>
      <c r="G420" s="36"/>
      <c r="H420" s="36"/>
    </row>
    <row r="421" spans="1:8" x14ac:dyDescent="0.3">
      <c r="A421" s="60" t="s">
        <v>928</v>
      </c>
      <c r="B421" s="61" t="s">
        <v>929</v>
      </c>
      <c r="C421" s="68">
        <v>2</v>
      </c>
      <c r="D421" s="68">
        <v>51</v>
      </c>
      <c r="E421" s="68">
        <v>53</v>
      </c>
      <c r="F421" s="36"/>
      <c r="G421" s="36"/>
      <c r="H421" s="36"/>
    </row>
    <row r="422" spans="1:8" x14ac:dyDescent="0.3">
      <c r="A422" s="60" t="s">
        <v>930</v>
      </c>
      <c r="B422" s="61" t="s">
        <v>931</v>
      </c>
      <c r="C422" s="68">
        <v>2</v>
      </c>
      <c r="D422" s="68">
        <v>238</v>
      </c>
      <c r="E422" s="68">
        <v>240</v>
      </c>
      <c r="F422" s="36"/>
      <c r="G422" s="36"/>
      <c r="H422" s="36"/>
    </row>
    <row r="423" spans="1:8" x14ac:dyDescent="0.3">
      <c r="A423" s="60" t="s">
        <v>932</v>
      </c>
      <c r="B423" s="61" t="s">
        <v>933</v>
      </c>
      <c r="C423" s="68">
        <v>0</v>
      </c>
      <c r="D423" s="68">
        <v>480</v>
      </c>
      <c r="E423" s="68">
        <v>480</v>
      </c>
      <c r="F423" s="36"/>
      <c r="G423" s="36"/>
      <c r="H423" s="36"/>
    </row>
    <row r="424" spans="1:8" x14ac:dyDescent="0.3">
      <c r="A424" s="119" t="s">
        <v>934</v>
      </c>
      <c r="B424" s="64" t="s">
        <v>935</v>
      </c>
      <c r="C424" s="68">
        <v>11</v>
      </c>
      <c r="D424" s="68">
        <v>40</v>
      </c>
      <c r="E424" s="67">
        <v>51</v>
      </c>
      <c r="F424" s="36"/>
      <c r="G424" s="36"/>
      <c r="H424" s="36"/>
    </row>
    <row r="425" spans="1:8" x14ac:dyDescent="0.3">
      <c r="A425" s="54" t="s">
        <v>4296</v>
      </c>
      <c r="B425" s="56" t="s">
        <v>4297</v>
      </c>
      <c r="C425" s="145">
        <v>143</v>
      </c>
      <c r="D425" s="145">
        <v>1178</v>
      </c>
      <c r="E425" s="146">
        <v>1321</v>
      </c>
      <c r="F425" s="36"/>
      <c r="G425" s="36"/>
      <c r="H425" s="36"/>
    </row>
    <row r="426" spans="1:8" x14ac:dyDescent="0.3">
      <c r="A426" s="36"/>
      <c r="B426" s="36"/>
      <c r="C426" s="118"/>
      <c r="D426" s="118"/>
      <c r="E426" s="36"/>
      <c r="F426" s="36"/>
      <c r="G426" s="36"/>
      <c r="H426" s="36"/>
    </row>
  </sheetData>
  <pageMargins left="0.70000000000000007" right="0.70000000000000007" top="0.75" bottom="0.75" header="0.30000000000000004" footer="0.30000000000000004"/>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Contents</vt:lpstr>
      <vt:lpstr>Notes</vt:lpstr>
      <vt:lpstr>1</vt:lpstr>
      <vt:lpstr>2</vt:lpstr>
      <vt:lpstr>3</vt:lpstr>
      <vt:lpstr>4</vt:lpstr>
      <vt:lpstr>5</vt:lpstr>
      <vt:lpstr>6</vt:lpstr>
      <vt:lpstr>7</vt:lpstr>
      <vt:lpstr>8</vt:lpstr>
      <vt:lpstr>9</vt:lpstr>
      <vt:lpstr>10</vt:lpstr>
      <vt:lpstr>11</vt:lpstr>
      <vt:lpstr>12</vt:lpstr>
      <vt:lpstr>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Pearce</dc:creator>
  <cp:lastModifiedBy>Bernardino D'Amico</cp:lastModifiedBy>
  <dcterms:created xsi:type="dcterms:W3CDTF">2020-08-28T09:29:16Z</dcterms:created>
  <dcterms:modified xsi:type="dcterms:W3CDTF">2026-01-22T12:52:34Z</dcterms:modified>
</cp:coreProperties>
</file>